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P2025\Capacity\capacity-web-offline\"/>
    </mc:Choice>
  </mc:AlternateContent>
  <xr:revisionPtr revIDLastSave="0" documentId="13_ncr:1_{33D858EB-23DB-4520-8C75-0542BAE2C1C5}" xr6:coauthVersionLast="36" xr6:coauthVersionMax="36" xr10:uidLastSave="{00000000-0000-0000-0000-000000000000}"/>
  <bookViews>
    <workbookView xWindow="0" yWindow="0" windowWidth="23040" windowHeight="10380" activeTab="3" xr2:uid="{25F6F934-D8C6-4C4C-B9E7-55E956CF0BC4}"/>
  </bookViews>
  <sheets>
    <sheet name="Sheet1" sheetId="1" r:id="rId1"/>
    <sheet name="Prefix awal dan akhir" sheetId="2" r:id="rId2"/>
    <sheet name="series" sheetId="3" r:id="rId3"/>
    <sheet name="New JIS" sheetId="5" r:id="rId4"/>
    <sheet name="Sheet6" sheetId="6" r:id="rId5"/>
    <sheet name="Size" sheetId="4" r:id="rId6"/>
    <sheet name="Matrix Type Plate" sheetId="7" r:id="rId7"/>
    <sheet name="Sheet3" sheetId="8" r:id="rId8"/>
  </sheets>
  <definedNames>
    <definedName name="_xlnm._FilterDatabase" localSheetId="6" hidden="1">'Matrix Type Plate'!$B$2:$F$2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3" l="1"/>
  <c r="Q7" i="3"/>
  <c r="P7" i="3"/>
  <c r="R6" i="3"/>
  <c r="Q6" i="3"/>
  <c r="P6" i="3"/>
  <c r="R5" i="3"/>
  <c r="Q5" i="3"/>
  <c r="P5" i="3"/>
  <c r="R4" i="3"/>
  <c r="Q4" i="3"/>
  <c r="P4" i="3"/>
  <c r="B5" i="2"/>
  <c r="B6" i="2" s="1"/>
  <c r="B7" i="2" s="1"/>
  <c r="B8" i="2" s="1"/>
  <c r="B9" i="2" s="1"/>
  <c r="B10" i="2" s="1"/>
  <c r="B11" i="2" s="1"/>
  <c r="B12" i="2" s="1"/>
  <c r="B4" i="2"/>
  <c r="B13" i="2" l="1"/>
  <c r="B14" i="2" s="1"/>
  <c r="B15" i="2" s="1"/>
  <c r="B16" i="2" s="1"/>
  <c r="B17" i="2" s="1"/>
  <c r="B18" i="2" s="1"/>
  <c r="B19" i="2" s="1"/>
  <c r="B20" i="2" s="1"/>
  <c r="B21" i="2" s="1"/>
</calcChain>
</file>

<file path=xl/sharedStrings.xml><?xml version="1.0" encoding="utf-8"?>
<sst xmlns="http://schemas.openxmlformats.org/spreadsheetml/2006/main" count="3204" uniqueCount="1233">
  <si>
    <t>PF-MUPD-MFN15027-INC-MF2-UK</t>
  </si>
  <si>
    <t>P</t>
  </si>
  <si>
    <t xml:space="preserve">Huruf M dalam MUPD </t>
  </si>
  <si>
    <t>MF</t>
  </si>
  <si>
    <t>angka 27 dalam MFN15027</t>
  </si>
  <si>
    <t>UK</t>
  </si>
  <si>
    <t>DUC</t>
  </si>
  <si>
    <t>tulisan N150</t>
  </si>
  <si>
    <t>Big Type</t>
  </si>
  <si>
    <t>jumlah plate 27</t>
  </si>
  <si>
    <t>Type N150</t>
  </si>
  <si>
    <t>PF-CDPB-N7013-INC-PPO-K</t>
  </si>
  <si>
    <t xml:space="preserve">Huruf C dalam CDPB </t>
  </si>
  <si>
    <t>Dry</t>
  </si>
  <si>
    <t>angka 13 dalam N7013</t>
  </si>
  <si>
    <t>jumlah plate 13</t>
  </si>
  <si>
    <t>Konvensional</t>
  </si>
  <si>
    <t>K</t>
  </si>
  <si>
    <t>tulisan N7013</t>
  </si>
  <si>
    <t>Medium Type</t>
  </si>
  <si>
    <t>tulisan N70</t>
  </si>
  <si>
    <t>Type N70</t>
  </si>
  <si>
    <t>PF-HUPB-N70Z14-INC-GLO-P</t>
  </si>
  <si>
    <t xml:space="preserve">Huruf H dalam HUPB </t>
  </si>
  <si>
    <t>Hybrid</t>
  </si>
  <si>
    <t>angka 14 dalam N70Z14</t>
  </si>
  <si>
    <t>jumlah plate 14</t>
  </si>
  <si>
    <t>WET</t>
  </si>
  <si>
    <t>tulisan N70Z</t>
  </si>
  <si>
    <t>Type 70Z</t>
  </si>
  <si>
    <t>CDPR</t>
  </si>
  <si>
    <t>CDPB</t>
  </si>
  <si>
    <t>CDPD</t>
  </si>
  <si>
    <t>CUPR</t>
  </si>
  <si>
    <t>CUPD</t>
  </si>
  <si>
    <t>CUPN</t>
  </si>
  <si>
    <t>CUPB</t>
  </si>
  <si>
    <t>CDPN</t>
  </si>
  <si>
    <t>MUPD</t>
  </si>
  <si>
    <t>MUPR</t>
  </si>
  <si>
    <t>MDDR</t>
  </si>
  <si>
    <t>DDPD</t>
  </si>
  <si>
    <t>DDRR</t>
  </si>
  <si>
    <t>DDPR</t>
  </si>
  <si>
    <t>Form Plate</t>
  </si>
  <si>
    <t>Unform Plate</t>
  </si>
  <si>
    <t>Konvensional Deep Cycle</t>
  </si>
  <si>
    <t>HUPD</t>
  </si>
  <si>
    <t>HUPB</t>
  </si>
  <si>
    <t>SUPD</t>
  </si>
  <si>
    <t>VUPD</t>
  </si>
  <si>
    <t>Prefix</t>
  </si>
  <si>
    <t>Prefix belakang</t>
  </si>
  <si>
    <t>WET-MF</t>
  </si>
  <si>
    <t>jika mengandung U --&gt; berarti DUC</t>
  </si>
  <si>
    <t>Type Battery</t>
  </si>
  <si>
    <t>Wet-Hybrid</t>
  </si>
  <si>
    <t>No</t>
  </si>
  <si>
    <t>DURR</t>
  </si>
  <si>
    <t>Old JIS</t>
  </si>
  <si>
    <t>Jenis</t>
  </si>
  <si>
    <t>Tipe</t>
  </si>
  <si>
    <t>Series</t>
  </si>
  <si>
    <t>Type</t>
  </si>
  <si>
    <t>OLD JIS</t>
  </si>
  <si>
    <t>NEW JIS</t>
  </si>
  <si>
    <t>KONVENSIONAL (AMB)</t>
  </si>
  <si>
    <t>NS40</t>
  </si>
  <si>
    <t>SMALL</t>
  </si>
  <si>
    <t>105D31L</t>
  </si>
  <si>
    <t>D31</t>
  </si>
  <si>
    <t>N70</t>
  </si>
  <si>
    <t>12N24</t>
  </si>
  <si>
    <t>A19</t>
  </si>
  <si>
    <t>NS40L</t>
  </si>
  <si>
    <t>NS60</t>
  </si>
  <si>
    <t>105D31R</t>
  </si>
  <si>
    <t>B20</t>
  </si>
  <si>
    <t>N03XXXX</t>
  </si>
  <si>
    <t>NS40S</t>
  </si>
  <si>
    <t>N40</t>
  </si>
  <si>
    <t>115F51L</t>
  </si>
  <si>
    <t>F51</t>
  </si>
  <si>
    <t>N120</t>
  </si>
  <si>
    <t>B24</t>
  </si>
  <si>
    <t>55D23XX</t>
  </si>
  <si>
    <t>NS40LS</t>
  </si>
  <si>
    <t>N50</t>
  </si>
  <si>
    <t>MEDIUM</t>
  </si>
  <si>
    <t>115F51</t>
  </si>
  <si>
    <t>C24</t>
  </si>
  <si>
    <t>105D31X</t>
  </si>
  <si>
    <t>NS40Z</t>
  </si>
  <si>
    <t>130F51</t>
  </si>
  <si>
    <t>D23</t>
  </si>
  <si>
    <t>35B20LS</t>
  </si>
  <si>
    <t>NS40ZL</t>
  </si>
  <si>
    <t>N100</t>
  </si>
  <si>
    <t>BIG</t>
  </si>
  <si>
    <t>145G51L</t>
  </si>
  <si>
    <t>G51</t>
  </si>
  <si>
    <t>N150</t>
  </si>
  <si>
    <t>D26</t>
  </si>
  <si>
    <t>NS40ZS</t>
  </si>
  <si>
    <t>145G51</t>
  </si>
  <si>
    <t>NS70</t>
  </si>
  <si>
    <t>NS40ZLS</t>
  </si>
  <si>
    <t>155G51</t>
  </si>
  <si>
    <t>N200</t>
  </si>
  <si>
    <t>165G51L</t>
  </si>
  <si>
    <t>E41</t>
  </si>
  <si>
    <t>N40L</t>
  </si>
  <si>
    <t>OTHERS</t>
  </si>
  <si>
    <t>165G51</t>
  </si>
  <si>
    <t>190H52</t>
  </si>
  <si>
    <t>H52</t>
  </si>
  <si>
    <t>NS60L</t>
  </si>
  <si>
    <t>210H52</t>
  </si>
  <si>
    <t>NS60S</t>
  </si>
  <si>
    <t>32B20LS</t>
  </si>
  <si>
    <t>NS60LS</t>
  </si>
  <si>
    <t>32B20L</t>
  </si>
  <si>
    <t>55D23</t>
  </si>
  <si>
    <t>32B20RS</t>
  </si>
  <si>
    <t>55D23L</t>
  </si>
  <si>
    <t>32B20R</t>
  </si>
  <si>
    <t>32C24L</t>
  </si>
  <si>
    <t>N50L</t>
  </si>
  <si>
    <t>32C24R</t>
  </si>
  <si>
    <t>36B20LS</t>
  </si>
  <si>
    <t>36B20L</t>
  </si>
  <si>
    <t>N50Z</t>
  </si>
  <si>
    <t>36B20RS</t>
  </si>
  <si>
    <t>N50ZL</t>
  </si>
  <si>
    <t>36B20R</t>
  </si>
  <si>
    <t>555 LH</t>
  </si>
  <si>
    <t>46B24LS</t>
  </si>
  <si>
    <t>NS70L</t>
  </si>
  <si>
    <t>46B24L</t>
  </si>
  <si>
    <t>80D26R</t>
  </si>
  <si>
    <t>46B24RS</t>
  </si>
  <si>
    <t>80D26L</t>
  </si>
  <si>
    <t>566 LH</t>
  </si>
  <si>
    <t>46B24R</t>
  </si>
  <si>
    <t>588 LH</t>
  </si>
  <si>
    <t>48D26L</t>
  </si>
  <si>
    <t>N70L</t>
  </si>
  <si>
    <t>DIN45</t>
  </si>
  <si>
    <t>48D26R</t>
  </si>
  <si>
    <t>N70Z</t>
  </si>
  <si>
    <t>DINB</t>
  </si>
  <si>
    <t>54519L</t>
  </si>
  <si>
    <t>N70ZL</t>
  </si>
  <si>
    <t>DINC</t>
  </si>
  <si>
    <t>55559L</t>
  </si>
  <si>
    <t>NX1207</t>
  </si>
  <si>
    <t>BCI</t>
  </si>
  <si>
    <t>55565R</t>
  </si>
  <si>
    <t>NX1207L</t>
  </si>
  <si>
    <t>6V</t>
  </si>
  <si>
    <t>8V</t>
  </si>
  <si>
    <t>55D23R</t>
  </si>
  <si>
    <t>GEL</t>
  </si>
  <si>
    <t>55D26L</t>
  </si>
  <si>
    <t>M42</t>
  </si>
  <si>
    <t>55D26R</t>
  </si>
  <si>
    <t>N100L</t>
  </si>
  <si>
    <t>N12D</t>
  </si>
  <si>
    <t>56048L</t>
  </si>
  <si>
    <t>Q85</t>
  </si>
  <si>
    <t>56219L</t>
  </si>
  <si>
    <t>N120L</t>
  </si>
  <si>
    <t>N03</t>
  </si>
  <si>
    <t>56638L</t>
  </si>
  <si>
    <t>57412L</t>
  </si>
  <si>
    <t>N150L</t>
  </si>
  <si>
    <t>58024L</t>
  </si>
  <si>
    <t>58827L</t>
  </si>
  <si>
    <t>65038L</t>
  </si>
  <si>
    <t>65D26L</t>
  </si>
  <si>
    <t>65D26R</t>
  </si>
  <si>
    <t>65D31L</t>
  </si>
  <si>
    <t>65D31R</t>
  </si>
  <si>
    <t>67018L</t>
  </si>
  <si>
    <t>54459L</t>
  </si>
  <si>
    <t>70027L</t>
  </si>
  <si>
    <t>75D31L</t>
  </si>
  <si>
    <t>54464R</t>
  </si>
  <si>
    <t>75D31R</t>
  </si>
  <si>
    <t>95D31L</t>
  </si>
  <si>
    <t>95D31R</t>
  </si>
  <si>
    <t>55565L</t>
  </si>
  <si>
    <t>95E41L</t>
  </si>
  <si>
    <t>95E41R</t>
  </si>
  <si>
    <t>N100TDF</t>
  </si>
  <si>
    <t>N100T</t>
  </si>
  <si>
    <t>N150TDF</t>
  </si>
  <si>
    <t>N150T</t>
  </si>
  <si>
    <t>N200TDF</t>
  </si>
  <si>
    <t>N200T</t>
  </si>
  <si>
    <t>58024CL</t>
  </si>
  <si>
    <t>N70TDF</t>
  </si>
  <si>
    <t>N70T</t>
  </si>
  <si>
    <t>6D115</t>
  </si>
  <si>
    <t>6D135</t>
  </si>
  <si>
    <t>60038L</t>
  </si>
  <si>
    <t>DIN45R</t>
  </si>
  <si>
    <t>DINA</t>
  </si>
  <si>
    <t>8D90</t>
  </si>
  <si>
    <t>34B20L</t>
  </si>
  <si>
    <t>34B20R</t>
  </si>
  <si>
    <t>TZ5SKIT</t>
  </si>
  <si>
    <t>TZ</t>
  </si>
  <si>
    <t>TZ6VKIT</t>
  </si>
  <si>
    <t>100D31L</t>
  </si>
  <si>
    <t>100D31R</t>
  </si>
  <si>
    <t>110D31L</t>
  </si>
  <si>
    <t>110D31R</t>
  </si>
  <si>
    <t>HYBRID (AMB)</t>
  </si>
  <si>
    <t>115D26L</t>
  </si>
  <si>
    <t>115D26R</t>
  </si>
  <si>
    <t>115D31L</t>
  </si>
  <si>
    <t>115D31R</t>
  </si>
  <si>
    <t>115E41R</t>
  </si>
  <si>
    <t>125D31L</t>
  </si>
  <si>
    <t>125D31R</t>
  </si>
  <si>
    <t>135D31L</t>
  </si>
  <si>
    <t>135D31R</t>
  </si>
  <si>
    <t>135F51</t>
  </si>
  <si>
    <t>170G51</t>
  </si>
  <si>
    <t>26A19L</t>
  </si>
  <si>
    <t>40B20L</t>
  </si>
  <si>
    <t>40B20R</t>
  </si>
  <si>
    <t>45B20L</t>
  </si>
  <si>
    <t>45B20R</t>
  </si>
  <si>
    <t>45C24L</t>
  </si>
  <si>
    <t>45C24R</t>
  </si>
  <si>
    <t>50B24LS</t>
  </si>
  <si>
    <t>50B24L</t>
  </si>
  <si>
    <t>50B24RS</t>
  </si>
  <si>
    <t>50B24R</t>
  </si>
  <si>
    <t>56640LH</t>
  </si>
  <si>
    <t>57229L</t>
  </si>
  <si>
    <t>MAINTENANCE FREE (AMB)</t>
  </si>
  <si>
    <t>12N244</t>
  </si>
  <si>
    <t>57540LH</t>
  </si>
  <si>
    <t>MF12N244R</t>
  </si>
  <si>
    <t>58815LH</t>
  </si>
  <si>
    <t>12N243</t>
  </si>
  <si>
    <t>MF12N243L</t>
  </si>
  <si>
    <t>65D23L</t>
  </si>
  <si>
    <t>MFNS40</t>
  </si>
  <si>
    <t>65D23R</t>
  </si>
  <si>
    <t>MFNS40LS</t>
  </si>
  <si>
    <t>MFNS40L</t>
  </si>
  <si>
    <t>70D26L</t>
  </si>
  <si>
    <t>MFNS40Z</t>
  </si>
  <si>
    <t>70D26R</t>
  </si>
  <si>
    <t>MFNS40S</t>
  </si>
  <si>
    <t>72018L</t>
  </si>
  <si>
    <t>MFNS40ZS</t>
  </si>
  <si>
    <t>75D26L</t>
  </si>
  <si>
    <t>MFNS40ZL</t>
  </si>
  <si>
    <t>75D26R</t>
  </si>
  <si>
    <t>MFNS40ZLS</t>
  </si>
  <si>
    <t>80D31R</t>
  </si>
  <si>
    <t>MF325L</t>
  </si>
  <si>
    <t>MF325</t>
  </si>
  <si>
    <t>90D26L</t>
  </si>
  <si>
    <t>MF327L</t>
  </si>
  <si>
    <t>MF327</t>
  </si>
  <si>
    <t>90D26R</t>
  </si>
  <si>
    <t>MFN40</t>
  </si>
  <si>
    <t>95D26L</t>
  </si>
  <si>
    <t>MFN40L</t>
  </si>
  <si>
    <t>EFBM42L</t>
  </si>
  <si>
    <t>MFNS60</t>
  </si>
  <si>
    <t>EFBM42R</t>
  </si>
  <si>
    <t>MFNS60L</t>
  </si>
  <si>
    <t>EFBQ85L</t>
  </si>
  <si>
    <t>MFNS60S</t>
  </si>
  <si>
    <t>SA100</t>
  </si>
  <si>
    <t>AGM</t>
  </si>
  <si>
    <t>MFNS60LS</t>
  </si>
  <si>
    <t>SA105FT</t>
  </si>
  <si>
    <t>MF329</t>
  </si>
  <si>
    <t>SA12</t>
  </si>
  <si>
    <t>MF329L</t>
  </si>
  <si>
    <t>SA20</t>
  </si>
  <si>
    <t>MF330</t>
  </si>
  <si>
    <t>SA65</t>
  </si>
  <si>
    <t>MF55D23</t>
  </si>
  <si>
    <t>SA9</t>
  </si>
  <si>
    <t>MF55D23R</t>
  </si>
  <si>
    <t>SG100CT</t>
  </si>
  <si>
    <t>MF55D23L</t>
  </si>
  <si>
    <t>SG100</t>
  </si>
  <si>
    <t>MF65D23R</t>
  </si>
  <si>
    <t>SG200</t>
  </si>
  <si>
    <t>MF65D23L</t>
  </si>
  <si>
    <t>SG45</t>
  </si>
  <si>
    <t>MF323</t>
  </si>
  <si>
    <t>SG65</t>
  </si>
  <si>
    <t>MF323L</t>
  </si>
  <si>
    <t>115E41L</t>
  </si>
  <si>
    <t>MF75D23R</t>
  </si>
  <si>
    <t>145F51</t>
  </si>
  <si>
    <t>MF75D23L</t>
  </si>
  <si>
    <t>180G51</t>
  </si>
  <si>
    <t>MF80D23R</t>
  </si>
  <si>
    <t>26A19R</t>
  </si>
  <si>
    <t>MF80D23L</t>
  </si>
  <si>
    <t>40B20LS</t>
  </si>
  <si>
    <t>MFN50</t>
  </si>
  <si>
    <t>40B20RS</t>
  </si>
  <si>
    <t>MFN50L</t>
  </si>
  <si>
    <t>45B20LS</t>
  </si>
  <si>
    <t>MFN50Z</t>
  </si>
  <si>
    <t>45B20RS</t>
  </si>
  <si>
    <t>MFN50ZD</t>
  </si>
  <si>
    <t>4D150R</t>
  </si>
  <si>
    <t>MFN50ZL</t>
  </si>
  <si>
    <t>4D170L</t>
  </si>
  <si>
    <t>MFNS70</t>
  </si>
  <si>
    <t>4D170R</t>
  </si>
  <si>
    <t>MFNS70L</t>
  </si>
  <si>
    <t>4D200R</t>
  </si>
  <si>
    <t>MF356</t>
  </si>
  <si>
    <t>MF356L</t>
  </si>
  <si>
    <t>54519LH</t>
  </si>
  <si>
    <t>MF357</t>
  </si>
  <si>
    <t>55055R</t>
  </si>
  <si>
    <t>MF357L</t>
  </si>
  <si>
    <t>55059L</t>
  </si>
  <si>
    <t>MF80D26R</t>
  </si>
  <si>
    <t>55563RH</t>
  </si>
  <si>
    <t>MF80D26L</t>
  </si>
  <si>
    <t>55566LH</t>
  </si>
  <si>
    <t>MFNX1105</t>
  </si>
  <si>
    <t>56073L</t>
  </si>
  <si>
    <t>MFNX1105L</t>
  </si>
  <si>
    <t>56205LH</t>
  </si>
  <si>
    <t>MF90D26R</t>
  </si>
  <si>
    <t>56221R</t>
  </si>
  <si>
    <t>MF90D26L</t>
  </si>
  <si>
    <t>57233R</t>
  </si>
  <si>
    <t>MF95D26R</t>
  </si>
  <si>
    <t>57413R</t>
  </si>
  <si>
    <t>MF95D26L</t>
  </si>
  <si>
    <t>57519L</t>
  </si>
  <si>
    <t>MF115D26R</t>
  </si>
  <si>
    <t>57520R</t>
  </si>
  <si>
    <t>MF115D26L</t>
  </si>
  <si>
    <t>58821R</t>
  </si>
  <si>
    <t>MFN70</t>
  </si>
  <si>
    <t>60D26L</t>
  </si>
  <si>
    <t>MFN70L</t>
  </si>
  <si>
    <t>60D26R</t>
  </si>
  <si>
    <t>MFN70Z</t>
  </si>
  <si>
    <t>75D23L</t>
  </si>
  <si>
    <t>MFN70ZD</t>
  </si>
  <si>
    <t>75D23R</t>
  </si>
  <si>
    <t>MFN70ZL</t>
  </si>
  <si>
    <t>80D23L</t>
  </si>
  <si>
    <t>MF382</t>
  </si>
  <si>
    <t>80D23R</t>
  </si>
  <si>
    <t>MF383</t>
  </si>
  <si>
    <t>80D31L</t>
  </si>
  <si>
    <t>MFNX1207</t>
  </si>
  <si>
    <t>95D26R</t>
  </si>
  <si>
    <t>MFNX1207L</t>
  </si>
  <si>
    <t>N50ZD</t>
  </si>
  <si>
    <t>MFN70ZZ</t>
  </si>
  <si>
    <t>N70ZD</t>
  </si>
  <si>
    <t>MFN70ZZL</t>
  </si>
  <si>
    <t>N70ZZ</t>
  </si>
  <si>
    <t>MF384</t>
  </si>
  <si>
    <t>NS50L</t>
  </si>
  <si>
    <t>NS50</t>
  </si>
  <si>
    <t>MF384L</t>
  </si>
  <si>
    <t>MF385</t>
  </si>
  <si>
    <t>MF385L</t>
  </si>
  <si>
    <t>MF95D31R</t>
  </si>
  <si>
    <t>MF105D31</t>
  </si>
  <si>
    <t>MF105D31R</t>
  </si>
  <si>
    <t>MF105D31L</t>
  </si>
  <si>
    <t>MF110D31</t>
  </si>
  <si>
    <t>MF110D31R</t>
  </si>
  <si>
    <t>MF110D31L</t>
  </si>
  <si>
    <t>MF115D31</t>
  </si>
  <si>
    <t>MF115D31R</t>
  </si>
  <si>
    <t>MF115D31L</t>
  </si>
  <si>
    <t>MF125D31R</t>
  </si>
  <si>
    <t>MF125D31L</t>
  </si>
  <si>
    <t>MF135D31R</t>
  </si>
  <si>
    <t>MF135D31L</t>
  </si>
  <si>
    <t>MFN100</t>
  </si>
  <si>
    <t>MFN100L</t>
  </si>
  <si>
    <t>MFN120</t>
  </si>
  <si>
    <t>MFN150</t>
  </si>
  <si>
    <t>MFN200</t>
  </si>
  <si>
    <t>MF54459</t>
  </si>
  <si>
    <t>MF54459L</t>
  </si>
  <si>
    <t>MF54464R</t>
  </si>
  <si>
    <t>MF54464</t>
  </si>
  <si>
    <t>MF55055R</t>
  </si>
  <si>
    <t>MF55059</t>
  </si>
  <si>
    <t>MF55059L</t>
  </si>
  <si>
    <t>MF55559</t>
  </si>
  <si>
    <t>MF55559L</t>
  </si>
  <si>
    <t>MF55565</t>
  </si>
  <si>
    <t>MF55565L</t>
  </si>
  <si>
    <t>MF55565R</t>
  </si>
  <si>
    <t>MF355L</t>
  </si>
  <si>
    <t>MF355</t>
  </si>
  <si>
    <t>MF56073</t>
  </si>
  <si>
    <t>MF56073L</t>
  </si>
  <si>
    <t>MF56219</t>
  </si>
  <si>
    <t>MF56219L</t>
  </si>
  <si>
    <t>MF56221</t>
  </si>
  <si>
    <t>MF56221R</t>
  </si>
  <si>
    <t>MF56638</t>
  </si>
  <si>
    <t>MF56638L</t>
  </si>
  <si>
    <t>MF56633R</t>
  </si>
  <si>
    <t>MF56633</t>
  </si>
  <si>
    <t>MF366</t>
  </si>
  <si>
    <t>MF367</t>
  </si>
  <si>
    <t>MF57229</t>
  </si>
  <si>
    <t>MF57229L</t>
  </si>
  <si>
    <t>MF57233</t>
  </si>
  <si>
    <t>MF57233L</t>
  </si>
  <si>
    <t>MF57233R</t>
  </si>
  <si>
    <t>MF57412</t>
  </si>
  <si>
    <t>MF57412L</t>
  </si>
  <si>
    <t>MF57413</t>
  </si>
  <si>
    <t>MF57413R</t>
  </si>
  <si>
    <t>MF57519</t>
  </si>
  <si>
    <t>MF57519L</t>
  </si>
  <si>
    <t>MF57520</t>
  </si>
  <si>
    <t>MF57520R</t>
  </si>
  <si>
    <t>MF58024</t>
  </si>
  <si>
    <t>MF58024L</t>
  </si>
  <si>
    <t>MF58827</t>
  </si>
  <si>
    <t>MF58827L</t>
  </si>
  <si>
    <t>MF58821</t>
  </si>
  <si>
    <t>MF58821R</t>
  </si>
  <si>
    <t>MF60038</t>
  </si>
  <si>
    <t>MF60038L</t>
  </si>
  <si>
    <t>MF388</t>
  </si>
  <si>
    <t>MF67018</t>
  </si>
  <si>
    <t>MF67018L</t>
  </si>
  <si>
    <t>MF72018</t>
  </si>
  <si>
    <t>MF72018L</t>
  </si>
  <si>
    <t>MF4D200</t>
  </si>
  <si>
    <t>MF4D200L</t>
  </si>
  <si>
    <t>MF4D200R</t>
  </si>
  <si>
    <t>MF4D180R</t>
  </si>
  <si>
    <t>MF4D170</t>
  </si>
  <si>
    <t>MF4D170L</t>
  </si>
  <si>
    <t>MF4D170R</t>
  </si>
  <si>
    <t>MF4D150</t>
  </si>
  <si>
    <t>MF4D150R</t>
  </si>
  <si>
    <t>MFNS50</t>
  </si>
  <si>
    <t>MFNS50L</t>
  </si>
  <si>
    <t>MF54519L</t>
  </si>
  <si>
    <t>MF54519</t>
  </si>
  <si>
    <t>MF54519LLH</t>
  </si>
  <si>
    <t>MF55566</t>
  </si>
  <si>
    <t>MF55566LLH</t>
  </si>
  <si>
    <t>MF55563</t>
  </si>
  <si>
    <t>MF55563LLH</t>
  </si>
  <si>
    <t>MF56205</t>
  </si>
  <si>
    <t>MF56205LLH</t>
  </si>
  <si>
    <t>MF56640</t>
  </si>
  <si>
    <t>MF56640LLH</t>
  </si>
  <si>
    <t>MF57540</t>
  </si>
  <si>
    <t>MF57540LLH</t>
  </si>
  <si>
    <t>MF58815</t>
  </si>
  <si>
    <t>MF58815LLH</t>
  </si>
  <si>
    <t>DEEP CYCLE KONVENSIONAL</t>
  </si>
  <si>
    <t>DEEP CYCLE MF</t>
  </si>
  <si>
    <t>MF (MCB)</t>
  </si>
  <si>
    <t>GTZ5S</t>
  </si>
  <si>
    <t>GTZ6V</t>
  </si>
  <si>
    <t>SA105</t>
  </si>
  <si>
    <t>STATIONARY</t>
  </si>
  <si>
    <t>SA105FT12</t>
  </si>
  <si>
    <t>SG105FT12</t>
  </si>
  <si>
    <t>DEEP CYCLE GOLF CAR</t>
  </si>
  <si>
    <t>6D115SH</t>
  </si>
  <si>
    <t>6D135H</t>
  </si>
  <si>
    <t>6D135SH</t>
  </si>
  <si>
    <t>ISS  EFB</t>
  </si>
  <si>
    <t>EFBM42</t>
  </si>
  <si>
    <t>EFBQ85</t>
  </si>
  <si>
    <t>Medium</t>
  </si>
  <si>
    <t>small</t>
  </si>
  <si>
    <t>medium</t>
  </si>
  <si>
    <t>big</t>
  </si>
  <si>
    <t>Size</t>
  </si>
  <si>
    <t>PN</t>
  </si>
  <si>
    <t>Plate Positif</t>
  </si>
  <si>
    <t>Plate Negatif</t>
  </si>
  <si>
    <t>ACDP-105D31L-B8C3</t>
  </si>
  <si>
    <t>W-FOPL-CG85PXX-L870-02-7S00</t>
  </si>
  <si>
    <t>W-FOPL-CG87NXX-T3L0-02-7S00</t>
  </si>
  <si>
    <t>ACDP-105D31R-B6C4</t>
  </si>
  <si>
    <t>ACDP-105D31R-B8C3</t>
  </si>
  <si>
    <t>ACDP-115F51L-C1C3</t>
  </si>
  <si>
    <t>W-FOPL-CG80PXX-L870-02-7S00</t>
  </si>
  <si>
    <t>ACDP-115F51X-B9C4</t>
  </si>
  <si>
    <t>W-FOPL-CG82PXX-L870-02-7S00</t>
  </si>
  <si>
    <t>ACDP-115F51X-C1C3</t>
  </si>
  <si>
    <t>ACDP-115F51X-C4C2</t>
  </si>
  <si>
    <t>W-FOPL-CG85NXX-T3L0-02-7S00</t>
  </si>
  <si>
    <t>ACDP-115F51X-C5C1</t>
  </si>
  <si>
    <t>ACDP-130F51X-C5C1</t>
  </si>
  <si>
    <t>ACDP-145G51L-C7C3</t>
  </si>
  <si>
    <t>ACDP-145G51X-C3C5</t>
  </si>
  <si>
    <t>ACDP-145G51X-C5C4</t>
  </si>
  <si>
    <t>ACDP-145G51X-C7C3</t>
  </si>
  <si>
    <t>ACDP-145G51X-D0C2</t>
  </si>
  <si>
    <t>ACDP-145G51X-D1C1</t>
  </si>
  <si>
    <t>ACDP-155G51X-D1C1</t>
  </si>
  <si>
    <t>ACDP-165G51L-D1C1</t>
  </si>
  <si>
    <t>ACDP-165G51X-D1C3</t>
  </si>
  <si>
    <t>ACDP-190H52X-C9C7</t>
  </si>
  <si>
    <t>ACDP-190H52X-D1C6</t>
  </si>
  <si>
    <t>ACDP-190H52X-D5C4</t>
  </si>
  <si>
    <t>ACDP-190H52X-D7C2</t>
  </si>
  <si>
    <t>ACDP-190H52X-D7C3</t>
  </si>
  <si>
    <t>ACDP-190H52X-E1C1</t>
  </si>
  <si>
    <t>ACDP-210H52X-E1C1</t>
  </si>
  <si>
    <t>ACDP-32B20LS-A7C4</t>
  </si>
  <si>
    <t>W-FOPL-CM84APX-L870-02-7S00</t>
  </si>
  <si>
    <t>W-FOPL-CM8786N-T3L0-02-7S00</t>
  </si>
  <si>
    <t>ACDP-32B20LS-A9C3</t>
  </si>
  <si>
    <t>ACDP-32B20LX-A7C4</t>
  </si>
  <si>
    <t>ACDP-32B20LX-A9C3</t>
  </si>
  <si>
    <t>ACDP-32B20LX-B0C2</t>
  </si>
  <si>
    <t>ACDP-32B20RS-A7C4</t>
  </si>
  <si>
    <t>ACDP-32B20RS-A9C3</t>
  </si>
  <si>
    <t>ACDP-32B20RX-A7C4</t>
  </si>
  <si>
    <t>ACDP-32B20RX-A9C3</t>
  </si>
  <si>
    <t>ACDP-32B20RX-B0C2</t>
  </si>
  <si>
    <t>ACDP-32C24LX-A9C4</t>
  </si>
  <si>
    <t>ACDP-32C24LX-B1C3</t>
  </si>
  <si>
    <t>ACDP-32C24LX-B3C2</t>
  </si>
  <si>
    <t>ACDP-32C24RX-A9C4</t>
  </si>
  <si>
    <t>ACDP-32C24RX-B1C3</t>
  </si>
  <si>
    <t>ACDP-32C24RX-B3C2</t>
  </si>
  <si>
    <t>ACDP-36B20LS-A9C4</t>
  </si>
  <si>
    <t>ACDP-36B20LS-B0C3</t>
  </si>
  <si>
    <t>ACDP-36B20LX-A9C4</t>
  </si>
  <si>
    <t>ACDP-36B20LX-B0C3</t>
  </si>
  <si>
    <t>ACDP-36B20LX-B1C3</t>
  </si>
  <si>
    <t>ACDP-36B20LX-B2C2</t>
  </si>
  <si>
    <t>ACDP-36B20RS-A9C4</t>
  </si>
  <si>
    <t>ACDP-36B20RS-B0C3</t>
  </si>
  <si>
    <t>ACDP-36B20RX-A9C4</t>
  </si>
  <si>
    <t>ACDP-36B20RX-B0C3</t>
  </si>
  <si>
    <t>ACDP-36B20RX-B1C3</t>
  </si>
  <si>
    <t>ACDP-36B20RX-B2C2</t>
  </si>
  <si>
    <t>ACDP-46B24LS-B1C3</t>
  </si>
  <si>
    <t>ACDP-46B24LS-B1C4</t>
  </si>
  <si>
    <t>ACDP-46B24LS-B2C3</t>
  </si>
  <si>
    <t>ACDP-46B24LX-B1C3</t>
  </si>
  <si>
    <t>ACDP-46B24LX-B1C4</t>
  </si>
  <si>
    <t>ACDP-46B24LX-B2C3</t>
  </si>
  <si>
    <t>ACDP-46B24LX-B5C2</t>
  </si>
  <si>
    <t>ACDP-46B24RS-B1C3</t>
  </si>
  <si>
    <t>ACDP-46B24RS-B1C4</t>
  </si>
  <si>
    <t>ACDP-46B24RS-B2C3</t>
  </si>
  <si>
    <t>ACDP-46B24RX-B1C3</t>
  </si>
  <si>
    <t>ACDP-46B24RX-B1C4</t>
  </si>
  <si>
    <t>ACDP-46B24RX-B2C3</t>
  </si>
  <si>
    <t>ACDP-46B24RX-B5C2</t>
  </si>
  <si>
    <t>ACDP-48D26LX-A7C4</t>
  </si>
  <si>
    <t>ACDP-48D26LX-A9C3</t>
  </si>
  <si>
    <t>ACDP-48D26LX-B1C2</t>
  </si>
  <si>
    <t>ACDP-48D26LX-B2C2</t>
  </si>
  <si>
    <t>ACDP-48D26RX-A7C4</t>
  </si>
  <si>
    <t>ACDP-48D26RX-A9C3</t>
  </si>
  <si>
    <t>ACDP-48D26RX-B1C2</t>
  </si>
  <si>
    <t>ACDP-48D26RX-B2C2</t>
  </si>
  <si>
    <t>ACDP-54519LX-B1C3</t>
  </si>
  <si>
    <t>W-FOPL-CR82PXX-L870-02-7S00</t>
  </si>
  <si>
    <t>W-FOPL-CR87NXX-T3L0-02-7S00</t>
  </si>
  <si>
    <t>ACDP-55559LX-A9C4</t>
  </si>
  <si>
    <t>ACDP-55559LX-B1C3</t>
  </si>
  <si>
    <t>ACDP-55565RX-A9C4</t>
  </si>
  <si>
    <t>ACDP-55565RX-B1C3</t>
  </si>
  <si>
    <t>ACDP-55D23LX-A9C4</t>
  </si>
  <si>
    <t>ACDP-55D23LX-B0C3</t>
  </si>
  <si>
    <t>ACDP-55D23LX-B2C2</t>
  </si>
  <si>
    <t>ACDP-55D23RX-A9C4</t>
  </si>
  <si>
    <t>ACDP-55D23RX-B0C3</t>
  </si>
  <si>
    <t>ACDP-55D23RX-B2C2</t>
  </si>
  <si>
    <t>ACDP-55D26LX-A9C4</t>
  </si>
  <si>
    <t>ACDP-55D26LX-B1C3</t>
  </si>
  <si>
    <t>ACDP-55D26LX-B2C2</t>
  </si>
  <si>
    <t>ACDP-55D26RX-A9C4</t>
  </si>
  <si>
    <t>ACDP-55D26RX-B1C3</t>
  </si>
  <si>
    <t>ACDP-55D26RX-B2C2</t>
  </si>
  <si>
    <t>ACDP-56048LX-B2C2</t>
  </si>
  <si>
    <t>ACDP-56219LX-B3C3</t>
  </si>
  <si>
    <t>ACDP-56638LX-B3C3</t>
  </si>
  <si>
    <t>ACDP-57412LX-B5C3</t>
  </si>
  <si>
    <t>ACDP-58024LX-B5C3</t>
  </si>
  <si>
    <t>ACDP-58827LX-B5C4</t>
  </si>
  <si>
    <t>ACDP-58827LX-B7C3</t>
  </si>
  <si>
    <t>ACDP-65038LX-D1C3</t>
  </si>
  <si>
    <t>ACDP-65D26LX-B1C4</t>
  </si>
  <si>
    <t>ACDP-65D26LX-B2C3</t>
  </si>
  <si>
    <t>ACDP-65D26LX-B4C2</t>
  </si>
  <si>
    <t>ACDP-65D26RX-B1C4</t>
  </si>
  <si>
    <t>ACDP-65D26RX-B2C3</t>
  </si>
  <si>
    <t>ACDP-65D26RX-B4C2</t>
  </si>
  <si>
    <t>ACDP-65D31LX-B1C4</t>
  </si>
  <si>
    <t>ACDP-65D31LX-B3C3</t>
  </si>
  <si>
    <t>ACDP-65D31LX-B5C2</t>
  </si>
  <si>
    <t>ACDP-65D31RX-B1C4</t>
  </si>
  <si>
    <t>ACDP-65D31RX-B3C3</t>
  </si>
  <si>
    <t>ACDP-65D31RX-B5C1</t>
  </si>
  <si>
    <t>ACDP-65D31RX-B5C2</t>
  </si>
  <si>
    <t>ACDP-67018LX-D5C3</t>
  </si>
  <si>
    <t>ACDP-70027LX-E1C3</t>
  </si>
  <si>
    <t>ACDP-75D31LX-B3C4</t>
  </si>
  <si>
    <t>ACDP-75D31LX-B4C3</t>
  </si>
  <si>
    <t>ACDP-75D31LX-B6C1</t>
  </si>
  <si>
    <t>ACDP-75D31LX-B6C2</t>
  </si>
  <si>
    <t>ACDP-75D31RX-B3C4</t>
  </si>
  <si>
    <t>ACDP-75D31RX-B4C3</t>
  </si>
  <si>
    <t>ACDP-75D31RX-B6C2</t>
  </si>
  <si>
    <t>ACDP-80D26LX-B2C4</t>
  </si>
  <si>
    <t>ACDP-80D26LX-B4C2</t>
  </si>
  <si>
    <t>ACDP-80D26LX-B4C3</t>
  </si>
  <si>
    <t>ACDP-80D26LX-B5C2</t>
  </si>
  <si>
    <t>ACDP-80D26RX-B2C4</t>
  </si>
  <si>
    <t>ACDP-80D26RX-B4C3</t>
  </si>
  <si>
    <t>ACDP-95D31LX-B5C4</t>
  </si>
  <si>
    <t>ACDP-95D31LX-B7C3</t>
  </si>
  <si>
    <t>ACDP-95D31LX-B8C2</t>
  </si>
  <si>
    <t>ACDP-95D31RX-B5C4</t>
  </si>
  <si>
    <t>ACDP-95D31RX-B7C3</t>
  </si>
  <si>
    <t>ACDP-95D31RX-B8C2</t>
  </si>
  <si>
    <t>ACDP-95E41LX-B5C4</t>
  </si>
  <si>
    <t>ACDP-95E41LX-B7C3</t>
  </si>
  <si>
    <t>ACDP-95E41RX-B5C4</t>
  </si>
  <si>
    <t>ACDP-95E41RX-B7C3</t>
  </si>
  <si>
    <t>ACDP-95E41RX-C0C2</t>
  </si>
  <si>
    <t>ACDP-95E41RX-C1C1</t>
  </si>
  <si>
    <t>ACDP-N03XXXX-B5C3</t>
  </si>
  <si>
    <t>ACDP-N100TDF-B9C3</t>
  </si>
  <si>
    <t>W-FOPL-CG79PXX-L34A-02-7S00</t>
  </si>
  <si>
    <t>W-FOPL-CG84NXX-T3S0-02-7S0A</t>
  </si>
  <si>
    <t>ACDP-N100TXX-B9C3</t>
  </si>
  <si>
    <t>ACDP-N12DXXX-B9C3</t>
  </si>
  <si>
    <t>ACDP-N150TDF-C9C3</t>
  </si>
  <si>
    <t>ACDP-N150TXX-C9C3</t>
  </si>
  <si>
    <t>ACDP-N200TDF-D7C3</t>
  </si>
  <si>
    <t>ACDP-N200TXX-D7C3</t>
  </si>
  <si>
    <t>ACDP-N70TDFX-B5C3</t>
  </si>
  <si>
    <t>ACDP-N70TXXX-B5C3</t>
  </si>
  <si>
    <t>ACDR-6D115XX-B7C3</t>
  </si>
  <si>
    <t>W-FOPL-DF72PXX-L34A-01-7S00</t>
  </si>
  <si>
    <t>W-FOPL-DF78NXX-T3S0-01-7S0A</t>
  </si>
  <si>
    <t>ACDR-6D135XX-B9C3</t>
  </si>
  <si>
    <t>ACUP-105D31L-B8C3</t>
  </si>
  <si>
    <t>W-UNPL-CG85PXX-L870-02-7S00</t>
  </si>
  <si>
    <t>W-UNPL-CG87NXX-T3L0-02-7S00</t>
  </si>
  <si>
    <t>ACUP-105D31R-B8C3</t>
  </si>
  <si>
    <t>ACUP-115F51X-B9C4</t>
  </si>
  <si>
    <t>W-UNPL-CG82PXX-L870-02-7S00</t>
  </si>
  <si>
    <t>ACUP-115F51X-C1C3</t>
  </si>
  <si>
    <t>W-UNPL-CG80PXX-L870-02-7S00</t>
  </si>
  <si>
    <t>ACUP-145G51L-C7C3</t>
  </si>
  <si>
    <t>ACUP-145G51X-C3C5</t>
  </si>
  <si>
    <t>ACUP-145G51X-C5C4</t>
  </si>
  <si>
    <t>ACUP-145G51X-C7C3</t>
  </si>
  <si>
    <t>ACUP-190H52X-C9C7</t>
  </si>
  <si>
    <t>ACUP-190H52X-D1C6</t>
  </si>
  <si>
    <t>ACUP-190H52X-D3C5</t>
  </si>
  <si>
    <t>ACUP-190H52X-D7C3</t>
  </si>
  <si>
    <t>ACUP-32B20LX-A7C4</t>
  </si>
  <si>
    <t>W-UNPL-CM84APX-L870-02-7S00</t>
  </si>
  <si>
    <t>W-UNPL-CM8786N-T3L0-02-7S00</t>
  </si>
  <si>
    <t>ACUP-32B20LX-A9C3</t>
  </si>
  <si>
    <t>ACUP-32B20RS-A9C3</t>
  </si>
  <si>
    <t>ACUP-32B20RX-A7C4</t>
  </si>
  <si>
    <t>ACUP-32B20RX-A9C3</t>
  </si>
  <si>
    <t>ACUP-32C24LX-A9C4</t>
  </si>
  <si>
    <t>ACUP-32C24LX-B1C3</t>
  </si>
  <si>
    <t>ACUP-32C24RX-A9C4</t>
  </si>
  <si>
    <t>ACUP-32C24RX-B1C3</t>
  </si>
  <si>
    <t>ACUP-36B20LS-A9C4</t>
  </si>
  <si>
    <t>ACUP-36B20LS-B0C3</t>
  </si>
  <si>
    <t>ACUP-36B20LX-A7C5</t>
  </si>
  <si>
    <t>ACUP-36B20LX-A9C4</t>
  </si>
  <si>
    <t>ACUP-36B20LX-B0C3</t>
  </si>
  <si>
    <t>ACUP-36B20RX-A7C5</t>
  </si>
  <si>
    <t>ACUP-36B20RX-A9C4</t>
  </si>
  <si>
    <t>ACUP-36B20RX-B0C3</t>
  </si>
  <si>
    <t>ACUP-46B24LS-A9C5</t>
  </si>
  <si>
    <t>ACUP-46B24LS-B1C4</t>
  </si>
  <si>
    <t>ACUP-46B24LS-B2C3</t>
  </si>
  <si>
    <t>ACUP-46B24LX-A9C5</t>
  </si>
  <si>
    <t>ACUP-46B24LX-B1C4</t>
  </si>
  <si>
    <t>ACUP-46B24LX-B2C3</t>
  </si>
  <si>
    <t>ACUP-46B24RS-A9C5</t>
  </si>
  <si>
    <t>ACUP-46B24RS-B1C4</t>
  </si>
  <si>
    <t>ACUP-46B24RS-B2C3</t>
  </si>
  <si>
    <t>ACUP-46B24RX-A9C5</t>
  </si>
  <si>
    <t>ACUP-46B24RX-B1C4</t>
  </si>
  <si>
    <t>ACUP-46B24RX-B2C3</t>
  </si>
  <si>
    <t>ACUP-48D26RX-A9C3</t>
  </si>
  <si>
    <t>ACUP-54459LX-A9C3</t>
  </si>
  <si>
    <t>ACUP-55559LX-A9C4</t>
  </si>
  <si>
    <t>ACUP-55559LX-B1C3</t>
  </si>
  <si>
    <t>ACUP-55565RX-A9C4</t>
  </si>
  <si>
    <t>ACUP-55565RX-B1C3</t>
  </si>
  <si>
    <t>ACUP-55D23LX-A9C4</t>
  </si>
  <si>
    <t>W-UNPL-CG85NXX-T3L0-02-7S00</t>
  </si>
  <si>
    <t>ACUP-55D23LX-B0C3</t>
  </si>
  <si>
    <t>ACUP-55D23RX-B0C3</t>
  </si>
  <si>
    <t>ACUP-55D26LX-A9C4</t>
  </si>
  <si>
    <t>ACUP-55D26RX-A9C4</t>
  </si>
  <si>
    <t>ACUP-56638LX-B3C3</t>
  </si>
  <si>
    <t>ACUP-58024LX-B5C3</t>
  </si>
  <si>
    <t>ACUP-65038LX-D1C3</t>
  </si>
  <si>
    <t>ACUP-65D26LX-A9C5</t>
  </si>
  <si>
    <t>ACUP-65D26LX-B1C4</t>
  </si>
  <si>
    <t>ACUP-65D26LX-B2C3</t>
  </si>
  <si>
    <t>ACUP-65D26LX-B3C3</t>
  </si>
  <si>
    <t>ACUP-65D26RX-A9C5</t>
  </si>
  <si>
    <t>ACUP-65D26RX-B1C4</t>
  </si>
  <si>
    <t>ACUP-65D26RX-B2C3</t>
  </si>
  <si>
    <t>ACUP-65D26RX-B3C3</t>
  </si>
  <si>
    <t>ACUP-65D31LX-B1C4</t>
  </si>
  <si>
    <t>ACUP-65D31LX-B3C3</t>
  </si>
  <si>
    <t>ACUP-65D31RX-B1C4</t>
  </si>
  <si>
    <t>ACUP-65D31RX-B3C3</t>
  </si>
  <si>
    <t>ACUP-67018LX-D5C3</t>
  </si>
  <si>
    <t>ACUP-70027LX-E1C3</t>
  </si>
  <si>
    <t>ACUP-75D31LX-B3C4</t>
  </si>
  <si>
    <t>ACUP-75D31LX-B4C3</t>
  </si>
  <si>
    <t>ACUP-75D31LX-B5C3</t>
  </si>
  <si>
    <t>ACUP-75D31RX-B3C4</t>
  </si>
  <si>
    <t>ACUP-75D31RX-B4C3</t>
  </si>
  <si>
    <t>ACUP-75D31RX-B5C3</t>
  </si>
  <si>
    <t>ACUP-80D26LX-B4C3</t>
  </si>
  <si>
    <t>ACUP-80D26RX-B4C3</t>
  </si>
  <si>
    <t>ACUP-95D31LX-B3C5</t>
  </si>
  <si>
    <t>ACUP-95D31LX-B5C4</t>
  </si>
  <si>
    <t>ACUP-95D31LX-B7C3</t>
  </si>
  <si>
    <t>ACUP-95D31RX-B3C5</t>
  </si>
  <si>
    <t>ACUP-95D31RX-B5C4</t>
  </si>
  <si>
    <t>ACUP-95D31RX-B7C3</t>
  </si>
  <si>
    <t>ACUP-95E41LX-B5C4</t>
  </si>
  <si>
    <t>ACUP-95E41LX-B7C3</t>
  </si>
  <si>
    <t>ACUP-95E41RX-B5C4</t>
  </si>
  <si>
    <t>ACUP-95E41RX-B7C3</t>
  </si>
  <si>
    <t>ACWP-115F51X-B9C4</t>
  </si>
  <si>
    <t>ACWP-145G51X-C3C5</t>
  </si>
  <si>
    <t>ACWP-190H52X-D1C6</t>
  </si>
  <si>
    <t>ACWP-36B20LX-A7C5</t>
  </si>
  <si>
    <t>ACWP-36B20LX-A9C4</t>
  </si>
  <si>
    <t>ACWP-46B24LX-A9C5</t>
  </si>
  <si>
    <t>ACWP-46B24LX-B1C4</t>
  </si>
  <si>
    <t>ACWP-46B24RS-B1C4</t>
  </si>
  <si>
    <t>ACWP-46B24RX-A9C5</t>
  </si>
  <si>
    <t>ACWP-46B24RX-B1C4</t>
  </si>
  <si>
    <t>ACWP-65D26LX-B1C4</t>
  </si>
  <si>
    <t>ACWP-65D26RX-B1C4</t>
  </si>
  <si>
    <t>ACWP-95D31LX-B5C4</t>
  </si>
  <si>
    <t>ACWP-95D31RX-B5C4</t>
  </si>
  <si>
    <t>ACWP-95E41LX-B5C4</t>
  </si>
  <si>
    <t>ACWP-95E41RX-B5C4</t>
  </si>
  <si>
    <t>ACWR-6D115XX-B7C3</t>
  </si>
  <si>
    <t>ACWR-6D135XX-B9C3</t>
  </si>
  <si>
    <t>W-UNPL-DF72PXX-L34A-01-7S00</t>
  </si>
  <si>
    <t>W-UNPL-DF78NXX-T3S0-01-7S0A</t>
  </si>
  <si>
    <t>ACWR-8D90XXX-B4C3</t>
  </si>
  <si>
    <t>AHWP-32B20LS-A8A3</t>
  </si>
  <si>
    <t>W-UNPL-WM85NXX-T3AF-00-7S00</t>
  </si>
  <si>
    <t>AHWP-32B20LX-A8A3</t>
  </si>
  <si>
    <t>AHWP-32B20LX-A8C3</t>
  </si>
  <si>
    <t>W-UNPL-YM84NXX-T3A0-02-7S00</t>
  </si>
  <si>
    <t>AHWP-32B20RS-A8A3</t>
  </si>
  <si>
    <t>AHWP-32B20RX-A8A3</t>
  </si>
  <si>
    <t>AHWP-32B20RX-A8C3</t>
  </si>
  <si>
    <t>AHWP-34B20LX-B0A3</t>
  </si>
  <si>
    <t>AHWP-34B20LX-B0C3</t>
  </si>
  <si>
    <t>AHWP-34B20RX-B0A3</t>
  </si>
  <si>
    <t>AHWP-36B20LS-B0A3</t>
  </si>
  <si>
    <t>AHWP-36B20LX-B0A3</t>
  </si>
  <si>
    <t>AHWP-36B20LX-B0C3</t>
  </si>
  <si>
    <t>AHWP-36B20LX-B1C3</t>
  </si>
  <si>
    <t>AHWP-36B20RX-B0A3</t>
  </si>
  <si>
    <t>AHWP-36B20RX-B0C3</t>
  </si>
  <si>
    <t>AHWP-36B20RX-B1C3</t>
  </si>
  <si>
    <t>AHWP-46B24LS-B1A3</t>
  </si>
  <si>
    <t>AHWP-46B24LX-B1A3</t>
  </si>
  <si>
    <t>AHWP-46B24LX-B2C3</t>
  </si>
  <si>
    <t>AHWP-46B24RS-B1A3</t>
  </si>
  <si>
    <t>AHWP-46B24RX-B1A3</t>
  </si>
  <si>
    <t>AHWP-46B24RX-B2C3</t>
  </si>
  <si>
    <t>AHWP-48D26LX-A8A3</t>
  </si>
  <si>
    <t>W-UNPL-CG85EPX-L870-02-7C00</t>
  </si>
  <si>
    <t>W-UNPL-WG87NXX-T3AF-00-7C00</t>
  </si>
  <si>
    <t>AHWP-48D26RX-A8A3</t>
  </si>
  <si>
    <t>AHWP-55D23LX-B0A3</t>
  </si>
  <si>
    <t>AHWP-55D23RX-B0A3</t>
  </si>
  <si>
    <t>AHWP-55D26LX-B0A3</t>
  </si>
  <si>
    <t>AHWP-55D26RX-B0A3</t>
  </si>
  <si>
    <t>AHWP-65D26LX-B2A3</t>
  </si>
  <si>
    <t>AHWP-65D26RX-B2A3</t>
  </si>
  <si>
    <t>AHWP-65D31LX-B2A3</t>
  </si>
  <si>
    <t>AHWP-65D31RX-B2A3</t>
  </si>
  <si>
    <t>AHWP-75D31LX-B4A3</t>
  </si>
  <si>
    <t>AHWP-75D31RX-B4A3</t>
  </si>
  <si>
    <t>AHWP-80D26LX-B3A3</t>
  </si>
  <si>
    <t>AHWP-80D26RX-B3A3</t>
  </si>
  <si>
    <t>AHWP-95D31LX-B6A3</t>
  </si>
  <si>
    <t>AHWP-95D31RX-B6A3</t>
  </si>
  <si>
    <t>AMDA-TZ5SKIT-A7C3</t>
  </si>
  <si>
    <t>W-FOPL-M8783PX-L87C-08-9S0A</t>
  </si>
  <si>
    <t>W-FOPL-M8786NX-T3AC-08-9S0A</t>
  </si>
  <si>
    <t>AMDA-TZ6VKIT-A7C3</t>
  </si>
  <si>
    <t>W-FOPL-YH84PXX-L87C-06-9S0A</t>
  </si>
  <si>
    <t>W-FOPL-YH86NXX-T3AC-06-9S0A</t>
  </si>
  <si>
    <t>AMUP-100D31L-B4P3</t>
  </si>
  <si>
    <t>W-UNPL-WG83PXX-L65F-00-7C00</t>
  </si>
  <si>
    <t>AMUP-100D31R-B4P3</t>
  </si>
  <si>
    <t>AMUP-110D31L-B6P3</t>
  </si>
  <si>
    <t>AMUP-110D31R-B6P3</t>
  </si>
  <si>
    <t>AMUP-115D26L-B3P3</t>
  </si>
  <si>
    <t>AMUP-115D26R-B3P3</t>
  </si>
  <si>
    <t>AMUP-115D31L-B4P4</t>
  </si>
  <si>
    <t>AMUP-115D31L-B8P3</t>
  </si>
  <si>
    <t>AMUP-115D31R-B4P4</t>
  </si>
  <si>
    <t>AMUP-115D31R-B8P3</t>
  </si>
  <si>
    <t>AMUP-115E41R-B7C3</t>
  </si>
  <si>
    <t>W-UNPL-YG8079P-L650-02-7S00</t>
  </si>
  <si>
    <t>W-UNPL-YG85NXX-T3A0-02-7S00</t>
  </si>
  <si>
    <t>AMUP-115F51X-B9C4</t>
  </si>
  <si>
    <t>AMUP-115F51X-C1C3</t>
  </si>
  <si>
    <t>AMUP-125D31L-B8P3</t>
  </si>
  <si>
    <t>AMUP-125D31R-B8P3</t>
  </si>
  <si>
    <t>AMUP-135D31L-B6P3</t>
  </si>
  <si>
    <t>AMUP-135D31R-B6P3</t>
  </si>
  <si>
    <t>AMUP-135F51X-C1C3</t>
  </si>
  <si>
    <t>AMUP-145G51X-C5C4</t>
  </si>
  <si>
    <t>W-UNPL-YG82PXX-L650-02-7S00</t>
  </si>
  <si>
    <t>AMUP-145G51X-C7C3</t>
  </si>
  <si>
    <t>AMUP-170G51X-C7C3</t>
  </si>
  <si>
    <t>AMUP-190H52X-D4P3</t>
  </si>
  <si>
    <t>AMUP-190H52X-D5C4</t>
  </si>
  <si>
    <t>AMUP-190H52X-D7C3</t>
  </si>
  <si>
    <t>AMUP-210H52X-D4P3</t>
  </si>
  <si>
    <t>AMUP-210H52X-D7C3</t>
  </si>
  <si>
    <t>AMUP-26A19LX-A9C3</t>
  </si>
  <si>
    <t>W-UNPL-YL80PXX-L650-02-7S00</t>
  </si>
  <si>
    <t>W-UNPL-YL84NXX-T3A0-02-7S00</t>
  </si>
  <si>
    <t>AMUP-32B20LX-A7P4</t>
  </si>
  <si>
    <t>W-UNPL-WM84PXX-L65F-00-7S00</t>
  </si>
  <si>
    <t>AMUP-32B20RX-A7P4</t>
  </si>
  <si>
    <t>AMUP-32B20RX-A9P3</t>
  </si>
  <si>
    <t>AMUP-32C24LX-A9P4</t>
  </si>
  <si>
    <t>AMUP-32C24RX-A9P4</t>
  </si>
  <si>
    <t>AMUP-36B20LX-A7P5</t>
  </si>
  <si>
    <t>AMUP-36B20LX-A8P4</t>
  </si>
  <si>
    <t>AMUP-36B20LX-A9P4</t>
  </si>
  <si>
    <t>AMUP-36B20LX-B0P3</t>
  </si>
  <si>
    <t>AMUP-36B20RX-A7P5</t>
  </si>
  <si>
    <t>AMUP-36B20RX-A8P4</t>
  </si>
  <si>
    <t>AMUP-40B20LX-A9P3</t>
  </si>
  <si>
    <t>AMUP-40B20RX-A9P3</t>
  </si>
  <si>
    <t>AMUP-45B20LX-B0P3</t>
  </si>
  <si>
    <t>AMUP-45B20RX-B0P3</t>
  </si>
  <si>
    <t>AMUP-45C24LX-B0P3</t>
  </si>
  <si>
    <t>AMUP-45C24RX-B0P3</t>
  </si>
  <si>
    <t>AMUP-46B24LS-A9P5</t>
  </si>
  <si>
    <t>AMUP-46B24LS-B0P4</t>
  </si>
  <si>
    <t>AMUP-46B24LS-B1P3</t>
  </si>
  <si>
    <t>AMUP-46B24LX-A9P5</t>
  </si>
  <si>
    <t>AMUP-46B24LX-B0P4</t>
  </si>
  <si>
    <t>AMUP-46B24LX-B1P3</t>
  </si>
  <si>
    <t>AMUP-46B24RS-A9P5</t>
  </si>
  <si>
    <t>AMUP-46B24RS-B0P4</t>
  </si>
  <si>
    <t>AMUP-46B24RX-A9P5</t>
  </si>
  <si>
    <t>AMUP-46B24RX-B0P4</t>
  </si>
  <si>
    <t>AMUP-46B24RX-B1P3</t>
  </si>
  <si>
    <t>AMUP-50B24LS-B1P3</t>
  </si>
  <si>
    <t>AMUP-50B24LX-B1P3</t>
  </si>
  <si>
    <t>AMUP-50B24RS-B1P3</t>
  </si>
  <si>
    <t>AMUP-50B24RX-B1P3</t>
  </si>
  <si>
    <t>AMUP-54519LH-B1C3</t>
  </si>
  <si>
    <t>W-UNPL-YD84PXX-L870-02-7S00</t>
  </si>
  <si>
    <t>W-UNPL-YD85NXX-T3A0-02-7S00</t>
  </si>
  <si>
    <t>AMUP-55559LX-B0C3</t>
  </si>
  <si>
    <t>W-UNPL-YG82HDP-L650-02-7S00</t>
  </si>
  <si>
    <t>AMUP-55559LX-B2C2</t>
  </si>
  <si>
    <t>AMUP-55565RX-B0C3</t>
  </si>
  <si>
    <t>AMUP-55565RX-B2C2</t>
  </si>
  <si>
    <t>AMUP-55D23LX-A9P4</t>
  </si>
  <si>
    <t>AMUP-55D23LX-B0P3</t>
  </si>
  <si>
    <t>AMUP-55D26LX-B0P3</t>
  </si>
  <si>
    <t>AMUP-55D26RX-B0P3</t>
  </si>
  <si>
    <t>AMUP-56638LX-B2C3</t>
  </si>
  <si>
    <t>AMUP-56640LH-B5C3</t>
  </si>
  <si>
    <t>AMUP-57229LX-B4C3</t>
  </si>
  <si>
    <t>W-UNPL-YG79HDP-L650-02-7S00</t>
  </si>
  <si>
    <t>AMUP-57412LX-B4C3</t>
  </si>
  <si>
    <t>AMUP-57519LX-B4C3</t>
  </si>
  <si>
    <t>AMUP-57540LH-B7C3</t>
  </si>
  <si>
    <t>AMUP-58024LX-B4C3</t>
  </si>
  <si>
    <t>AMUP-58815LH-C1C3</t>
  </si>
  <si>
    <t>AMUP-58827LX-B6C3</t>
  </si>
  <si>
    <t>AMUP-60038LX-B8C3</t>
  </si>
  <si>
    <t>AMUP-65D23LX-B0P3</t>
  </si>
  <si>
    <t>AMUP-65D23RX-B0P3</t>
  </si>
  <si>
    <t>AMUP-65D26LX-B0P4</t>
  </si>
  <si>
    <t>AMUP-65D26LX-B3P3</t>
  </si>
  <si>
    <t>AMUP-65D26RX-B0P4</t>
  </si>
  <si>
    <t>AMUP-65D26RX-B3P3</t>
  </si>
  <si>
    <t>AMUP-67018LX-D5C3</t>
  </si>
  <si>
    <t>AMUP-70D26LX-B0P3</t>
  </si>
  <si>
    <t>AMUP-70D26RX-B0P3</t>
  </si>
  <si>
    <t>AMUP-72018LX-E3C3</t>
  </si>
  <si>
    <t>AMUP-75D26LX-B3P3</t>
  </si>
  <si>
    <t>AMUP-75D26RX-B3P3</t>
  </si>
  <si>
    <t>AMUP-75D31LX-B2P4</t>
  </si>
  <si>
    <t>AMUP-75D31LX-B3P3</t>
  </si>
  <si>
    <t>AMUP-75D31RX-B2P4</t>
  </si>
  <si>
    <t>AMUP-75D31RX-B3P3</t>
  </si>
  <si>
    <t>AMUP-80D31RX-B2P3</t>
  </si>
  <si>
    <t>AMUP-90D26LX-B3P3</t>
  </si>
  <si>
    <t>AMUP-90D26RX-B3P3</t>
  </si>
  <si>
    <t>AMUP-95D26LX-B3P3</t>
  </si>
  <si>
    <t>AMUP-95D26RX-B3P3</t>
  </si>
  <si>
    <t>AMUP-95D31LX-B2P5</t>
  </si>
  <si>
    <t>AMUP-95D31LX-B3P3</t>
  </si>
  <si>
    <t>AMUP-95D31LX-B3P4</t>
  </si>
  <si>
    <t>AMUP-95D31LX-B4P3</t>
  </si>
  <si>
    <t>AMUP-95D31RX-B2P5</t>
  </si>
  <si>
    <t>AMUP-95D31RX-B3P3</t>
  </si>
  <si>
    <t>AMUP-95D31RX-B3P4</t>
  </si>
  <si>
    <t>AMUP-95E41LX-B5C4</t>
  </si>
  <si>
    <t>AMUP-95E41LX-B7C3</t>
  </si>
  <si>
    <t>AMUP-95E41RX-B5C4</t>
  </si>
  <si>
    <t>AMUP-95E41RX-B7C3</t>
  </si>
  <si>
    <t>AMUP-EFBM42L-B2P3</t>
  </si>
  <si>
    <t>W-UNPL-WM84ESP-L03B-00-7S0A</t>
  </si>
  <si>
    <t>W-UNPL-WM87ESN-T3B0-00-7S0A</t>
  </si>
  <si>
    <t>AMUP-EFBM42R-B2P3</t>
  </si>
  <si>
    <t>AMUP-EFBQ85L-B3C3</t>
  </si>
  <si>
    <t>W-UNPL-YA82ESP-L03B-02-7S0A</t>
  </si>
  <si>
    <t>W-UNPL-YA85ESN-T3B0-02-7S0A</t>
  </si>
  <si>
    <t>AMWA-SA100XX-B1C3</t>
  </si>
  <si>
    <t>W-FOPL-YS67PXX-L65D-01-9S0A</t>
  </si>
  <si>
    <t>W-FOPL-YS76NXX-T3AD-01-9S0A</t>
  </si>
  <si>
    <t>AMWA-SA105FT-B1C3</t>
  </si>
  <si>
    <t>W-FOPL-YT71PXX-L65D-01-9S0A</t>
  </si>
  <si>
    <t>W-FOPL-YT80NXX-T3AD-01-9S0A</t>
  </si>
  <si>
    <t>AMWA-SA12XXX-B1C3</t>
  </si>
  <si>
    <t>W-FOPL-YW73PXX-L65D-06-9S0A</t>
  </si>
  <si>
    <t>W-FOPL-YW82NXX-T3AD-06-9S0A</t>
  </si>
  <si>
    <t>AMWA-SA65XXX-B1C3</t>
  </si>
  <si>
    <t>W-FOPL-YU67PXX-L65D-02-9S0A</t>
  </si>
  <si>
    <t>W-FOPL-YU76NXX-T3AD-02-9S0A</t>
  </si>
  <si>
    <t>AMWA-SA7XXXX-A7C2</t>
  </si>
  <si>
    <t>W-FOPL-YW75PXX-L65D-06-9S0A</t>
  </si>
  <si>
    <t>AMWA-SA9XXXX-A9C2</t>
  </si>
  <si>
    <t>AMWF-SG100CT-B3C3</t>
  </si>
  <si>
    <t>W-FOPL-YC62PXX-L65D-02-9S0A</t>
  </si>
  <si>
    <t>W-FOPL-YC70NXX-T3AD-02-9S0A</t>
  </si>
  <si>
    <t>AMWF-SG100XX-B1C3</t>
  </si>
  <si>
    <t>AMWF-SG200XX-C3C3</t>
  </si>
  <si>
    <t>AMWF-SG45XXX-A7C3</t>
  </si>
  <si>
    <t>AMWF-SG65XXX-B1C3</t>
  </si>
  <si>
    <t>AMWP-100D31L-B4P3</t>
  </si>
  <si>
    <t>AMWP-100D31R-B4P3</t>
  </si>
  <si>
    <t>AMWP-105D31L-B6P3</t>
  </si>
  <si>
    <t>AMWP-105D31R-B6P3</t>
  </si>
  <si>
    <t>AMWP-110D31L-B6P3</t>
  </si>
  <si>
    <t>AMWP-110D31R-B6P3</t>
  </si>
  <si>
    <t>AMWP-115D31L-B8P3</t>
  </si>
  <si>
    <t>AMWP-115D31R-B8P3</t>
  </si>
  <si>
    <t>AMWP-115E41L-B7C3</t>
  </si>
  <si>
    <t>AMWP-115E41R-B7C3</t>
  </si>
  <si>
    <t>AMWP-115E41R-C1C1</t>
  </si>
  <si>
    <t>AMWP-115F51X-B9C4</t>
  </si>
  <si>
    <t>AMWP-115F51X-C1C3</t>
  </si>
  <si>
    <t>AMWP-115F51X-C5C1</t>
  </si>
  <si>
    <t>AMWP-125D31L-B8P3</t>
  </si>
  <si>
    <t>AMWP-125D31R-B8P3</t>
  </si>
  <si>
    <t>AMWP-135F51X-C1C3</t>
  </si>
  <si>
    <t>AMWP-135F51X-C5C1</t>
  </si>
  <si>
    <t>AMWP-145F51X-C5C1</t>
  </si>
  <si>
    <t>AMWP-145G51X-C5C4</t>
  </si>
  <si>
    <t>AMWP-145G51X-C7C3</t>
  </si>
  <si>
    <t>AMWP-145G51X-D1C1</t>
  </si>
  <si>
    <t>AMWP-170G51X-C7C3</t>
  </si>
  <si>
    <t>AMWP-180G51X-D1C1</t>
  </si>
  <si>
    <t>AMWP-190H52X-D4P3</t>
  </si>
  <si>
    <t>AMWP-190H52X-D7C3</t>
  </si>
  <si>
    <t>AMWP-190H52X-E0C1</t>
  </si>
  <si>
    <t>AMWP-210H52X-D4P3</t>
  </si>
  <si>
    <t>AMWP-210H52X-D7C3</t>
  </si>
  <si>
    <t>AMWP-210H52X-E0C1</t>
  </si>
  <si>
    <t>AMWP-26A19LX-A9C3</t>
  </si>
  <si>
    <t>AMWP-26A19RX-A9C3</t>
  </si>
  <si>
    <t>AMWP-32B20LX-A7P4</t>
  </si>
  <si>
    <t>AMWP-32B20LX-A9C3</t>
  </si>
  <si>
    <t>W-UNPL-YM84PXX-L650-02-7S00</t>
  </si>
  <si>
    <t>AMWP-32B20LX-A9P3</t>
  </si>
  <si>
    <t>AMWP-32B20RX-A7P4</t>
  </si>
  <si>
    <t>AMWP-32B20RX-A9C3</t>
  </si>
  <si>
    <t>AMWP-32B20RX-A9P3</t>
  </si>
  <si>
    <t>AMWP-32C24LX-A9P4</t>
  </si>
  <si>
    <t>AMWP-32C24LX-B0P3</t>
  </si>
  <si>
    <t>AMWP-32C24RX-A9P4</t>
  </si>
  <si>
    <t>AMWP-32C24RX-B0P3</t>
  </si>
  <si>
    <t>AMWP-36B20LS-B0P3</t>
  </si>
  <si>
    <t>AMWP-36B20LX-A7P5</t>
  </si>
  <si>
    <t>AMWP-36B20LX-A8P4</t>
  </si>
  <si>
    <t>AMWP-36B20LX-B0P2</t>
  </si>
  <si>
    <t>AMWP-36B20LX-B0P3</t>
  </si>
  <si>
    <t>AMWP-36B20LX-B1C3</t>
  </si>
  <si>
    <t>AMWP-36B20RS-A8P4</t>
  </si>
  <si>
    <t>AMWP-36B20RX-A7P5</t>
  </si>
  <si>
    <t>AMWP-36B20RX-A8P4</t>
  </si>
  <si>
    <t>AMWP-36B20RX-B0P3</t>
  </si>
  <si>
    <t>AMWP-36B20RX-B1C3</t>
  </si>
  <si>
    <t>AMWP-40B20LS-A9P3</t>
  </si>
  <si>
    <t>AMWP-40B20LX-A9C3</t>
  </si>
  <si>
    <t>AMWP-40B20LX-A9P2</t>
  </si>
  <si>
    <t>AMWP-40B20LX-A9P3</t>
  </si>
  <si>
    <t>AMWP-40B20RS-A9P3</t>
  </si>
  <si>
    <t>AMWP-40B20RX-A9C3</t>
  </si>
  <si>
    <t>AMWP-40B20RX-A9P2</t>
  </si>
  <si>
    <t>AMWP-40B20RX-A9P3</t>
  </si>
  <si>
    <t>AMWP-45B20LS-B0P3</t>
  </si>
  <si>
    <t>AMWP-45B20LX-B0P2</t>
  </si>
  <si>
    <t>AMWP-45B20LX-B0P3</t>
  </si>
  <si>
    <t>AMWP-45B20RS-B0P3</t>
  </si>
  <si>
    <t>AMWP-45B20RX-B0P3</t>
  </si>
  <si>
    <t>AMWP-45C24LX-B0P2</t>
  </si>
  <si>
    <t>AMWP-45C24LX-B0P3</t>
  </si>
  <si>
    <t>AMWP-45C24RX-B0P2</t>
  </si>
  <si>
    <t>AMWP-45C24RX-B0P3</t>
  </si>
  <si>
    <t>AMWP-46B24LS-A9P5</t>
  </si>
  <si>
    <t>AMWP-46B24LS-B0P4</t>
  </si>
  <si>
    <t>AMWP-46B24LS-B1P3</t>
  </si>
  <si>
    <t>AMWP-46B24LX-B0P4</t>
  </si>
  <si>
    <t>AMWP-46B24LX-B1P3</t>
  </si>
  <si>
    <t>AMWP-46B24RS-A9P5</t>
  </si>
  <si>
    <t>AMWP-46B24RS-B0P4</t>
  </si>
  <si>
    <t>AMWP-46B24RS-B1P3</t>
  </si>
  <si>
    <t>AMWP-46B24RX-B0P4</t>
  </si>
  <si>
    <t>AMWP-46B24RX-B1P3</t>
  </si>
  <si>
    <t>AMWP-48D26LX-A8P3</t>
  </si>
  <si>
    <t>AMWP-48D26RX-A8P3</t>
  </si>
  <si>
    <t>AMWP-4D150RX-D1C3</t>
  </si>
  <si>
    <t>AMWP-4D170LX-D7C3</t>
  </si>
  <si>
    <t>AMWP-4D170RX-D7C3</t>
  </si>
  <si>
    <t>AMWP-4D200RX-E0C3</t>
  </si>
  <si>
    <t>AMWP-50B24LS-B1P2</t>
  </si>
  <si>
    <t>AMWP-50B24LS-B1P3</t>
  </si>
  <si>
    <t>AMWP-50B24LX-B1P2</t>
  </si>
  <si>
    <t>AMWP-50B24LX-B1P3</t>
  </si>
  <si>
    <t>AMWP-50B24RS-B1P2</t>
  </si>
  <si>
    <t>AMWP-50B24RS-B1P3</t>
  </si>
  <si>
    <t>AMWP-50B24RX-B1P2</t>
  </si>
  <si>
    <t>AMWP-50B24RX-B1P3</t>
  </si>
  <si>
    <t>AMWP-54459LX-A8C3</t>
  </si>
  <si>
    <t>AMWP-54464RX-A8C3</t>
  </si>
  <si>
    <t>AMWP-54519LH-B1C3</t>
  </si>
  <si>
    <t>AMWP-55055RX-A8C3</t>
  </si>
  <si>
    <t>AMWP-55059LX-A8C3</t>
  </si>
  <si>
    <t>AMWP-55559LX-B0C3</t>
  </si>
  <si>
    <t>AMWP-55559LX-B2C2</t>
  </si>
  <si>
    <t>AMWP-55563RH-B3C3</t>
  </si>
  <si>
    <t>AMWP-55565RX-B0C3</t>
  </si>
  <si>
    <t>AMWP-55565RX-B2C2</t>
  </si>
  <si>
    <t>AMWP-55566LH-B3C3</t>
  </si>
  <si>
    <t>AMWP-55D23LX-B0P3</t>
  </si>
  <si>
    <t>AMWP-55D23RX-B0P3</t>
  </si>
  <si>
    <t>AMWP-55D26LX-A8P3</t>
  </si>
  <si>
    <t>AMWP-55D26LX-B0P3</t>
  </si>
  <si>
    <t>AMWP-55D26RX-A8P3</t>
  </si>
  <si>
    <t>AMWP-55D26RX-B0P3</t>
  </si>
  <si>
    <t>AMWP-56073LX-B1C3</t>
  </si>
  <si>
    <t>AMWP-56205LH-B5C3</t>
  </si>
  <si>
    <t>AMWP-56219LX-B2C3</t>
  </si>
  <si>
    <t>AMWP-56221RX-B2C3</t>
  </si>
  <si>
    <t>AMWP-56638LX-B2C3</t>
  </si>
  <si>
    <t>AMWP-56638LX-B4C2</t>
  </si>
  <si>
    <t>AMWP-56640LH-B5C3</t>
  </si>
  <si>
    <t>AMWP-57229LX-B4C3</t>
  </si>
  <si>
    <t>AMWP-57233RX-B4C3</t>
  </si>
  <si>
    <t>AMWP-57412LX-B4C3</t>
  </si>
  <si>
    <t>AMWP-57413RX-B4C3</t>
  </si>
  <si>
    <t>AMWP-57519LX-B4C3</t>
  </si>
  <si>
    <t>AMWP-57520RX-B4C3</t>
  </si>
  <si>
    <t>AMWP-57540LH-B7C3</t>
  </si>
  <si>
    <t>AMWP-58024LX-B4C3</t>
  </si>
  <si>
    <t>AMWP-58815LH-C1C3</t>
  </si>
  <si>
    <t>AMWP-58821RX-B6C3</t>
  </si>
  <si>
    <t>AMWP-58827LX-B6C3</t>
  </si>
  <si>
    <t>AMWP-60038LX-B8C3</t>
  </si>
  <si>
    <t>AMWP-60038LX-C0C2</t>
  </si>
  <si>
    <t>AMWP-60D26LX-A8P3</t>
  </si>
  <si>
    <t>AMWP-60D26LX-B1P2</t>
  </si>
  <si>
    <t>AMWP-60D26RX-A8P3</t>
  </si>
  <si>
    <t>AMWP-60D26RX-B1P2</t>
  </si>
  <si>
    <t>AMWP-65D23LX-B0P3</t>
  </si>
  <si>
    <t>AMWP-65D23LX-B3P2</t>
  </si>
  <si>
    <t>AMWP-65D23RX-B0P3</t>
  </si>
  <si>
    <t>AMWP-65D23RX-B3P2</t>
  </si>
  <si>
    <t>AMWP-65D26LX-B0P4</t>
  </si>
  <si>
    <t>AMWP-65D26LX-B3P3</t>
  </si>
  <si>
    <t>AMWP-65D26RX-B0P4</t>
  </si>
  <si>
    <t>AMWP-65D26RX-B3P3</t>
  </si>
  <si>
    <t>AMWP-65D31LX-B2P3</t>
  </si>
  <si>
    <t>AMWP-65D31LX-B3P2</t>
  </si>
  <si>
    <t>AMWP-65D31RX-B1P4</t>
  </si>
  <si>
    <t>AMWP-65D31RX-B2P3</t>
  </si>
  <si>
    <t>AMWP-65D31RX-B4P1</t>
  </si>
  <si>
    <t>AMWP-67018LX-D5C3</t>
  </si>
  <si>
    <t>AMWP-70D26LX-B0P3</t>
  </si>
  <si>
    <t>AMWP-70D26RX-B0P3</t>
  </si>
  <si>
    <t>AMWP-72018LX-E3C3</t>
  </si>
  <si>
    <t>AMWP-72018RX-E3C3</t>
  </si>
  <si>
    <t>AMWP-75D23LX-B3P3</t>
  </si>
  <si>
    <t>AMWP-75D23RX-B3P3</t>
  </si>
  <si>
    <t>AMWP-75D26LX-B3P3</t>
  </si>
  <si>
    <t>AMWP-75D26RX-B3P3</t>
  </si>
  <si>
    <t>AMWP-75D31LX-B2P4</t>
  </si>
  <si>
    <t>AMWP-75D31LX-B3P3</t>
  </si>
  <si>
    <t>AMWP-75D31RX-B2P4</t>
  </si>
  <si>
    <t>AMWP-75D31RX-B3P3</t>
  </si>
  <si>
    <t>AMWP-80D23LX-B3P3</t>
  </si>
  <si>
    <t>AMWP-80D23RX-B3P3</t>
  </si>
  <si>
    <t>AMWP-80D26LX-B3P3</t>
  </si>
  <si>
    <t>AMWP-80D26RX-B3P3</t>
  </si>
  <si>
    <t>AMWP-80D31LX-B2P3</t>
  </si>
  <si>
    <t>AMWP-80D31LX-B3P2</t>
  </si>
  <si>
    <t>AMWP-80D31RX-B2P3</t>
  </si>
  <si>
    <t>AMWP-80D31RX-B3P2</t>
  </si>
  <si>
    <t>AMWP-90D26LX-B3P3</t>
  </si>
  <si>
    <t>AMWP-90D26RX-B3P3</t>
  </si>
  <si>
    <t>AMWP-95D26LX-B3P3</t>
  </si>
  <si>
    <t>AMWP-95D26RX-B3P3</t>
  </si>
  <si>
    <t>AMWP-95D31LX-B2P5</t>
  </si>
  <si>
    <t>AMWP-95D31LX-B3P3</t>
  </si>
  <si>
    <t>AMWP-95D31LX-B3P4</t>
  </si>
  <si>
    <t>AMWP-95D31LX-B4P3</t>
  </si>
  <si>
    <t>AMWP-95D31RX-B2P5</t>
  </si>
  <si>
    <t>AMWP-95D31RX-B3P3</t>
  </si>
  <si>
    <t>AMWP-95D31RX-B3P4</t>
  </si>
  <si>
    <t>AMWP-95D31RX-B4P3</t>
  </si>
  <si>
    <t>AMWP-95E41LX-B5C4</t>
  </si>
  <si>
    <t>AMWP-95E41LX-B7C3</t>
  </si>
  <si>
    <t>AMWP-95E41RX-B5C4</t>
  </si>
  <si>
    <t>AMWP-95E41RX-B7C3</t>
  </si>
  <si>
    <t>AMWP-EFBM42L-B2P3</t>
  </si>
  <si>
    <t>AMWP-EFBQ85L-B3C3</t>
  </si>
  <si>
    <t>AMWP-LN2LXXX-B2C3</t>
  </si>
  <si>
    <t>W-UNPL-YG8785N-T3A0-02-7S00</t>
  </si>
  <si>
    <t>AMWP-LN3LXXX-B4C3</t>
  </si>
  <si>
    <t>AMWP-N50ZDXX-B1C3</t>
  </si>
  <si>
    <t>W-UNPL-YG8079P-L340-02-7S00</t>
  </si>
  <si>
    <t>AMWP-N70ZDXX-B5C3</t>
  </si>
  <si>
    <t>AMWP-N70ZZXX-B6P3</t>
  </si>
  <si>
    <t>AMWP-NS50LXX-B4C3</t>
  </si>
  <si>
    <t>AVUP-32B20RX-A8A3</t>
  </si>
  <si>
    <t>AVUP-36B20LS-A8A4</t>
  </si>
  <si>
    <t>AVUP-36B20LX-A7A5</t>
  </si>
  <si>
    <t>AVUP-36B20LX-A8A3</t>
  </si>
  <si>
    <t>AVUP-36B20LX-A8A4</t>
  </si>
  <si>
    <t>AVUP-36B20RX-A7A5</t>
  </si>
  <si>
    <t>AVUP-36B20RX-A8A4</t>
  </si>
  <si>
    <t>AVUP-40B20LX-A8A3</t>
  </si>
  <si>
    <t>AVUP-40B20RX-A8A3</t>
  </si>
  <si>
    <t>AVUP-46B24LS-A9A3</t>
  </si>
  <si>
    <t>AVUP-46B24LS-A9A5</t>
  </si>
  <si>
    <t>AVUP-46B24LS-B0A4</t>
  </si>
  <si>
    <t>AVUP-46B24LX-A9A3</t>
  </si>
  <si>
    <t>AVUP-46B24LX-A9A5</t>
  </si>
  <si>
    <t>AVUP-46B24LX-B0A4</t>
  </si>
  <si>
    <t>AVUP-46B24RS-A9A3</t>
  </si>
  <si>
    <t>AVUP-46B24RS-A9A5</t>
  </si>
  <si>
    <t>AVUP-46B24RS-B0A4</t>
  </si>
  <si>
    <t>AVUP-46B24RX-A9A3</t>
  </si>
  <si>
    <t>AVUP-46B24RX-A9A5</t>
  </si>
  <si>
    <t>AVUP-46B24RX-B0A4</t>
  </si>
  <si>
    <t>AVUP-65D26LX-A9A3</t>
  </si>
  <si>
    <t>AVUP-65D26LX-B0A4</t>
  </si>
  <si>
    <t>AVUP-65D26RX-A9A3</t>
  </si>
  <si>
    <t>AVUP-65D26RX-B0A4</t>
  </si>
  <si>
    <t>AVWP-32B20LX-A8A3</t>
  </si>
  <si>
    <t>AVWP-32B20RX-A8A3</t>
  </si>
  <si>
    <t>AVWP-36B20LX-A7A5</t>
  </si>
  <si>
    <t>AVWP-36B20LX-A8A3</t>
  </si>
  <si>
    <t>AVWP-36B20LX-A8A4</t>
  </si>
  <si>
    <t>AVWP-36B20RS-A8A4</t>
  </si>
  <si>
    <t>AVWP-36B20RX-A7A5</t>
  </si>
  <si>
    <t>AVWP-36B20RX-A8A3</t>
  </si>
  <si>
    <t>AVWP-36B20RX-A8A4</t>
  </si>
  <si>
    <t>AVWP-40B20LS-A8A3</t>
  </si>
  <si>
    <t>AVWP-40B20LX-A8A3</t>
  </si>
  <si>
    <t>AVWP-40B20RS-A8A3</t>
  </si>
  <si>
    <t>AVWP-40B20RX-A8A3</t>
  </si>
  <si>
    <t>AVWP-46B24LS-A9A3</t>
  </si>
  <si>
    <t>AVWP-46B24LS-A9A5</t>
  </si>
  <si>
    <t>AVWP-46B24LS-B0A4</t>
  </si>
  <si>
    <t>AVWP-46B24LX-A9A3</t>
  </si>
  <si>
    <t>AVWP-46B24LX-B0A4</t>
  </si>
  <si>
    <t>AVWP-46B24RS-A9A3</t>
  </si>
  <si>
    <t>AVWP-46B24RS-A9A5</t>
  </si>
  <si>
    <t>AVWP-46B24RS-B0A4</t>
  </si>
  <si>
    <t>AVWP-46B24RX-A9A3</t>
  </si>
  <si>
    <t>AVWP-46B24RX-B0A4</t>
  </si>
  <si>
    <t>AVWP-65D26LX-A9A3</t>
  </si>
  <si>
    <t>AVWP-65D26LX-B0A4</t>
  </si>
  <si>
    <t>AVWP-65D26RX-A9A3</t>
  </si>
  <si>
    <t>AVWP-65D26RX-B0A4</t>
  </si>
  <si>
    <t>BESA-00440KW-1204</t>
  </si>
  <si>
    <t>Net Quantity +</t>
  </si>
  <si>
    <t>Net Quantity -</t>
  </si>
  <si>
    <t>JIS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</si>
</sst>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1" fillId="0" borderId="0" xfId="1"/>
    <xf numFmtId="0" fontId="1" fillId="2" borderId="1" xfId="1" applyFill="1" applyBorder="1" applyAlignment="1">
      <alignment horizontal="center"/>
    </xf>
    <xf numFmtId="0" fontId="1" fillId="2" borderId="1" xfId="1" applyFill="1" applyBorder="1"/>
    <xf numFmtId="0" fontId="2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6" fillId="0" borderId="1" xfId="1" applyFont="1" applyBorder="1" applyAlignment="1">
      <alignment vertical="center"/>
    </xf>
    <xf numFmtId="0" fontId="3" fillId="0" borderId="1" xfId="2" applyBorder="1"/>
    <xf numFmtId="0" fontId="3" fillId="4" borderId="1" xfId="1" applyFont="1" applyFill="1" applyBorder="1" applyAlignment="1">
      <alignment horizontal="center" vertical="center"/>
    </xf>
    <xf numFmtId="0" fontId="3" fillId="0" borderId="0" xfId="2"/>
    <xf numFmtId="0" fontId="3" fillId="5" borderId="1" xfId="1" applyFont="1" applyFill="1" applyBorder="1" applyAlignment="1">
      <alignment horizontal="center" vertical="center"/>
    </xf>
    <xf numFmtId="0" fontId="1" fillId="0" borderId="1" xfId="1" applyBorder="1"/>
    <xf numFmtId="0" fontId="3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/>
    </xf>
    <xf numFmtId="0" fontId="6" fillId="5" borderId="0" xfId="1" applyFont="1" applyFill="1" applyAlignment="1">
      <alignment vertical="center"/>
    </xf>
    <xf numFmtId="0" fontId="6" fillId="5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textRotation="90" wrapText="1"/>
    </xf>
    <xf numFmtId="0" fontId="0" fillId="0" borderId="0" xfId="1" applyFont="1"/>
    <xf numFmtId="0" fontId="4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textRotation="90"/>
    </xf>
    <xf numFmtId="0" fontId="4" fillId="0" borderId="1" xfId="1" applyFont="1" applyBorder="1" applyAlignment="1">
      <alignment horizontal="center" vertical="center" textRotation="90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textRotation="90"/>
    </xf>
    <xf numFmtId="0" fontId="4" fillId="5" borderId="1" xfId="1" applyFont="1" applyFill="1" applyBorder="1" applyAlignment="1">
      <alignment horizontal="center" vertical="center" textRotation="90" wrapText="1"/>
    </xf>
    <xf numFmtId="0" fontId="3" fillId="0" borderId="1" xfId="1" applyFont="1" applyBorder="1" applyAlignment="1">
      <alignment horizontal="center" vertical="center" textRotation="90" wrapText="1"/>
    </xf>
    <xf numFmtId="0" fontId="0" fillId="2" borderId="1" xfId="1" applyFont="1" applyFill="1" applyBorder="1"/>
  </cellXfs>
  <cellStyles count="3">
    <cellStyle name="Normal" xfId="0" builtinId="0"/>
    <cellStyle name="Normal 2" xfId="2" xr:uid="{4B96FF35-878B-47B6-8983-6E6C2857A097}"/>
    <cellStyle name="Normal 2 8" xfId="1" xr:uid="{F326C0AF-21FD-4A99-956C-DD450AC04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835DB-447E-4C49-97D9-5A2866FFEB0D}">
  <dimension ref="D3:E22"/>
  <sheetViews>
    <sheetView showGridLines="0" workbookViewId="0">
      <selection activeCell="D28" sqref="D28"/>
    </sheetView>
  </sheetViews>
  <sheetFormatPr defaultRowHeight="14.4" x14ac:dyDescent="0.3"/>
  <cols>
    <col min="4" max="4" width="29.77734375" bestFit="1" customWidth="1"/>
    <col min="5" max="5" width="11" bestFit="1" customWidth="1"/>
  </cols>
  <sheetData>
    <row r="3" spans="4:5" x14ac:dyDescent="0.3">
      <c r="D3" t="s">
        <v>0</v>
      </c>
    </row>
    <row r="4" spans="4:5" x14ac:dyDescent="0.3">
      <c r="D4" t="s">
        <v>2</v>
      </c>
      <c r="E4" t="s">
        <v>3</v>
      </c>
    </row>
    <row r="5" spans="4:5" x14ac:dyDescent="0.3">
      <c r="D5" t="s">
        <v>4</v>
      </c>
      <c r="E5" t="s">
        <v>9</v>
      </c>
    </row>
    <row r="6" spans="4:5" x14ac:dyDescent="0.3">
      <c r="D6" t="s">
        <v>5</v>
      </c>
      <c r="E6" t="s">
        <v>6</v>
      </c>
    </row>
    <row r="7" spans="4:5" x14ac:dyDescent="0.3">
      <c r="D7" t="s">
        <v>7</v>
      </c>
      <c r="E7" t="s">
        <v>8</v>
      </c>
    </row>
    <row r="8" spans="4:5" x14ac:dyDescent="0.3">
      <c r="D8" t="s">
        <v>7</v>
      </c>
      <c r="E8" t="s">
        <v>10</v>
      </c>
    </row>
    <row r="10" spans="4:5" x14ac:dyDescent="0.3">
      <c r="D10" t="s">
        <v>11</v>
      </c>
    </row>
    <row r="11" spans="4:5" x14ac:dyDescent="0.3">
      <c r="D11" t="s">
        <v>12</v>
      </c>
      <c r="E11" t="s">
        <v>16</v>
      </c>
    </row>
    <row r="12" spans="4:5" x14ac:dyDescent="0.3">
      <c r="D12" t="s">
        <v>14</v>
      </c>
      <c r="E12" t="s">
        <v>15</v>
      </c>
    </row>
    <row r="13" spans="4:5" x14ac:dyDescent="0.3">
      <c r="D13" t="s">
        <v>17</v>
      </c>
      <c r="E13" t="s">
        <v>13</v>
      </c>
    </row>
    <row r="14" spans="4:5" x14ac:dyDescent="0.3">
      <c r="D14" t="s">
        <v>18</v>
      </c>
      <c r="E14" t="s">
        <v>19</v>
      </c>
    </row>
    <row r="15" spans="4:5" x14ac:dyDescent="0.3">
      <c r="D15" t="s">
        <v>20</v>
      </c>
      <c r="E15" t="s">
        <v>21</v>
      </c>
    </row>
    <row r="17" spans="4:5" x14ac:dyDescent="0.3">
      <c r="D17" t="s">
        <v>22</v>
      </c>
    </row>
    <row r="18" spans="4:5" x14ac:dyDescent="0.3">
      <c r="D18" t="s">
        <v>23</v>
      </c>
      <c r="E18" t="s">
        <v>24</v>
      </c>
    </row>
    <row r="19" spans="4:5" x14ac:dyDescent="0.3">
      <c r="D19" t="s">
        <v>25</v>
      </c>
      <c r="E19" t="s">
        <v>26</v>
      </c>
    </row>
    <row r="20" spans="4:5" x14ac:dyDescent="0.3">
      <c r="D20" t="s">
        <v>1</v>
      </c>
      <c r="E20" t="s">
        <v>27</v>
      </c>
    </row>
    <row r="21" spans="4:5" x14ac:dyDescent="0.3">
      <c r="D21" t="s">
        <v>28</v>
      </c>
      <c r="E21" t="s">
        <v>19</v>
      </c>
    </row>
    <row r="22" spans="4:5" x14ac:dyDescent="0.3">
      <c r="D22" t="s">
        <v>28</v>
      </c>
      <c r="E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D8F8-0468-4748-B50D-5F9F31491936}">
  <dimension ref="B2:G21"/>
  <sheetViews>
    <sheetView workbookViewId="0">
      <selection activeCell="C1" sqref="C1"/>
    </sheetView>
  </sheetViews>
  <sheetFormatPr defaultRowHeight="14.4" x14ac:dyDescent="0.3"/>
  <cols>
    <col min="3" max="3" width="6.21875" bestFit="1" customWidth="1"/>
    <col min="4" max="4" width="46.44140625" customWidth="1"/>
    <col min="5" max="5" width="21.5546875" bestFit="1" customWidth="1"/>
    <col min="6" max="6" width="11.88671875" bestFit="1" customWidth="1"/>
    <col min="7" max="7" width="11.33203125" bestFit="1" customWidth="1"/>
  </cols>
  <sheetData>
    <row r="2" spans="2:7" x14ac:dyDescent="0.3">
      <c r="B2" s="1" t="s">
        <v>57</v>
      </c>
      <c r="C2" s="1" t="s">
        <v>51</v>
      </c>
      <c r="D2" s="1" t="s">
        <v>52</v>
      </c>
      <c r="E2" s="1"/>
      <c r="F2" s="1"/>
      <c r="G2" s="1" t="s">
        <v>55</v>
      </c>
    </row>
    <row r="3" spans="2:7" x14ac:dyDescent="0.3">
      <c r="B3" s="1">
        <v>1</v>
      </c>
      <c r="C3" s="1" t="s">
        <v>30</v>
      </c>
      <c r="D3" s="30" t="s">
        <v>54</v>
      </c>
      <c r="E3" s="2" t="s">
        <v>16</v>
      </c>
      <c r="F3" s="2" t="s">
        <v>44</v>
      </c>
      <c r="G3" s="2" t="s">
        <v>13</v>
      </c>
    </row>
    <row r="4" spans="2:7" x14ac:dyDescent="0.3">
      <c r="B4" s="1">
        <f>B3+1</f>
        <v>2</v>
      </c>
      <c r="C4" s="1" t="s">
        <v>31</v>
      </c>
      <c r="D4" s="30"/>
      <c r="E4" s="2" t="s">
        <v>16</v>
      </c>
      <c r="F4" s="2" t="s">
        <v>44</v>
      </c>
      <c r="G4" s="2" t="s">
        <v>13</v>
      </c>
    </row>
    <row r="5" spans="2:7" x14ac:dyDescent="0.3">
      <c r="B5" s="1">
        <f t="shared" ref="B5:B21" si="0">B4+1</f>
        <v>3</v>
      </c>
      <c r="C5" s="1" t="s">
        <v>32</v>
      </c>
      <c r="D5" s="30"/>
      <c r="E5" s="2" t="s">
        <v>16</v>
      </c>
      <c r="F5" s="2" t="s">
        <v>44</v>
      </c>
      <c r="G5" s="2" t="s">
        <v>13</v>
      </c>
    </row>
    <row r="6" spans="2:7" x14ac:dyDescent="0.3">
      <c r="B6" s="1">
        <f t="shared" si="0"/>
        <v>4</v>
      </c>
      <c r="C6" s="1" t="s">
        <v>37</v>
      </c>
      <c r="D6" s="30"/>
      <c r="E6" s="2" t="s">
        <v>16</v>
      </c>
      <c r="F6" s="2" t="s">
        <v>44</v>
      </c>
      <c r="G6" s="2" t="s">
        <v>13</v>
      </c>
    </row>
    <row r="7" spans="2:7" x14ac:dyDescent="0.3">
      <c r="B7" s="1">
        <f t="shared" si="0"/>
        <v>5</v>
      </c>
      <c r="C7" s="1" t="s">
        <v>33</v>
      </c>
      <c r="D7" s="30"/>
      <c r="E7" s="2" t="s">
        <v>16</v>
      </c>
      <c r="F7" s="2" t="s">
        <v>45</v>
      </c>
      <c r="G7" s="2" t="s">
        <v>6</v>
      </c>
    </row>
    <row r="8" spans="2:7" x14ac:dyDescent="0.3">
      <c r="B8" s="1">
        <f t="shared" si="0"/>
        <v>6</v>
      </c>
      <c r="C8" s="1" t="s">
        <v>34</v>
      </c>
      <c r="D8" s="30"/>
      <c r="E8" s="2" t="s">
        <v>16</v>
      </c>
      <c r="F8" s="2" t="s">
        <v>45</v>
      </c>
      <c r="G8" s="2" t="s">
        <v>6</v>
      </c>
    </row>
    <row r="9" spans="2:7" x14ac:dyDescent="0.3">
      <c r="B9" s="1">
        <f t="shared" si="0"/>
        <v>7</v>
      </c>
      <c r="C9" s="1" t="s">
        <v>35</v>
      </c>
      <c r="D9" s="30"/>
      <c r="E9" s="2" t="s">
        <v>16</v>
      </c>
      <c r="F9" s="2" t="s">
        <v>45</v>
      </c>
      <c r="G9" s="2" t="s">
        <v>6</v>
      </c>
    </row>
    <row r="10" spans="2:7" x14ac:dyDescent="0.3">
      <c r="B10" s="1">
        <f t="shared" si="0"/>
        <v>8</v>
      </c>
      <c r="C10" s="1" t="s">
        <v>36</v>
      </c>
      <c r="D10" s="30"/>
      <c r="E10" s="2" t="s">
        <v>16</v>
      </c>
      <c r="F10" s="2" t="s">
        <v>45</v>
      </c>
      <c r="G10" s="2" t="s">
        <v>6</v>
      </c>
    </row>
    <row r="11" spans="2:7" x14ac:dyDescent="0.3">
      <c r="B11" s="1">
        <f t="shared" si="0"/>
        <v>9</v>
      </c>
      <c r="C11" s="1" t="s">
        <v>58</v>
      </c>
      <c r="D11" s="30"/>
      <c r="E11" s="2" t="s">
        <v>16</v>
      </c>
      <c r="F11" s="2" t="s">
        <v>44</v>
      </c>
      <c r="G11" s="2" t="s">
        <v>13</v>
      </c>
    </row>
    <row r="12" spans="2:7" x14ac:dyDescent="0.3">
      <c r="B12" s="1">
        <f t="shared" si="0"/>
        <v>10</v>
      </c>
      <c r="C12" s="1" t="s">
        <v>41</v>
      </c>
      <c r="D12" s="30"/>
      <c r="E12" s="2" t="s">
        <v>46</v>
      </c>
      <c r="F12" s="2" t="s">
        <v>44</v>
      </c>
      <c r="G12" s="2" t="s">
        <v>13</v>
      </c>
    </row>
    <row r="13" spans="2:7" x14ac:dyDescent="0.3">
      <c r="B13" s="1">
        <f t="shared" si="0"/>
        <v>11</v>
      </c>
      <c r="C13" s="1" t="s">
        <v>42</v>
      </c>
      <c r="D13" s="30"/>
      <c r="E13" s="2" t="s">
        <v>46</v>
      </c>
      <c r="F13" s="2" t="s">
        <v>44</v>
      </c>
      <c r="G13" s="2" t="s">
        <v>13</v>
      </c>
    </row>
    <row r="14" spans="2:7" x14ac:dyDescent="0.3">
      <c r="B14" s="1">
        <f t="shared" si="0"/>
        <v>12</v>
      </c>
      <c r="C14" s="1" t="s">
        <v>43</v>
      </c>
      <c r="D14" s="30"/>
      <c r="E14" s="2" t="s">
        <v>46</v>
      </c>
      <c r="F14" s="2" t="s">
        <v>44</v>
      </c>
      <c r="G14" s="2" t="s">
        <v>13</v>
      </c>
    </row>
    <row r="15" spans="2:7" x14ac:dyDescent="0.3">
      <c r="B15" s="1">
        <f t="shared" si="0"/>
        <v>13</v>
      </c>
      <c r="C15" s="1" t="s">
        <v>38</v>
      </c>
      <c r="D15" s="30"/>
      <c r="E15" s="2" t="s">
        <v>3</v>
      </c>
      <c r="F15" s="2" t="s">
        <v>45</v>
      </c>
      <c r="G15" s="2" t="s">
        <v>3</v>
      </c>
    </row>
    <row r="16" spans="2:7" x14ac:dyDescent="0.3">
      <c r="B16" s="1">
        <f t="shared" si="0"/>
        <v>14</v>
      </c>
      <c r="C16" s="1" t="s">
        <v>39</v>
      </c>
      <c r="D16" s="30"/>
      <c r="E16" s="2" t="s">
        <v>3</v>
      </c>
      <c r="F16" s="2" t="s">
        <v>45</v>
      </c>
      <c r="G16" s="2" t="s">
        <v>53</v>
      </c>
    </row>
    <row r="17" spans="2:7" x14ac:dyDescent="0.3">
      <c r="B17" s="1">
        <f t="shared" si="0"/>
        <v>15</v>
      </c>
      <c r="C17" s="1" t="s">
        <v>40</v>
      </c>
      <c r="D17" s="30"/>
      <c r="E17" s="2" t="s">
        <v>3</v>
      </c>
      <c r="F17" s="2" t="s">
        <v>45</v>
      </c>
      <c r="G17" s="2" t="s">
        <v>53</v>
      </c>
    </row>
    <row r="18" spans="2:7" x14ac:dyDescent="0.3">
      <c r="B18" s="1">
        <f t="shared" si="0"/>
        <v>16</v>
      </c>
      <c r="C18" s="1" t="s">
        <v>47</v>
      </c>
      <c r="D18" s="30"/>
      <c r="E18" s="2" t="s">
        <v>24</v>
      </c>
      <c r="F18" s="2" t="s">
        <v>45</v>
      </c>
      <c r="G18" s="2" t="s">
        <v>56</v>
      </c>
    </row>
    <row r="19" spans="2:7" x14ac:dyDescent="0.3">
      <c r="B19" s="1">
        <f t="shared" si="0"/>
        <v>17</v>
      </c>
      <c r="C19" s="1" t="s">
        <v>48</v>
      </c>
      <c r="D19" s="30"/>
      <c r="E19" s="2" t="s">
        <v>24</v>
      </c>
      <c r="F19" s="2" t="s">
        <v>45</v>
      </c>
      <c r="G19" s="2" t="s">
        <v>56</v>
      </c>
    </row>
    <row r="20" spans="2:7" x14ac:dyDescent="0.3">
      <c r="B20" s="1">
        <f t="shared" si="0"/>
        <v>18</v>
      </c>
      <c r="C20" s="1" t="s">
        <v>49</v>
      </c>
      <c r="D20" s="30"/>
      <c r="E20" s="2" t="s">
        <v>3</v>
      </c>
      <c r="F20" s="2" t="s">
        <v>45</v>
      </c>
      <c r="G20" s="2" t="s">
        <v>53</v>
      </c>
    </row>
    <row r="21" spans="2:7" x14ac:dyDescent="0.3">
      <c r="B21" s="1">
        <f t="shared" si="0"/>
        <v>19</v>
      </c>
      <c r="C21" s="1" t="s">
        <v>50</v>
      </c>
      <c r="D21" s="30"/>
      <c r="E21" s="2" t="s">
        <v>3</v>
      </c>
      <c r="F21" s="2" t="s">
        <v>45</v>
      </c>
      <c r="G21" s="2" t="s">
        <v>53</v>
      </c>
    </row>
  </sheetData>
  <mergeCells count="1">
    <mergeCell ref="D3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DDEE3-1CEF-481B-BB08-769EF0FF6199}">
  <dimension ref="B1:R322"/>
  <sheetViews>
    <sheetView topLeftCell="A306" workbookViewId="0">
      <selection activeCell="H12" sqref="H12"/>
    </sheetView>
  </sheetViews>
  <sheetFormatPr defaultColWidth="8.77734375" defaultRowHeight="14.4" x14ac:dyDescent="0.3"/>
  <cols>
    <col min="1" max="1" width="4.33203125" style="3" customWidth="1"/>
    <col min="2" max="2" width="11.88671875" style="3" customWidth="1"/>
    <col min="3" max="3" width="20.77734375" style="3" bestFit="1" customWidth="1"/>
    <col min="4" max="5" width="8.77734375" style="3"/>
    <col min="13" max="16384" width="8.77734375" style="3"/>
  </cols>
  <sheetData>
    <row r="1" spans="2:18" x14ac:dyDescent="0.3">
      <c r="B1" s="3" t="s">
        <v>59</v>
      </c>
    </row>
    <row r="2" spans="2:18" x14ac:dyDescent="0.3">
      <c r="B2" s="4" t="s">
        <v>60</v>
      </c>
      <c r="C2" s="4" t="s">
        <v>61</v>
      </c>
      <c r="D2" s="4" t="s">
        <v>62</v>
      </c>
    </row>
    <row r="3" spans="2:18" s="8" customFormat="1" ht="19.95" customHeight="1" x14ac:dyDescent="0.3">
      <c r="B3" s="34" t="s">
        <v>66</v>
      </c>
      <c r="C3" s="7" t="s">
        <v>67</v>
      </c>
      <c r="D3" s="7" t="s">
        <v>67</v>
      </c>
      <c r="F3"/>
    </row>
    <row r="4" spans="2:18" s="8" customFormat="1" ht="19.95" customHeight="1" x14ac:dyDescent="0.3">
      <c r="B4" s="34"/>
      <c r="C4" s="7" t="s">
        <v>74</v>
      </c>
      <c r="D4" s="7" t="s">
        <v>67</v>
      </c>
      <c r="F4"/>
      <c r="O4" s="8" t="s">
        <v>78</v>
      </c>
      <c r="P4" s="8">
        <f>SEARCH("X",O4,1)</f>
        <v>4</v>
      </c>
      <c r="Q4" s="8">
        <f>(SEARCH("X",O4,1)-1)</f>
        <v>3</v>
      </c>
      <c r="R4" s="8">
        <f>IF(RIGHT(O4,1)="X",(SEARCH("X",O4,1)-1),0)</f>
        <v>3</v>
      </c>
    </row>
    <row r="5" spans="2:18" s="8" customFormat="1" ht="19.95" customHeight="1" x14ac:dyDescent="0.3">
      <c r="B5" s="34"/>
      <c r="C5" s="7" t="s">
        <v>79</v>
      </c>
      <c r="D5" s="7" t="s">
        <v>67</v>
      </c>
      <c r="F5"/>
      <c r="O5" s="8" t="s">
        <v>85</v>
      </c>
      <c r="P5" s="8">
        <f>SEARCH("X",O5,1)</f>
        <v>6</v>
      </c>
      <c r="Q5" s="8">
        <f>(SEARCH("X",O5,1)-1)</f>
        <v>5</v>
      </c>
      <c r="R5" s="8">
        <f>IF(RIGHT(O5,1)="X",(SEARCH("X",O5,1)-1),0)</f>
        <v>5</v>
      </c>
    </row>
    <row r="6" spans="2:18" s="8" customFormat="1" ht="19.95" customHeight="1" x14ac:dyDescent="0.3">
      <c r="B6" s="34"/>
      <c r="C6" s="7" t="s">
        <v>86</v>
      </c>
      <c r="D6" s="7" t="s">
        <v>67</v>
      </c>
      <c r="F6"/>
      <c r="O6" s="8" t="s">
        <v>91</v>
      </c>
      <c r="P6" s="8">
        <f>SEARCH("X",O6,1)</f>
        <v>7</v>
      </c>
      <c r="Q6" s="8">
        <f>(SEARCH("X",O6,1)-1)</f>
        <v>6</v>
      </c>
      <c r="R6" s="8">
        <f>IF(RIGHT(O6,1)="X",(SEARCH("X",O6,1)-1),0)</f>
        <v>6</v>
      </c>
    </row>
    <row r="7" spans="2:18" s="8" customFormat="1" ht="19.95" customHeight="1" x14ac:dyDescent="0.3">
      <c r="B7" s="34"/>
      <c r="C7" s="13" t="s">
        <v>92</v>
      </c>
      <c r="D7" s="7" t="s">
        <v>67</v>
      </c>
      <c r="F7"/>
      <c r="O7" s="8" t="s">
        <v>95</v>
      </c>
      <c r="P7" s="8" t="e">
        <f>SEARCH("X",O7,1)</f>
        <v>#VALUE!</v>
      </c>
      <c r="Q7" s="8" t="e">
        <f>7-(SEARCH("X",O7,1)-1)</f>
        <v>#VALUE!</v>
      </c>
      <c r="R7" s="8">
        <f>IF(RIGHT(O7,1)="X",(SEARCH("X",O7,1)-1),0)</f>
        <v>0</v>
      </c>
    </row>
    <row r="8" spans="2:18" s="8" customFormat="1" ht="19.95" customHeight="1" x14ac:dyDescent="0.3">
      <c r="B8" s="34"/>
      <c r="C8" s="13" t="s">
        <v>96</v>
      </c>
      <c r="D8" s="7" t="s">
        <v>67</v>
      </c>
      <c r="F8"/>
    </row>
    <row r="9" spans="2:18" s="8" customFormat="1" ht="19.95" customHeight="1" x14ac:dyDescent="0.3">
      <c r="B9" s="34"/>
      <c r="C9" s="13" t="s">
        <v>103</v>
      </c>
      <c r="D9" s="7" t="s">
        <v>67</v>
      </c>
      <c r="F9"/>
    </row>
    <row r="10" spans="2:18" s="8" customFormat="1" ht="19.95" customHeight="1" x14ac:dyDescent="0.3">
      <c r="B10" s="34"/>
      <c r="C10" s="13" t="s">
        <v>106</v>
      </c>
      <c r="D10" s="7" t="s">
        <v>67</v>
      </c>
      <c r="F10"/>
    </row>
    <row r="11" spans="2:18" s="8" customFormat="1" ht="19.95" customHeight="1" x14ac:dyDescent="0.3">
      <c r="B11" s="34"/>
      <c r="C11" s="7" t="s">
        <v>80</v>
      </c>
      <c r="D11" s="7" t="s">
        <v>75</v>
      </c>
      <c r="F11"/>
    </row>
    <row r="12" spans="2:18" s="8" customFormat="1" ht="19.95" customHeight="1" x14ac:dyDescent="0.3">
      <c r="B12" s="34"/>
      <c r="C12" s="7" t="s">
        <v>111</v>
      </c>
      <c r="D12" s="7" t="s">
        <v>75</v>
      </c>
      <c r="F12"/>
    </row>
    <row r="13" spans="2:18" s="8" customFormat="1" ht="19.95" customHeight="1" x14ac:dyDescent="0.3">
      <c r="B13" s="34"/>
      <c r="C13" s="13" t="s">
        <v>75</v>
      </c>
      <c r="D13" s="7" t="s">
        <v>75</v>
      </c>
      <c r="F13"/>
    </row>
    <row r="14" spans="2:18" s="8" customFormat="1" ht="19.95" customHeight="1" x14ac:dyDescent="0.3">
      <c r="B14" s="34"/>
      <c r="C14" s="13" t="s">
        <v>116</v>
      </c>
      <c r="D14" s="7" t="s">
        <v>75</v>
      </c>
      <c r="F14"/>
    </row>
    <row r="15" spans="2:18" s="8" customFormat="1" ht="19.95" customHeight="1" x14ac:dyDescent="0.3">
      <c r="B15" s="34"/>
      <c r="C15" s="13" t="s">
        <v>118</v>
      </c>
      <c r="D15" s="7" t="s">
        <v>75</v>
      </c>
      <c r="F15"/>
    </row>
    <row r="16" spans="2:18" s="8" customFormat="1" ht="19.95" customHeight="1" x14ac:dyDescent="0.3">
      <c r="B16" s="34"/>
      <c r="C16" s="13" t="s">
        <v>120</v>
      </c>
      <c r="D16" s="7" t="s">
        <v>75</v>
      </c>
      <c r="F16"/>
    </row>
    <row r="17" spans="2:6" s="8" customFormat="1" ht="19.95" customHeight="1" x14ac:dyDescent="0.3">
      <c r="B17" s="34"/>
      <c r="C17" s="15" t="s">
        <v>122</v>
      </c>
      <c r="D17" s="15" t="s">
        <v>122</v>
      </c>
      <c r="F17"/>
    </row>
    <row r="18" spans="2:6" s="8" customFormat="1" ht="19.95" customHeight="1" x14ac:dyDescent="0.3">
      <c r="B18" s="34"/>
      <c r="C18" s="15" t="s">
        <v>124</v>
      </c>
      <c r="D18" s="15" t="s">
        <v>122</v>
      </c>
      <c r="F18"/>
    </row>
    <row r="19" spans="2:6" s="8" customFormat="1" ht="19.95" customHeight="1" x14ac:dyDescent="0.3">
      <c r="B19" s="34"/>
      <c r="C19" s="7" t="s">
        <v>87</v>
      </c>
      <c r="D19" s="7" t="s">
        <v>87</v>
      </c>
      <c r="F19"/>
    </row>
    <row r="20" spans="2:6" s="8" customFormat="1" ht="19.95" customHeight="1" x14ac:dyDescent="0.3">
      <c r="B20" s="34"/>
      <c r="C20" s="7" t="s">
        <v>127</v>
      </c>
      <c r="D20" s="7" t="s">
        <v>87</v>
      </c>
      <c r="F20"/>
    </row>
    <row r="21" spans="2:6" s="8" customFormat="1" ht="19.95" customHeight="1" x14ac:dyDescent="0.3">
      <c r="B21" s="34"/>
      <c r="C21" s="7" t="s">
        <v>87</v>
      </c>
      <c r="D21" s="7" t="s">
        <v>87</v>
      </c>
      <c r="F21"/>
    </row>
    <row r="22" spans="2:6" s="8" customFormat="1" ht="19.95" customHeight="1" x14ac:dyDescent="0.3">
      <c r="B22" s="34"/>
      <c r="C22" s="7" t="s">
        <v>127</v>
      </c>
      <c r="D22" s="7" t="s">
        <v>87</v>
      </c>
      <c r="F22"/>
    </row>
    <row r="23" spans="2:6" s="8" customFormat="1" ht="19.95" customHeight="1" x14ac:dyDescent="0.3">
      <c r="B23" s="34"/>
      <c r="C23" s="17" t="s">
        <v>131</v>
      </c>
      <c r="D23" s="7" t="s">
        <v>87</v>
      </c>
      <c r="F23"/>
    </row>
    <row r="24" spans="2:6" s="8" customFormat="1" ht="19.95" customHeight="1" x14ac:dyDescent="0.3">
      <c r="B24" s="34"/>
      <c r="C24" s="17" t="s">
        <v>133</v>
      </c>
      <c r="D24" s="7" t="s">
        <v>87</v>
      </c>
      <c r="F24"/>
    </row>
    <row r="25" spans="2:6" s="8" customFormat="1" ht="19.95" customHeight="1" x14ac:dyDescent="0.3">
      <c r="B25" s="34"/>
      <c r="C25" s="17" t="s">
        <v>105</v>
      </c>
      <c r="D25" s="7" t="s">
        <v>87</v>
      </c>
      <c r="F25"/>
    </row>
    <row r="26" spans="2:6" s="8" customFormat="1" ht="19.95" customHeight="1" x14ac:dyDescent="0.3">
      <c r="B26" s="34"/>
      <c r="C26" s="17" t="s">
        <v>137</v>
      </c>
      <c r="D26" s="7" t="s">
        <v>87</v>
      </c>
      <c r="F26"/>
    </row>
    <row r="27" spans="2:6" s="8" customFormat="1" ht="19.95" customHeight="1" x14ac:dyDescent="0.3">
      <c r="B27" s="34"/>
      <c r="C27" s="7" t="s">
        <v>139</v>
      </c>
      <c r="D27" s="7" t="s">
        <v>87</v>
      </c>
      <c r="F27"/>
    </row>
    <row r="28" spans="2:6" s="8" customFormat="1" ht="19.95" customHeight="1" x14ac:dyDescent="0.3">
      <c r="B28" s="34"/>
      <c r="C28" s="7" t="s">
        <v>141</v>
      </c>
      <c r="D28" s="7" t="s">
        <v>87</v>
      </c>
      <c r="F28"/>
    </row>
    <row r="29" spans="2:6" s="8" customFormat="1" ht="19.95" customHeight="1" x14ac:dyDescent="0.3">
      <c r="B29" s="34"/>
      <c r="C29" s="7" t="s">
        <v>71</v>
      </c>
      <c r="D29" s="7" t="s">
        <v>71</v>
      </c>
      <c r="F29"/>
    </row>
    <row r="30" spans="2:6" s="8" customFormat="1" ht="19.95" customHeight="1" x14ac:dyDescent="0.3">
      <c r="B30" s="34"/>
      <c r="C30" s="7" t="s">
        <v>146</v>
      </c>
      <c r="D30" s="7" t="s">
        <v>71</v>
      </c>
      <c r="F30"/>
    </row>
    <row r="31" spans="2:6" s="8" customFormat="1" ht="19.95" customHeight="1" x14ac:dyDescent="0.3">
      <c r="B31" s="34"/>
      <c r="C31" s="7" t="s">
        <v>149</v>
      </c>
      <c r="D31" s="7" t="s">
        <v>71</v>
      </c>
      <c r="F31"/>
    </row>
    <row r="32" spans="2:6" s="8" customFormat="1" ht="19.95" customHeight="1" x14ac:dyDescent="0.3">
      <c r="B32" s="34"/>
      <c r="C32" s="7" t="s">
        <v>152</v>
      </c>
      <c r="D32" s="7" t="s">
        <v>71</v>
      </c>
      <c r="F32"/>
    </row>
    <row r="33" spans="2:6" s="8" customFormat="1" ht="19.95" customHeight="1" x14ac:dyDescent="0.3">
      <c r="B33" s="34"/>
      <c r="C33" s="7" t="s">
        <v>155</v>
      </c>
      <c r="D33" s="7" t="s">
        <v>71</v>
      </c>
      <c r="F33"/>
    </row>
    <row r="34" spans="2:6" s="8" customFormat="1" ht="19.95" customHeight="1" x14ac:dyDescent="0.3">
      <c r="B34" s="34"/>
      <c r="C34" s="7" t="s">
        <v>158</v>
      </c>
      <c r="D34" s="7" t="s">
        <v>71</v>
      </c>
      <c r="F34"/>
    </row>
    <row r="35" spans="2:6" s="8" customFormat="1" ht="19.95" customHeight="1" x14ac:dyDescent="0.3">
      <c r="B35" s="34"/>
      <c r="C35" s="7" t="s">
        <v>76</v>
      </c>
      <c r="D35" s="7" t="s">
        <v>71</v>
      </c>
      <c r="F35"/>
    </row>
    <row r="36" spans="2:6" s="8" customFormat="1" ht="19.95" customHeight="1" x14ac:dyDescent="0.3">
      <c r="B36" s="34"/>
      <c r="C36" s="7" t="s">
        <v>69</v>
      </c>
      <c r="D36" s="7" t="s">
        <v>71</v>
      </c>
      <c r="F36"/>
    </row>
    <row r="37" spans="2:6" s="8" customFormat="1" ht="19.95" customHeight="1" x14ac:dyDescent="0.3">
      <c r="B37" s="34"/>
      <c r="C37" s="7" t="s">
        <v>97</v>
      </c>
      <c r="D37" s="7" t="s">
        <v>97</v>
      </c>
      <c r="F37"/>
    </row>
    <row r="38" spans="2:6" s="8" customFormat="1" ht="19.95" customHeight="1" x14ac:dyDescent="0.3">
      <c r="B38" s="34"/>
      <c r="C38" s="7" t="s">
        <v>166</v>
      </c>
      <c r="D38" s="7" t="s">
        <v>97</v>
      </c>
      <c r="F38"/>
    </row>
    <row r="39" spans="2:6" s="8" customFormat="1" ht="19.95" customHeight="1" x14ac:dyDescent="0.3">
      <c r="B39" s="34"/>
      <c r="C39" s="17" t="s">
        <v>83</v>
      </c>
      <c r="D39" s="7" t="s">
        <v>83</v>
      </c>
      <c r="F39"/>
    </row>
    <row r="40" spans="2:6" s="8" customFormat="1" ht="19.95" customHeight="1" x14ac:dyDescent="0.3">
      <c r="B40" s="34"/>
      <c r="C40" s="18" t="s">
        <v>171</v>
      </c>
      <c r="D40" s="19" t="s">
        <v>83</v>
      </c>
      <c r="F40"/>
    </row>
    <row r="41" spans="2:6" s="8" customFormat="1" ht="19.95" customHeight="1" x14ac:dyDescent="0.3">
      <c r="B41" s="34"/>
      <c r="C41" s="17" t="s">
        <v>101</v>
      </c>
      <c r="D41" s="7" t="s">
        <v>101</v>
      </c>
      <c r="F41"/>
    </row>
    <row r="42" spans="2:6" s="8" customFormat="1" ht="19.95" customHeight="1" x14ac:dyDescent="0.3">
      <c r="B42" s="34"/>
      <c r="C42" s="17" t="s">
        <v>175</v>
      </c>
      <c r="D42" s="7" t="s">
        <v>101</v>
      </c>
      <c r="F42"/>
    </row>
    <row r="43" spans="2:6" s="8" customFormat="1" ht="19.95" customHeight="1" x14ac:dyDescent="0.3">
      <c r="B43" s="34"/>
      <c r="C43" s="7" t="s">
        <v>113</v>
      </c>
      <c r="D43" s="7" t="s">
        <v>101</v>
      </c>
      <c r="F43"/>
    </row>
    <row r="44" spans="2:6" s="8" customFormat="1" ht="19.95" customHeight="1" x14ac:dyDescent="0.3">
      <c r="B44" s="34"/>
      <c r="C44" s="7" t="s">
        <v>109</v>
      </c>
      <c r="D44" s="7" t="s">
        <v>101</v>
      </c>
      <c r="F44"/>
    </row>
    <row r="45" spans="2:6" s="8" customFormat="1" ht="19.95" customHeight="1" x14ac:dyDescent="0.3">
      <c r="B45" s="34"/>
      <c r="C45" s="7" t="s">
        <v>108</v>
      </c>
      <c r="D45" s="7" t="s">
        <v>108</v>
      </c>
      <c r="F45"/>
    </row>
    <row r="46" spans="2:6" s="8" customFormat="1" ht="19.95" customHeight="1" x14ac:dyDescent="0.3">
      <c r="B46" s="34"/>
      <c r="C46" s="17">
        <v>54519</v>
      </c>
      <c r="D46" s="7">
        <v>545</v>
      </c>
      <c r="F46"/>
    </row>
    <row r="47" spans="2:6" s="8" customFormat="1" ht="19.95" customHeight="1" x14ac:dyDescent="0.3">
      <c r="B47" s="34"/>
      <c r="C47" s="17" t="s">
        <v>151</v>
      </c>
      <c r="D47" s="7">
        <v>545</v>
      </c>
      <c r="F47"/>
    </row>
    <row r="48" spans="2:6" s="8" customFormat="1" ht="19.95" customHeight="1" x14ac:dyDescent="0.3">
      <c r="B48" s="34"/>
      <c r="C48" s="17">
        <v>56205</v>
      </c>
      <c r="D48" s="7">
        <v>545</v>
      </c>
      <c r="F48"/>
    </row>
    <row r="49" spans="2:6" s="8" customFormat="1" ht="19.95" customHeight="1" x14ac:dyDescent="0.3">
      <c r="B49" s="34"/>
      <c r="C49" s="17">
        <v>54459</v>
      </c>
      <c r="D49" s="7">
        <v>544</v>
      </c>
      <c r="F49"/>
    </row>
    <row r="50" spans="2:6" s="8" customFormat="1" ht="19.95" customHeight="1" x14ac:dyDescent="0.3">
      <c r="B50" s="34"/>
      <c r="C50" s="18" t="s">
        <v>184</v>
      </c>
      <c r="D50" s="7">
        <v>544</v>
      </c>
      <c r="F50"/>
    </row>
    <row r="51" spans="2:6" s="8" customFormat="1" ht="19.95" customHeight="1" x14ac:dyDescent="0.3">
      <c r="B51" s="34"/>
      <c r="C51" s="17">
        <v>54464</v>
      </c>
      <c r="D51" s="7">
        <v>544</v>
      </c>
      <c r="F51"/>
    </row>
    <row r="52" spans="2:6" s="8" customFormat="1" ht="19.95" customHeight="1" x14ac:dyDescent="0.3">
      <c r="B52" s="34"/>
      <c r="C52" s="17" t="s">
        <v>187</v>
      </c>
      <c r="D52" s="7">
        <v>544</v>
      </c>
      <c r="F52"/>
    </row>
    <row r="53" spans="2:6" s="20" customFormat="1" ht="19.95" customHeight="1" x14ac:dyDescent="0.3">
      <c r="B53" s="34"/>
      <c r="C53" s="17">
        <v>55530</v>
      </c>
      <c r="D53" s="7">
        <v>555</v>
      </c>
      <c r="F53"/>
    </row>
    <row r="54" spans="2:6" s="20" customFormat="1" ht="19.95" customHeight="1" x14ac:dyDescent="0.3">
      <c r="B54" s="34"/>
      <c r="C54" s="17">
        <v>55559</v>
      </c>
      <c r="D54" s="7">
        <v>555</v>
      </c>
      <c r="F54"/>
    </row>
    <row r="55" spans="2:6" s="20" customFormat="1" ht="19.95" customHeight="1" x14ac:dyDescent="0.3">
      <c r="B55" s="34"/>
      <c r="C55" s="17" t="s">
        <v>154</v>
      </c>
      <c r="D55" s="7">
        <v>555</v>
      </c>
      <c r="F55"/>
    </row>
    <row r="56" spans="2:6" s="20" customFormat="1" ht="19.95" customHeight="1" x14ac:dyDescent="0.3">
      <c r="B56" s="34"/>
      <c r="C56" s="17">
        <v>55565</v>
      </c>
      <c r="D56" s="7">
        <v>555</v>
      </c>
      <c r="F56"/>
    </row>
    <row r="57" spans="2:6" s="20" customFormat="1" ht="19.95" customHeight="1" x14ac:dyDescent="0.3">
      <c r="B57" s="34"/>
      <c r="C57" s="17" t="s">
        <v>191</v>
      </c>
      <c r="D57" s="7">
        <v>555</v>
      </c>
      <c r="F57"/>
    </row>
    <row r="58" spans="2:6" s="20" customFormat="1" ht="19.95" customHeight="1" x14ac:dyDescent="0.3">
      <c r="B58" s="34"/>
      <c r="C58" s="17" t="s">
        <v>157</v>
      </c>
      <c r="D58" s="7">
        <v>555</v>
      </c>
      <c r="F58"/>
    </row>
    <row r="59" spans="2:6" s="20" customFormat="1" ht="19.95" customHeight="1" x14ac:dyDescent="0.3">
      <c r="B59" s="34"/>
      <c r="C59" s="18" t="s">
        <v>168</v>
      </c>
      <c r="D59" s="7">
        <v>555</v>
      </c>
      <c r="F59"/>
    </row>
    <row r="60" spans="2:6" s="20" customFormat="1" ht="19.95" customHeight="1" x14ac:dyDescent="0.3">
      <c r="B60" s="34"/>
      <c r="C60" s="17">
        <v>56219</v>
      </c>
      <c r="D60" s="7">
        <v>555</v>
      </c>
      <c r="F60"/>
    </row>
    <row r="61" spans="2:6" s="8" customFormat="1" ht="19.95" customHeight="1" x14ac:dyDescent="0.3">
      <c r="B61" s="34"/>
      <c r="C61" s="17">
        <v>56638</v>
      </c>
      <c r="D61" s="7">
        <v>566</v>
      </c>
      <c r="F61"/>
    </row>
    <row r="62" spans="2:6" s="8" customFormat="1" ht="19.95" customHeight="1" x14ac:dyDescent="0.3">
      <c r="B62" s="34"/>
      <c r="C62" s="17" t="s">
        <v>173</v>
      </c>
      <c r="D62" s="7">
        <v>566</v>
      </c>
      <c r="F62"/>
    </row>
    <row r="63" spans="2:6" s="8" customFormat="1" ht="19.95" customHeight="1" x14ac:dyDescent="0.3">
      <c r="B63" s="34"/>
      <c r="C63" s="17">
        <v>56633</v>
      </c>
      <c r="D63" s="7">
        <v>566</v>
      </c>
      <c r="F63"/>
    </row>
    <row r="64" spans="2:6" s="8" customFormat="1" ht="19.95" customHeight="1" x14ac:dyDescent="0.3">
      <c r="B64" s="34"/>
      <c r="C64" s="17">
        <v>57412</v>
      </c>
      <c r="D64" s="7">
        <v>566</v>
      </c>
      <c r="F64"/>
    </row>
    <row r="65" spans="2:6" s="8" customFormat="1" ht="19.95" customHeight="1" x14ac:dyDescent="0.3">
      <c r="B65" s="34"/>
      <c r="C65" s="17" t="s">
        <v>174</v>
      </c>
      <c r="D65" s="7">
        <v>566</v>
      </c>
      <c r="F65"/>
    </row>
    <row r="66" spans="2:6" s="8" customFormat="1" ht="19.95" customHeight="1" x14ac:dyDescent="0.3">
      <c r="B66" s="34"/>
      <c r="C66" s="17">
        <v>58024</v>
      </c>
      <c r="D66" s="7">
        <v>566</v>
      </c>
      <c r="F66"/>
    </row>
    <row r="67" spans="2:6" s="8" customFormat="1" ht="19.95" customHeight="1" x14ac:dyDescent="0.3">
      <c r="B67" s="34"/>
      <c r="C67" s="17" t="s">
        <v>200</v>
      </c>
      <c r="D67" s="7">
        <v>566</v>
      </c>
      <c r="F67"/>
    </row>
    <row r="68" spans="2:6" s="8" customFormat="1" ht="19.95" customHeight="1" x14ac:dyDescent="0.3">
      <c r="B68" s="34"/>
      <c r="C68" s="17">
        <v>58827</v>
      </c>
      <c r="D68" s="7">
        <v>588</v>
      </c>
      <c r="F68"/>
    </row>
    <row r="69" spans="2:6" s="8" customFormat="1" ht="19.95" customHeight="1" x14ac:dyDescent="0.3">
      <c r="B69" s="34"/>
      <c r="C69" s="17" t="s">
        <v>177</v>
      </c>
      <c r="D69" s="7">
        <v>588</v>
      </c>
      <c r="F69"/>
    </row>
    <row r="70" spans="2:6" s="8" customFormat="1" ht="19.95" customHeight="1" x14ac:dyDescent="0.3">
      <c r="B70" s="34"/>
      <c r="C70" s="17">
        <v>58821</v>
      </c>
      <c r="D70" s="7">
        <v>588</v>
      </c>
      <c r="F70"/>
    </row>
    <row r="71" spans="2:6" s="8" customFormat="1" ht="19.95" customHeight="1" x14ac:dyDescent="0.3">
      <c r="B71" s="34"/>
      <c r="C71" s="17" t="s">
        <v>205</v>
      </c>
      <c r="D71" s="7">
        <v>588</v>
      </c>
      <c r="F71"/>
    </row>
    <row r="72" spans="2:6" s="8" customFormat="1" ht="19.95" customHeight="1" x14ac:dyDescent="0.3">
      <c r="B72" s="34"/>
      <c r="C72" s="17">
        <v>60038</v>
      </c>
      <c r="D72" s="7">
        <v>588</v>
      </c>
      <c r="F72"/>
    </row>
    <row r="73" spans="2:6" s="8" customFormat="1" ht="19.95" customHeight="1" x14ac:dyDescent="0.3">
      <c r="B73" s="34"/>
      <c r="C73" s="17" t="s">
        <v>206</v>
      </c>
      <c r="D73" s="7" t="s">
        <v>147</v>
      </c>
      <c r="F73"/>
    </row>
    <row r="74" spans="2:6" s="8" customFormat="1" ht="19.95" customHeight="1" x14ac:dyDescent="0.3">
      <c r="B74" s="34"/>
      <c r="C74" s="17">
        <v>62034</v>
      </c>
      <c r="D74" s="7" t="s">
        <v>207</v>
      </c>
      <c r="F74"/>
    </row>
    <row r="75" spans="2:6" s="8" customFormat="1" ht="19.95" customHeight="1" x14ac:dyDescent="0.3">
      <c r="B75" s="34"/>
      <c r="C75" s="17">
        <v>65038</v>
      </c>
      <c r="D75" s="7" t="s">
        <v>150</v>
      </c>
      <c r="F75"/>
    </row>
    <row r="76" spans="2:6" s="8" customFormat="1" ht="19.95" customHeight="1" x14ac:dyDescent="0.3">
      <c r="B76" s="34"/>
      <c r="C76" s="17" t="s">
        <v>178</v>
      </c>
      <c r="D76" s="7" t="s">
        <v>150</v>
      </c>
      <c r="F76"/>
    </row>
    <row r="77" spans="2:6" s="8" customFormat="1" ht="19.95" customHeight="1" x14ac:dyDescent="0.3">
      <c r="B77" s="34"/>
      <c r="C77" s="17">
        <v>67018</v>
      </c>
      <c r="D77" s="7" t="s">
        <v>150</v>
      </c>
      <c r="F77"/>
    </row>
    <row r="78" spans="2:6" s="8" customFormat="1" ht="19.95" customHeight="1" x14ac:dyDescent="0.3">
      <c r="B78" s="34"/>
      <c r="C78" s="17" t="s">
        <v>183</v>
      </c>
      <c r="D78" s="7" t="s">
        <v>150</v>
      </c>
      <c r="F78"/>
    </row>
    <row r="79" spans="2:6" s="8" customFormat="1" ht="19.95" customHeight="1" x14ac:dyDescent="0.3">
      <c r="B79" s="34"/>
      <c r="C79" s="17">
        <v>70027</v>
      </c>
      <c r="D79" s="7" t="s">
        <v>153</v>
      </c>
      <c r="F79"/>
    </row>
    <row r="80" spans="2:6" s="8" customFormat="1" ht="19.95" customHeight="1" x14ac:dyDescent="0.3">
      <c r="B80" s="34"/>
      <c r="C80" s="17" t="s">
        <v>185</v>
      </c>
      <c r="D80" s="7" t="s">
        <v>153</v>
      </c>
      <c r="F80"/>
    </row>
    <row r="81" spans="2:6" s="8" customFormat="1" ht="19.95" customHeight="1" x14ac:dyDescent="0.3">
      <c r="B81" s="34"/>
      <c r="C81" s="17" t="s">
        <v>172</v>
      </c>
      <c r="D81" s="7" t="s">
        <v>172</v>
      </c>
      <c r="F81"/>
    </row>
    <row r="82" spans="2:6" s="8" customFormat="1" ht="19.95" customHeight="1" x14ac:dyDescent="0.3">
      <c r="B82" s="34"/>
      <c r="C82" s="17" t="s">
        <v>167</v>
      </c>
      <c r="D82" s="7" t="s">
        <v>167</v>
      </c>
      <c r="F82"/>
    </row>
    <row r="83" spans="2:6" s="8" customFormat="1" ht="19.95" customHeight="1" x14ac:dyDescent="0.3">
      <c r="B83" s="34" t="s">
        <v>218</v>
      </c>
      <c r="C83" s="17" t="s">
        <v>67</v>
      </c>
      <c r="D83" s="7" t="s">
        <v>67</v>
      </c>
      <c r="F83"/>
    </row>
    <row r="84" spans="2:6" s="8" customFormat="1" ht="19.95" customHeight="1" x14ac:dyDescent="0.3">
      <c r="B84" s="34"/>
      <c r="C84" s="17" t="s">
        <v>74</v>
      </c>
      <c r="D84" s="7" t="s">
        <v>67</v>
      </c>
      <c r="F84"/>
    </row>
    <row r="85" spans="2:6" s="8" customFormat="1" ht="19.95" customHeight="1" x14ac:dyDescent="0.3">
      <c r="B85" s="34"/>
      <c r="C85" s="17" t="s">
        <v>210</v>
      </c>
      <c r="D85" s="7" t="s">
        <v>67</v>
      </c>
      <c r="F85"/>
    </row>
    <row r="86" spans="2:6" s="8" customFormat="1" ht="19.95" customHeight="1" x14ac:dyDescent="0.3">
      <c r="B86" s="34"/>
      <c r="C86" s="17" t="s">
        <v>209</v>
      </c>
      <c r="D86" s="7" t="s">
        <v>67</v>
      </c>
      <c r="F86"/>
    </row>
    <row r="87" spans="2:6" s="8" customFormat="1" ht="19.95" customHeight="1" x14ac:dyDescent="0.3">
      <c r="B87" s="34"/>
      <c r="C87" s="17" t="s">
        <v>92</v>
      </c>
      <c r="D87" s="7" t="s">
        <v>67</v>
      </c>
      <c r="F87"/>
    </row>
    <row r="88" spans="2:6" s="8" customFormat="1" ht="19.95" customHeight="1" x14ac:dyDescent="0.3">
      <c r="B88" s="34"/>
      <c r="C88" s="17" t="s">
        <v>96</v>
      </c>
      <c r="D88" s="7" t="s">
        <v>67</v>
      </c>
      <c r="F88"/>
    </row>
    <row r="89" spans="2:6" s="8" customFormat="1" ht="19.95" customHeight="1" x14ac:dyDescent="0.3">
      <c r="B89" s="34"/>
      <c r="C89" s="22" t="s">
        <v>75</v>
      </c>
      <c r="D89" s="7" t="s">
        <v>75</v>
      </c>
      <c r="F89"/>
    </row>
    <row r="90" spans="2:6" s="8" customFormat="1" ht="19.95" customHeight="1" x14ac:dyDescent="0.3">
      <c r="B90" s="34"/>
      <c r="C90" s="22" t="s">
        <v>116</v>
      </c>
      <c r="D90" s="7" t="s">
        <v>75</v>
      </c>
      <c r="F90"/>
    </row>
    <row r="91" spans="2:6" s="20" customFormat="1" ht="19.95" customHeight="1" x14ac:dyDescent="0.3">
      <c r="B91" s="34"/>
      <c r="C91" s="23" t="s">
        <v>161</v>
      </c>
      <c r="D91" s="23" t="s">
        <v>122</v>
      </c>
      <c r="F91"/>
    </row>
    <row r="92" spans="2:6" s="20" customFormat="1" ht="19.95" customHeight="1" x14ac:dyDescent="0.3">
      <c r="B92" s="34"/>
      <c r="C92" s="23" t="s">
        <v>124</v>
      </c>
      <c r="D92" s="23" t="s">
        <v>122</v>
      </c>
      <c r="F92"/>
    </row>
    <row r="93" spans="2:6" s="8" customFormat="1" ht="19.95" customHeight="1" x14ac:dyDescent="0.3">
      <c r="B93" s="34"/>
      <c r="C93" s="17" t="s">
        <v>87</v>
      </c>
      <c r="D93" s="7" t="s">
        <v>87</v>
      </c>
      <c r="F93"/>
    </row>
    <row r="94" spans="2:6" s="8" customFormat="1" ht="19.95" customHeight="1" x14ac:dyDescent="0.3">
      <c r="B94" s="34"/>
      <c r="C94" s="17" t="s">
        <v>127</v>
      </c>
      <c r="D94" s="7" t="s">
        <v>87</v>
      </c>
      <c r="F94"/>
    </row>
    <row r="95" spans="2:6" s="8" customFormat="1" ht="19.95" customHeight="1" x14ac:dyDescent="0.3">
      <c r="B95" s="34"/>
      <c r="C95" s="17" t="s">
        <v>131</v>
      </c>
      <c r="D95" s="7" t="s">
        <v>87</v>
      </c>
      <c r="F95"/>
    </row>
    <row r="96" spans="2:6" s="8" customFormat="1" ht="19.95" customHeight="1" x14ac:dyDescent="0.3">
      <c r="B96" s="34"/>
      <c r="C96" s="17" t="s">
        <v>133</v>
      </c>
      <c r="D96" s="7" t="s">
        <v>87</v>
      </c>
      <c r="F96"/>
    </row>
    <row r="97" spans="2:6" s="8" customFormat="1" ht="19.95" customHeight="1" x14ac:dyDescent="0.3">
      <c r="B97" s="34"/>
      <c r="C97" s="17" t="s">
        <v>105</v>
      </c>
      <c r="D97" s="7" t="s">
        <v>87</v>
      </c>
      <c r="F97"/>
    </row>
    <row r="98" spans="2:6" s="8" customFormat="1" ht="19.95" customHeight="1" x14ac:dyDescent="0.3">
      <c r="B98" s="34"/>
      <c r="C98" s="17" t="s">
        <v>137</v>
      </c>
      <c r="D98" s="7" t="s">
        <v>87</v>
      </c>
      <c r="F98"/>
    </row>
    <row r="99" spans="2:6" s="8" customFormat="1" ht="19.95" customHeight="1" x14ac:dyDescent="0.3">
      <c r="B99" s="34"/>
      <c r="C99" s="17" t="s">
        <v>139</v>
      </c>
      <c r="D99" s="7" t="s">
        <v>87</v>
      </c>
      <c r="F99"/>
    </row>
    <row r="100" spans="2:6" s="8" customFormat="1" ht="19.95" customHeight="1" x14ac:dyDescent="0.3">
      <c r="B100" s="34"/>
      <c r="C100" s="17" t="s">
        <v>141</v>
      </c>
      <c r="D100" s="7" t="s">
        <v>87</v>
      </c>
      <c r="F100"/>
    </row>
    <row r="101" spans="2:6" s="8" customFormat="1" ht="19.95" customHeight="1" x14ac:dyDescent="0.3">
      <c r="B101" s="34"/>
      <c r="C101" s="7" t="s">
        <v>71</v>
      </c>
      <c r="D101" s="7" t="s">
        <v>71</v>
      </c>
      <c r="F101"/>
    </row>
    <row r="102" spans="2:6" s="8" customFormat="1" ht="19.95" customHeight="1" x14ac:dyDescent="0.3">
      <c r="B102" s="34"/>
      <c r="C102" s="7" t="s">
        <v>146</v>
      </c>
      <c r="D102" s="7" t="s">
        <v>71</v>
      </c>
      <c r="F102"/>
    </row>
    <row r="103" spans="2:6" s="8" customFormat="1" ht="19.95" customHeight="1" x14ac:dyDescent="0.3">
      <c r="B103" s="34"/>
      <c r="C103" s="7" t="s">
        <v>149</v>
      </c>
      <c r="D103" s="7" t="s">
        <v>71</v>
      </c>
      <c r="F103"/>
    </row>
    <row r="104" spans="2:6" s="8" customFormat="1" ht="19.95" customHeight="1" x14ac:dyDescent="0.3">
      <c r="B104" s="34"/>
      <c r="C104" s="7" t="s">
        <v>152</v>
      </c>
      <c r="D104" s="7" t="s">
        <v>71</v>
      </c>
      <c r="F104"/>
    </row>
    <row r="105" spans="2:6" s="8" customFormat="1" ht="19.95" customHeight="1" x14ac:dyDescent="0.3">
      <c r="B105" s="34"/>
      <c r="C105" s="7" t="s">
        <v>155</v>
      </c>
      <c r="D105" s="7" t="s">
        <v>71</v>
      </c>
      <c r="F105"/>
    </row>
    <row r="106" spans="2:6" s="8" customFormat="1" ht="19.95" customHeight="1" x14ac:dyDescent="0.3">
      <c r="B106" s="34"/>
      <c r="C106" s="7" t="s">
        <v>158</v>
      </c>
      <c r="D106" s="7" t="s">
        <v>71</v>
      </c>
      <c r="F106"/>
    </row>
    <row r="107" spans="2:6" s="8" customFormat="1" ht="19.95" customHeight="1" x14ac:dyDescent="0.3">
      <c r="B107" s="34" t="s">
        <v>243</v>
      </c>
      <c r="C107" s="17" t="s">
        <v>244</v>
      </c>
      <c r="D107" s="7" t="s">
        <v>72</v>
      </c>
      <c r="F107"/>
    </row>
    <row r="108" spans="2:6" s="8" customFormat="1" ht="19.95" customHeight="1" x14ac:dyDescent="0.3">
      <c r="B108" s="34"/>
      <c r="C108" s="18" t="s">
        <v>246</v>
      </c>
      <c r="D108" s="7" t="s">
        <v>72</v>
      </c>
      <c r="F108"/>
    </row>
    <row r="109" spans="2:6" s="8" customFormat="1" ht="19.95" customHeight="1" x14ac:dyDescent="0.3">
      <c r="B109" s="34"/>
      <c r="C109" s="17" t="s">
        <v>248</v>
      </c>
      <c r="D109" s="7" t="s">
        <v>72</v>
      </c>
      <c r="F109"/>
    </row>
    <row r="110" spans="2:6" s="8" customFormat="1" ht="19.95" customHeight="1" x14ac:dyDescent="0.3">
      <c r="B110" s="34"/>
      <c r="C110" s="18" t="s">
        <v>249</v>
      </c>
      <c r="D110" s="7" t="s">
        <v>72</v>
      </c>
      <c r="F110"/>
    </row>
    <row r="111" spans="2:6" s="8" customFormat="1" ht="19.95" customHeight="1" x14ac:dyDescent="0.3">
      <c r="B111" s="34"/>
      <c r="C111" s="17" t="s">
        <v>251</v>
      </c>
      <c r="D111" s="7" t="s">
        <v>67</v>
      </c>
      <c r="F111"/>
    </row>
    <row r="112" spans="2:6" s="8" customFormat="1" ht="19.95" customHeight="1" x14ac:dyDescent="0.3">
      <c r="B112" s="34"/>
      <c r="C112" s="17" t="s">
        <v>253</v>
      </c>
      <c r="D112" s="7" t="s">
        <v>67</v>
      </c>
      <c r="F112"/>
    </row>
    <row r="113" spans="2:6" s="8" customFormat="1" ht="19.95" customHeight="1" x14ac:dyDescent="0.3">
      <c r="B113" s="34"/>
      <c r="C113" s="17" t="s">
        <v>254</v>
      </c>
      <c r="D113" s="7" t="s">
        <v>67</v>
      </c>
      <c r="F113"/>
    </row>
    <row r="114" spans="2:6" s="8" customFormat="1" ht="19.95" customHeight="1" x14ac:dyDescent="0.3">
      <c r="B114" s="34"/>
      <c r="C114" s="7" t="s">
        <v>256</v>
      </c>
      <c r="D114" s="7" t="s">
        <v>67</v>
      </c>
      <c r="F114"/>
    </row>
    <row r="115" spans="2:6" s="8" customFormat="1" ht="19.95" customHeight="1" x14ac:dyDescent="0.3">
      <c r="B115" s="34"/>
      <c r="C115" s="19" t="s">
        <v>258</v>
      </c>
      <c r="D115" s="7" t="s">
        <v>67</v>
      </c>
      <c r="F115"/>
    </row>
    <row r="116" spans="2:6" s="8" customFormat="1" ht="19.95" customHeight="1" x14ac:dyDescent="0.3">
      <c r="B116" s="34"/>
      <c r="C116" s="7" t="s">
        <v>260</v>
      </c>
      <c r="D116" s="7" t="s">
        <v>67</v>
      </c>
      <c r="F116"/>
    </row>
    <row r="117" spans="2:6" s="8" customFormat="1" ht="19.95" customHeight="1" x14ac:dyDescent="0.3">
      <c r="B117" s="34"/>
      <c r="C117" s="7" t="s">
        <v>262</v>
      </c>
      <c r="D117" s="7" t="s">
        <v>67</v>
      </c>
      <c r="F117"/>
    </row>
    <row r="118" spans="2:6" s="8" customFormat="1" ht="19.95" customHeight="1" x14ac:dyDescent="0.3">
      <c r="B118" s="34"/>
      <c r="C118" s="7" t="s">
        <v>264</v>
      </c>
      <c r="D118" s="7" t="s">
        <v>67</v>
      </c>
      <c r="F118"/>
    </row>
    <row r="119" spans="2:6" s="8" customFormat="1" ht="19.95" customHeight="1" x14ac:dyDescent="0.3">
      <c r="B119" s="34"/>
      <c r="C119" s="7" t="s">
        <v>266</v>
      </c>
      <c r="D119" s="7" t="s">
        <v>67</v>
      </c>
      <c r="F119"/>
    </row>
    <row r="120" spans="2:6" s="8" customFormat="1" ht="19.95" customHeight="1" x14ac:dyDescent="0.3">
      <c r="B120" s="34"/>
      <c r="C120" s="7" t="s">
        <v>267</v>
      </c>
      <c r="D120" s="7" t="s">
        <v>67</v>
      </c>
      <c r="F120"/>
    </row>
    <row r="121" spans="2:6" s="8" customFormat="1" ht="19.95" customHeight="1" x14ac:dyDescent="0.3">
      <c r="B121" s="34"/>
      <c r="C121" s="7">
        <v>325</v>
      </c>
      <c r="D121" s="7" t="s">
        <v>67</v>
      </c>
      <c r="F121"/>
    </row>
    <row r="122" spans="2:6" s="8" customFormat="1" ht="19.95" customHeight="1" x14ac:dyDescent="0.3">
      <c r="B122" s="34"/>
      <c r="C122" s="7" t="s">
        <v>269</v>
      </c>
      <c r="D122" s="7" t="s">
        <v>67</v>
      </c>
      <c r="F122"/>
    </row>
    <row r="123" spans="2:6" s="8" customFormat="1" ht="19.95" customHeight="1" x14ac:dyDescent="0.3">
      <c r="B123" s="34"/>
      <c r="C123" s="7" t="s">
        <v>270</v>
      </c>
      <c r="D123" s="7" t="s">
        <v>67</v>
      </c>
      <c r="F123"/>
    </row>
    <row r="124" spans="2:6" s="8" customFormat="1" ht="19.95" customHeight="1" x14ac:dyDescent="0.3">
      <c r="B124" s="34"/>
      <c r="C124" s="7">
        <v>327</v>
      </c>
      <c r="D124" s="7" t="s">
        <v>67</v>
      </c>
      <c r="F124"/>
    </row>
    <row r="125" spans="2:6" s="8" customFormat="1" ht="19.95" customHeight="1" x14ac:dyDescent="0.3">
      <c r="B125" s="34"/>
      <c r="C125" s="17" t="s">
        <v>272</v>
      </c>
      <c r="D125" s="7" t="s">
        <v>75</v>
      </c>
      <c r="F125"/>
    </row>
    <row r="126" spans="2:6" s="8" customFormat="1" ht="19.95" customHeight="1" x14ac:dyDescent="0.3">
      <c r="B126" s="34"/>
      <c r="C126" s="17" t="s">
        <v>274</v>
      </c>
      <c r="D126" s="7" t="s">
        <v>75</v>
      </c>
      <c r="F126"/>
    </row>
    <row r="127" spans="2:6" s="20" customFormat="1" ht="19.95" customHeight="1" x14ac:dyDescent="0.3">
      <c r="B127" s="34"/>
      <c r="C127" s="17" t="s">
        <v>276</v>
      </c>
      <c r="D127" s="7" t="s">
        <v>75</v>
      </c>
      <c r="F127"/>
    </row>
    <row r="128" spans="2:6" s="20" customFormat="1" ht="19.95" customHeight="1" x14ac:dyDescent="0.3">
      <c r="B128" s="34"/>
      <c r="C128" s="17" t="s">
        <v>278</v>
      </c>
      <c r="D128" s="7" t="s">
        <v>75</v>
      </c>
      <c r="F128"/>
    </row>
    <row r="129" spans="2:6" s="20" customFormat="1" ht="19.95" customHeight="1" x14ac:dyDescent="0.3">
      <c r="B129" s="34"/>
      <c r="C129" s="17" t="s">
        <v>280</v>
      </c>
      <c r="D129" s="7" t="s">
        <v>75</v>
      </c>
      <c r="F129"/>
    </row>
    <row r="130" spans="2:6" s="20" customFormat="1" ht="19.95" customHeight="1" x14ac:dyDescent="0.3">
      <c r="B130" s="34"/>
      <c r="C130" s="17" t="s">
        <v>283</v>
      </c>
      <c r="D130" s="7" t="s">
        <v>75</v>
      </c>
      <c r="F130"/>
    </row>
    <row r="131" spans="2:6" s="20" customFormat="1" ht="19.95" customHeight="1" x14ac:dyDescent="0.3">
      <c r="B131" s="34"/>
      <c r="C131" s="23" t="s">
        <v>285</v>
      </c>
      <c r="D131" s="7" t="s">
        <v>75</v>
      </c>
      <c r="F131"/>
    </row>
    <row r="132" spans="2:6" s="20" customFormat="1" ht="19.95" customHeight="1" x14ac:dyDescent="0.3">
      <c r="B132" s="34"/>
      <c r="C132" s="23" t="s">
        <v>287</v>
      </c>
      <c r="D132" s="7" t="s">
        <v>75</v>
      </c>
      <c r="F132"/>
    </row>
    <row r="133" spans="2:6" s="20" customFormat="1" ht="19.95" customHeight="1" x14ac:dyDescent="0.3">
      <c r="B133" s="34"/>
      <c r="C133" s="23" t="s">
        <v>289</v>
      </c>
      <c r="D133" s="7" t="s">
        <v>75</v>
      </c>
      <c r="F133"/>
    </row>
    <row r="134" spans="2:6" s="20" customFormat="1" ht="19.95" customHeight="1" x14ac:dyDescent="0.3">
      <c r="B134" s="34"/>
      <c r="C134" s="23">
        <v>330</v>
      </c>
      <c r="D134" s="7" t="s">
        <v>75</v>
      </c>
      <c r="F134"/>
    </row>
    <row r="135" spans="2:6" s="20" customFormat="1" ht="19.95" customHeight="1" x14ac:dyDescent="0.3">
      <c r="B135" s="34"/>
      <c r="C135" s="15" t="s">
        <v>291</v>
      </c>
      <c r="D135" s="15" t="s">
        <v>122</v>
      </c>
      <c r="F135"/>
    </row>
    <row r="136" spans="2:6" s="20" customFormat="1" ht="19.95" customHeight="1" x14ac:dyDescent="0.3">
      <c r="B136" s="34"/>
      <c r="C136" s="15" t="s">
        <v>293</v>
      </c>
      <c r="D136" s="15" t="s">
        <v>122</v>
      </c>
      <c r="F136"/>
    </row>
    <row r="137" spans="2:6" s="20" customFormat="1" ht="19.95" customHeight="1" x14ac:dyDescent="0.3">
      <c r="B137" s="34"/>
      <c r="C137" s="15" t="s">
        <v>295</v>
      </c>
      <c r="D137" s="15" t="s">
        <v>122</v>
      </c>
      <c r="F137"/>
    </row>
    <row r="138" spans="2:6" s="20" customFormat="1" ht="19.95" customHeight="1" x14ac:dyDescent="0.3">
      <c r="B138" s="34"/>
      <c r="C138" s="15" t="s">
        <v>297</v>
      </c>
      <c r="D138" s="15" t="s">
        <v>122</v>
      </c>
      <c r="F138"/>
    </row>
    <row r="139" spans="2:6" s="20" customFormat="1" ht="19.95" customHeight="1" x14ac:dyDescent="0.3">
      <c r="B139" s="34"/>
      <c r="C139" s="15" t="s">
        <v>299</v>
      </c>
      <c r="D139" s="15" t="s">
        <v>122</v>
      </c>
      <c r="F139"/>
    </row>
    <row r="140" spans="2:6" s="8" customFormat="1" ht="19.95" customHeight="1" x14ac:dyDescent="0.3">
      <c r="B140" s="34"/>
      <c r="C140" s="17" t="s">
        <v>301</v>
      </c>
      <c r="D140" s="15" t="s">
        <v>122</v>
      </c>
      <c r="F140"/>
    </row>
    <row r="141" spans="2:6" s="8" customFormat="1" ht="19.95" customHeight="1" x14ac:dyDescent="0.3">
      <c r="B141" s="34"/>
      <c r="C141" s="17" t="s">
        <v>303</v>
      </c>
      <c r="D141" s="15" t="s">
        <v>122</v>
      </c>
      <c r="F141"/>
    </row>
    <row r="142" spans="2:6" s="8" customFormat="1" ht="19.95" customHeight="1" x14ac:dyDescent="0.3">
      <c r="B142" s="34"/>
      <c r="C142" s="24" t="s">
        <v>305</v>
      </c>
      <c r="D142" s="15" t="s">
        <v>122</v>
      </c>
      <c r="F142"/>
    </row>
    <row r="143" spans="2:6" s="8" customFormat="1" ht="19.95" customHeight="1" x14ac:dyDescent="0.3">
      <c r="B143" s="34"/>
      <c r="C143" s="24" t="s">
        <v>307</v>
      </c>
      <c r="D143" s="15" t="s">
        <v>122</v>
      </c>
      <c r="F143"/>
    </row>
    <row r="144" spans="2:6" s="8" customFormat="1" ht="19.95" customHeight="1" x14ac:dyDescent="0.3">
      <c r="B144" s="34"/>
      <c r="C144" s="24" t="s">
        <v>309</v>
      </c>
      <c r="D144" s="15" t="s">
        <v>122</v>
      </c>
      <c r="F144"/>
    </row>
    <row r="145" spans="2:6" s="8" customFormat="1" ht="19.95" customHeight="1" x14ac:dyDescent="0.3">
      <c r="B145" s="34"/>
      <c r="C145" s="24" t="s">
        <v>311</v>
      </c>
      <c r="D145" s="15" t="s">
        <v>122</v>
      </c>
      <c r="F145"/>
    </row>
    <row r="146" spans="2:6" s="8" customFormat="1" ht="19.95" customHeight="1" x14ac:dyDescent="0.3">
      <c r="B146" s="34"/>
      <c r="C146" s="17" t="s">
        <v>313</v>
      </c>
      <c r="D146" s="15" t="s">
        <v>87</v>
      </c>
      <c r="F146"/>
    </row>
    <row r="147" spans="2:6" s="8" customFormat="1" ht="19.95" customHeight="1" x14ac:dyDescent="0.3">
      <c r="B147" s="34"/>
      <c r="C147" s="17" t="s">
        <v>315</v>
      </c>
      <c r="D147" s="15" t="s">
        <v>87</v>
      </c>
      <c r="F147"/>
    </row>
    <row r="148" spans="2:6" s="8" customFormat="1" ht="19.95" customHeight="1" x14ac:dyDescent="0.3">
      <c r="B148" s="34"/>
      <c r="C148" s="7" t="s">
        <v>317</v>
      </c>
      <c r="D148" s="15" t="s">
        <v>87</v>
      </c>
      <c r="F148"/>
    </row>
    <row r="149" spans="2:6" s="8" customFormat="1" ht="19.95" customHeight="1" x14ac:dyDescent="0.3">
      <c r="B149" s="34"/>
      <c r="C149" s="7" t="s">
        <v>319</v>
      </c>
      <c r="D149" s="15" t="s">
        <v>87</v>
      </c>
      <c r="F149"/>
    </row>
    <row r="150" spans="2:6" s="8" customFormat="1" ht="19.95" customHeight="1" x14ac:dyDescent="0.3">
      <c r="B150" s="34"/>
      <c r="C150" s="7" t="s">
        <v>321</v>
      </c>
      <c r="D150" s="15" t="s">
        <v>87</v>
      </c>
      <c r="F150"/>
    </row>
    <row r="151" spans="2:6" s="8" customFormat="1" ht="19.95" customHeight="1" x14ac:dyDescent="0.3">
      <c r="B151" s="34"/>
      <c r="C151" s="17" t="s">
        <v>323</v>
      </c>
      <c r="D151" s="15" t="s">
        <v>87</v>
      </c>
      <c r="F151"/>
    </row>
    <row r="152" spans="2:6" s="8" customFormat="1" ht="19.95" customHeight="1" x14ac:dyDescent="0.3">
      <c r="B152" s="34"/>
      <c r="C152" s="17" t="s">
        <v>325</v>
      </c>
      <c r="D152" s="15" t="s">
        <v>87</v>
      </c>
      <c r="F152"/>
    </row>
    <row r="153" spans="2:6" s="8" customFormat="1" ht="19.95" customHeight="1" x14ac:dyDescent="0.3">
      <c r="B153" s="34"/>
      <c r="C153" s="17" t="s">
        <v>327</v>
      </c>
      <c r="D153" s="15" t="s">
        <v>87</v>
      </c>
      <c r="F153"/>
    </row>
    <row r="154" spans="2:6" s="8" customFormat="1" ht="19.95" customHeight="1" x14ac:dyDescent="0.3">
      <c r="B154" s="34"/>
      <c r="C154" s="17" t="s">
        <v>328</v>
      </c>
      <c r="D154" s="15" t="s">
        <v>87</v>
      </c>
      <c r="F154"/>
    </row>
    <row r="155" spans="2:6" s="8" customFormat="1" ht="19.95" customHeight="1" x14ac:dyDescent="0.3">
      <c r="B155" s="34"/>
      <c r="C155" s="17" t="s">
        <v>330</v>
      </c>
      <c r="D155" s="15" t="s">
        <v>87</v>
      </c>
      <c r="F155"/>
    </row>
    <row r="156" spans="2:6" s="8" customFormat="1" ht="19.95" customHeight="1" x14ac:dyDescent="0.3">
      <c r="B156" s="34"/>
      <c r="C156" s="17" t="s">
        <v>332</v>
      </c>
      <c r="D156" s="15" t="s">
        <v>87</v>
      </c>
      <c r="F156"/>
    </row>
    <row r="157" spans="2:6" s="8" customFormat="1" ht="19.95" customHeight="1" x14ac:dyDescent="0.3">
      <c r="B157" s="34"/>
      <c r="C157" s="15" t="s">
        <v>334</v>
      </c>
      <c r="D157" s="15" t="s">
        <v>87</v>
      </c>
      <c r="F157"/>
    </row>
    <row r="158" spans="2:6" s="8" customFormat="1" ht="19.95" customHeight="1" x14ac:dyDescent="0.3">
      <c r="B158" s="34"/>
      <c r="C158" s="15" t="s">
        <v>336</v>
      </c>
      <c r="D158" s="15" t="s">
        <v>87</v>
      </c>
      <c r="F158"/>
    </row>
    <row r="159" spans="2:6" s="8" customFormat="1" ht="19.95" customHeight="1" x14ac:dyDescent="0.3">
      <c r="B159" s="34"/>
      <c r="C159" s="15" t="s">
        <v>338</v>
      </c>
      <c r="D159" s="15" t="s">
        <v>87</v>
      </c>
      <c r="F159"/>
    </row>
    <row r="160" spans="2:6" s="8" customFormat="1" ht="19.95" customHeight="1" x14ac:dyDescent="0.3">
      <c r="B160" s="34"/>
      <c r="C160" s="15" t="s">
        <v>340</v>
      </c>
      <c r="D160" s="15" t="s">
        <v>87</v>
      </c>
      <c r="F160"/>
    </row>
    <row r="161" spans="2:6" s="8" customFormat="1" ht="19.95" customHeight="1" x14ac:dyDescent="0.3">
      <c r="B161" s="34"/>
      <c r="C161" s="15" t="s">
        <v>342</v>
      </c>
      <c r="D161" s="15" t="s">
        <v>87</v>
      </c>
      <c r="F161"/>
    </row>
    <row r="162" spans="2:6" s="8" customFormat="1" ht="19.95" customHeight="1" x14ac:dyDescent="0.3">
      <c r="B162" s="34"/>
      <c r="C162" s="15" t="s">
        <v>344</v>
      </c>
      <c r="D162" s="15" t="s">
        <v>87</v>
      </c>
      <c r="F162"/>
    </row>
    <row r="163" spans="2:6" s="8" customFormat="1" ht="19.95" customHeight="1" x14ac:dyDescent="0.3">
      <c r="B163" s="34"/>
      <c r="C163" s="15" t="s">
        <v>346</v>
      </c>
      <c r="D163" s="15" t="s">
        <v>87</v>
      </c>
      <c r="F163"/>
    </row>
    <row r="164" spans="2:6" s="8" customFormat="1" ht="19.95" customHeight="1" x14ac:dyDescent="0.3">
      <c r="B164" s="34"/>
      <c r="C164" s="15" t="s">
        <v>348</v>
      </c>
      <c r="D164" s="15" t="s">
        <v>87</v>
      </c>
      <c r="F164"/>
    </row>
    <row r="165" spans="2:6" s="8" customFormat="1" ht="19.95" customHeight="1" x14ac:dyDescent="0.3">
      <c r="B165" s="34"/>
      <c r="C165" s="25" t="s">
        <v>350</v>
      </c>
      <c r="D165" s="15" t="s">
        <v>87</v>
      </c>
      <c r="F165"/>
    </row>
    <row r="166" spans="2:6" s="8" customFormat="1" ht="19.95" customHeight="1" x14ac:dyDescent="0.3">
      <c r="B166" s="34"/>
      <c r="C166" s="25" t="s">
        <v>352</v>
      </c>
      <c r="D166" s="15" t="s">
        <v>87</v>
      </c>
      <c r="F166"/>
    </row>
    <row r="167" spans="2:6" s="8" customFormat="1" ht="19.95" customHeight="1" x14ac:dyDescent="0.3">
      <c r="B167" s="34"/>
      <c r="C167" s="17" t="s">
        <v>354</v>
      </c>
      <c r="D167" s="15" t="s">
        <v>71</v>
      </c>
      <c r="F167"/>
    </row>
    <row r="168" spans="2:6" s="8" customFormat="1" ht="19.95" customHeight="1" x14ac:dyDescent="0.3">
      <c r="B168" s="34"/>
      <c r="C168" s="17" t="s">
        <v>356</v>
      </c>
      <c r="D168" s="15" t="s">
        <v>71</v>
      </c>
      <c r="F168"/>
    </row>
    <row r="169" spans="2:6" s="8" customFormat="1" ht="19.95" customHeight="1" x14ac:dyDescent="0.3">
      <c r="B169" s="34"/>
      <c r="C169" s="7" t="s">
        <v>358</v>
      </c>
      <c r="D169" s="15" t="s">
        <v>71</v>
      </c>
      <c r="F169"/>
    </row>
    <row r="170" spans="2:6" s="8" customFormat="1" ht="19.95" customHeight="1" x14ac:dyDescent="0.3">
      <c r="B170" s="34"/>
      <c r="C170" s="7" t="s">
        <v>360</v>
      </c>
      <c r="D170" s="15" t="s">
        <v>71</v>
      </c>
      <c r="F170"/>
    </row>
    <row r="171" spans="2:6" s="8" customFormat="1" ht="19.95" customHeight="1" x14ac:dyDescent="0.3">
      <c r="B171" s="34"/>
      <c r="C171" s="7" t="s">
        <v>362</v>
      </c>
      <c r="D171" s="15" t="s">
        <v>71</v>
      </c>
      <c r="F171"/>
    </row>
    <row r="172" spans="2:6" s="8" customFormat="1" ht="19.95" customHeight="1" x14ac:dyDescent="0.3">
      <c r="B172" s="34"/>
      <c r="C172" s="7" t="s">
        <v>364</v>
      </c>
      <c r="D172" s="15" t="s">
        <v>71</v>
      </c>
      <c r="F172"/>
    </row>
    <row r="173" spans="2:6" s="8" customFormat="1" ht="19.95" customHeight="1" x14ac:dyDescent="0.3">
      <c r="B173" s="34"/>
      <c r="C173" s="7">
        <v>382</v>
      </c>
      <c r="D173" s="15" t="s">
        <v>71</v>
      </c>
      <c r="F173"/>
    </row>
    <row r="174" spans="2:6" s="8" customFormat="1" ht="19.95" customHeight="1" x14ac:dyDescent="0.3">
      <c r="B174" s="34"/>
      <c r="C174" s="7" t="s">
        <v>366</v>
      </c>
      <c r="D174" s="15" t="s">
        <v>71</v>
      </c>
      <c r="F174"/>
    </row>
    <row r="175" spans="2:6" s="8" customFormat="1" ht="19.95" customHeight="1" x14ac:dyDescent="0.3">
      <c r="B175" s="34"/>
      <c r="C175" s="7">
        <v>383</v>
      </c>
      <c r="D175" s="15" t="s">
        <v>71</v>
      </c>
      <c r="F175"/>
    </row>
    <row r="176" spans="2:6" s="8" customFormat="1" ht="19.95" customHeight="1" x14ac:dyDescent="0.3">
      <c r="B176" s="34"/>
      <c r="C176" s="17" t="s">
        <v>368</v>
      </c>
      <c r="D176" s="15" t="s">
        <v>71</v>
      </c>
      <c r="F176"/>
    </row>
    <row r="177" spans="2:6" s="8" customFormat="1" ht="19.95" customHeight="1" x14ac:dyDescent="0.3">
      <c r="B177" s="34"/>
      <c r="C177" s="17" t="s">
        <v>370</v>
      </c>
      <c r="D177" s="15" t="s">
        <v>71</v>
      </c>
      <c r="F177"/>
    </row>
    <row r="178" spans="2:6" s="8" customFormat="1" ht="19.95" customHeight="1" x14ac:dyDescent="0.3">
      <c r="B178" s="34"/>
      <c r="C178" s="26" t="s">
        <v>372</v>
      </c>
      <c r="D178" s="15" t="s">
        <v>71</v>
      </c>
      <c r="F178"/>
    </row>
    <row r="179" spans="2:6" s="8" customFormat="1" ht="19.95" customHeight="1" x14ac:dyDescent="0.3">
      <c r="B179" s="34"/>
      <c r="C179" s="26" t="s">
        <v>374</v>
      </c>
      <c r="D179" s="15" t="s">
        <v>71</v>
      </c>
      <c r="F179"/>
    </row>
    <row r="180" spans="2:6" s="8" customFormat="1" ht="19.95" customHeight="1" x14ac:dyDescent="0.3">
      <c r="B180" s="34"/>
      <c r="C180" s="26" t="s">
        <v>376</v>
      </c>
      <c r="D180" s="15" t="s">
        <v>71</v>
      </c>
      <c r="F180"/>
    </row>
    <row r="181" spans="2:6" s="8" customFormat="1" ht="19.95" customHeight="1" x14ac:dyDescent="0.3">
      <c r="B181" s="34"/>
      <c r="C181" s="26" t="s">
        <v>379</v>
      </c>
      <c r="D181" s="15" t="s">
        <v>71</v>
      </c>
      <c r="F181"/>
    </row>
    <row r="182" spans="2:6" s="8" customFormat="1" ht="19.95" customHeight="1" x14ac:dyDescent="0.3">
      <c r="B182" s="34"/>
      <c r="C182" s="26" t="s">
        <v>380</v>
      </c>
      <c r="D182" s="15" t="s">
        <v>71</v>
      </c>
      <c r="F182"/>
    </row>
    <row r="183" spans="2:6" s="8" customFormat="1" ht="19.95" customHeight="1" x14ac:dyDescent="0.3">
      <c r="B183" s="34"/>
      <c r="C183" s="26" t="s">
        <v>381</v>
      </c>
      <c r="D183" s="15" t="s">
        <v>71</v>
      </c>
      <c r="F183"/>
    </row>
    <row r="184" spans="2:6" s="8" customFormat="1" ht="19.95" customHeight="1" x14ac:dyDescent="0.3">
      <c r="B184" s="34"/>
      <c r="C184" s="25" t="s">
        <v>382</v>
      </c>
      <c r="D184" s="15" t="s">
        <v>71</v>
      </c>
      <c r="F184"/>
    </row>
    <row r="185" spans="2:6" s="8" customFormat="1" ht="19.95" customHeight="1" x14ac:dyDescent="0.3">
      <c r="B185" s="34"/>
      <c r="C185" s="26" t="s">
        <v>383</v>
      </c>
      <c r="D185" s="15" t="s">
        <v>71</v>
      </c>
      <c r="F185"/>
    </row>
    <row r="186" spans="2:6" s="8" customFormat="1" ht="19.95" customHeight="1" x14ac:dyDescent="0.3">
      <c r="B186" s="34"/>
      <c r="C186" s="26" t="s">
        <v>384</v>
      </c>
      <c r="D186" s="15" t="s">
        <v>71</v>
      </c>
      <c r="F186"/>
    </row>
    <row r="187" spans="2:6" s="8" customFormat="1" ht="19.95" customHeight="1" x14ac:dyDescent="0.3">
      <c r="B187" s="34"/>
      <c r="C187" s="26" t="s">
        <v>385</v>
      </c>
      <c r="D187" s="15" t="s">
        <v>71</v>
      </c>
      <c r="F187"/>
    </row>
    <row r="188" spans="2:6" s="8" customFormat="1" ht="19.95" customHeight="1" x14ac:dyDescent="0.3">
      <c r="B188" s="34"/>
      <c r="C188" s="26" t="s">
        <v>386</v>
      </c>
      <c r="D188" s="15" t="s">
        <v>71</v>
      </c>
      <c r="F188"/>
    </row>
    <row r="189" spans="2:6" s="8" customFormat="1" ht="19.95" customHeight="1" x14ac:dyDescent="0.3">
      <c r="B189" s="34"/>
      <c r="C189" s="26" t="s">
        <v>387</v>
      </c>
      <c r="D189" s="15" t="s">
        <v>71</v>
      </c>
      <c r="F189"/>
    </row>
    <row r="190" spans="2:6" s="8" customFormat="1" ht="19.95" customHeight="1" x14ac:dyDescent="0.3">
      <c r="B190" s="34"/>
      <c r="C190" s="26" t="s">
        <v>388</v>
      </c>
      <c r="D190" s="15" t="s">
        <v>71</v>
      </c>
      <c r="F190"/>
    </row>
    <row r="191" spans="2:6" s="8" customFormat="1" ht="19.95" customHeight="1" x14ac:dyDescent="0.3">
      <c r="B191" s="34"/>
      <c r="C191" s="15" t="s">
        <v>389</v>
      </c>
      <c r="D191" s="15" t="s">
        <v>71</v>
      </c>
      <c r="F191"/>
    </row>
    <row r="192" spans="2:6" s="8" customFormat="1" ht="19.95" customHeight="1" x14ac:dyDescent="0.3">
      <c r="B192" s="34"/>
      <c r="C192" s="15" t="s">
        <v>390</v>
      </c>
      <c r="D192" s="15" t="s">
        <v>71</v>
      </c>
      <c r="F192"/>
    </row>
    <row r="193" spans="2:6" s="8" customFormat="1" ht="19.95" customHeight="1" x14ac:dyDescent="0.3">
      <c r="B193" s="34"/>
      <c r="C193" s="15" t="s">
        <v>391</v>
      </c>
      <c r="D193" s="15" t="s">
        <v>71</v>
      </c>
      <c r="F193"/>
    </row>
    <row r="194" spans="2:6" s="8" customFormat="1" ht="19.95" customHeight="1" x14ac:dyDescent="0.3">
      <c r="B194" s="34"/>
      <c r="C194" s="15" t="s">
        <v>392</v>
      </c>
      <c r="D194" s="15" t="s">
        <v>71</v>
      </c>
      <c r="F194"/>
    </row>
    <row r="195" spans="2:6" s="8" customFormat="1" ht="19.95" customHeight="1" x14ac:dyDescent="0.3">
      <c r="B195" s="34"/>
      <c r="C195" s="15" t="s">
        <v>393</v>
      </c>
      <c r="D195" s="15" t="s">
        <v>71</v>
      </c>
      <c r="F195"/>
    </row>
    <row r="196" spans="2:6" s="8" customFormat="1" ht="19.95" customHeight="1" x14ac:dyDescent="0.3">
      <c r="B196" s="34"/>
      <c r="C196" s="25" t="s">
        <v>394</v>
      </c>
      <c r="D196" s="15" t="s">
        <v>71</v>
      </c>
      <c r="F196"/>
    </row>
    <row r="197" spans="2:6" s="8" customFormat="1" ht="19.95" customHeight="1" x14ac:dyDescent="0.3">
      <c r="B197" s="34"/>
      <c r="C197" s="25" t="s">
        <v>395</v>
      </c>
      <c r="D197" s="15" t="s">
        <v>71</v>
      </c>
      <c r="F197"/>
    </row>
    <row r="198" spans="2:6" s="8" customFormat="1" ht="19.95" customHeight="1" x14ac:dyDescent="0.3">
      <c r="B198" s="34"/>
      <c r="C198" s="17" t="s">
        <v>396</v>
      </c>
      <c r="D198" s="7" t="s">
        <v>97</v>
      </c>
      <c r="F198"/>
    </row>
    <row r="199" spans="2:6" s="8" customFormat="1" ht="19.95" customHeight="1" x14ac:dyDescent="0.3">
      <c r="B199" s="34"/>
      <c r="C199" s="17" t="s">
        <v>397</v>
      </c>
      <c r="D199" s="7" t="s">
        <v>97</v>
      </c>
      <c r="F199"/>
    </row>
    <row r="200" spans="2:6" s="8" customFormat="1" ht="19.95" customHeight="1" x14ac:dyDescent="0.3">
      <c r="B200" s="34"/>
      <c r="C200" s="17" t="s">
        <v>398</v>
      </c>
      <c r="D200" s="7" t="s">
        <v>83</v>
      </c>
      <c r="F200"/>
    </row>
    <row r="201" spans="2:6" s="8" customFormat="1" ht="19.95" customHeight="1" x14ac:dyDescent="0.3">
      <c r="B201" s="34"/>
      <c r="C201" s="17" t="s">
        <v>399</v>
      </c>
      <c r="D201" s="7" t="s">
        <v>101</v>
      </c>
      <c r="F201"/>
    </row>
    <row r="202" spans="2:6" s="8" customFormat="1" ht="19.95" customHeight="1" x14ac:dyDescent="0.3">
      <c r="B202" s="34"/>
      <c r="C202" s="17" t="s">
        <v>400</v>
      </c>
      <c r="D202" s="7" t="s">
        <v>108</v>
      </c>
      <c r="F202"/>
    </row>
    <row r="203" spans="2:6" s="8" customFormat="1" ht="19.95" customHeight="1" x14ac:dyDescent="0.3">
      <c r="B203" s="34"/>
      <c r="C203" s="17" t="s">
        <v>401</v>
      </c>
      <c r="D203" s="7">
        <v>544</v>
      </c>
      <c r="F203"/>
    </row>
    <row r="204" spans="2:6" s="8" customFormat="1" ht="19.95" customHeight="1" x14ac:dyDescent="0.3">
      <c r="B204" s="34"/>
      <c r="C204" s="17" t="s">
        <v>402</v>
      </c>
      <c r="D204" s="7">
        <v>544</v>
      </c>
      <c r="F204"/>
    </row>
    <row r="205" spans="2:6" s="8" customFormat="1" ht="19.95" customHeight="1" x14ac:dyDescent="0.3">
      <c r="B205" s="34"/>
      <c r="C205" s="17" t="s">
        <v>403</v>
      </c>
      <c r="D205" s="7">
        <v>544</v>
      </c>
      <c r="F205"/>
    </row>
    <row r="206" spans="2:6" s="8" customFormat="1" ht="19.95" customHeight="1" x14ac:dyDescent="0.3">
      <c r="B206" s="34"/>
      <c r="C206" s="17" t="s">
        <v>404</v>
      </c>
      <c r="D206" s="7">
        <v>544</v>
      </c>
      <c r="F206"/>
    </row>
    <row r="207" spans="2:6" s="8" customFormat="1" ht="19.95" customHeight="1" x14ac:dyDescent="0.3">
      <c r="B207" s="34"/>
      <c r="C207" s="18" t="s">
        <v>405</v>
      </c>
      <c r="D207" s="7">
        <v>544</v>
      </c>
      <c r="F207"/>
    </row>
    <row r="208" spans="2:6" s="8" customFormat="1" ht="19.95" customHeight="1" x14ac:dyDescent="0.3">
      <c r="B208" s="34"/>
      <c r="C208" s="17" t="s">
        <v>406</v>
      </c>
      <c r="D208" s="7">
        <v>544</v>
      </c>
      <c r="F208"/>
    </row>
    <row r="209" spans="2:6" s="8" customFormat="1" ht="19.95" customHeight="1" x14ac:dyDescent="0.3">
      <c r="B209" s="34"/>
      <c r="C209" s="17" t="s">
        <v>407</v>
      </c>
      <c r="D209" s="7">
        <v>544</v>
      </c>
      <c r="F209"/>
    </row>
    <row r="210" spans="2:6" s="8" customFormat="1" ht="19.95" customHeight="1" x14ac:dyDescent="0.3">
      <c r="B210" s="34"/>
      <c r="C210" s="17" t="s">
        <v>408</v>
      </c>
      <c r="D210" s="7">
        <v>555</v>
      </c>
      <c r="F210"/>
    </row>
    <row r="211" spans="2:6" s="8" customFormat="1" ht="19.95" customHeight="1" x14ac:dyDescent="0.3">
      <c r="B211" s="34"/>
      <c r="C211" s="17" t="s">
        <v>409</v>
      </c>
      <c r="D211" s="7">
        <v>555</v>
      </c>
      <c r="F211"/>
    </row>
    <row r="212" spans="2:6" s="8" customFormat="1" ht="19.95" customHeight="1" x14ac:dyDescent="0.3">
      <c r="B212" s="34"/>
      <c r="C212" s="17" t="s">
        <v>410</v>
      </c>
      <c r="D212" s="7">
        <v>555</v>
      </c>
      <c r="F212"/>
    </row>
    <row r="213" spans="2:6" s="8" customFormat="1" ht="19.95" customHeight="1" x14ac:dyDescent="0.3">
      <c r="B213" s="34"/>
      <c r="C213" s="17" t="s">
        <v>411</v>
      </c>
      <c r="D213" s="7">
        <v>555</v>
      </c>
      <c r="F213"/>
    </row>
    <row r="214" spans="2:6" s="8" customFormat="1" ht="19.95" customHeight="1" x14ac:dyDescent="0.3">
      <c r="B214" s="34"/>
      <c r="C214" s="17" t="s">
        <v>412</v>
      </c>
      <c r="D214" s="7">
        <v>555</v>
      </c>
      <c r="F214"/>
    </row>
    <row r="215" spans="2:6" s="8" customFormat="1" ht="19.95" customHeight="1" x14ac:dyDescent="0.3">
      <c r="B215" s="34"/>
      <c r="C215" s="17">
        <v>455</v>
      </c>
      <c r="D215" s="7">
        <v>555</v>
      </c>
      <c r="F215"/>
    </row>
    <row r="216" spans="2:6" s="8" customFormat="1" ht="19.95" customHeight="1" x14ac:dyDescent="0.3">
      <c r="B216" s="34"/>
      <c r="C216" s="17" t="s">
        <v>413</v>
      </c>
      <c r="D216" s="7">
        <v>555</v>
      </c>
      <c r="F216"/>
    </row>
    <row r="217" spans="2:6" s="8" customFormat="1" ht="19.95" customHeight="1" x14ac:dyDescent="0.3">
      <c r="B217" s="34"/>
      <c r="C217" s="17" t="s">
        <v>414</v>
      </c>
      <c r="D217" s="7">
        <v>555</v>
      </c>
      <c r="F217"/>
    </row>
    <row r="218" spans="2:6" s="8" customFormat="1" ht="19.95" customHeight="1" x14ac:dyDescent="0.3">
      <c r="B218" s="34"/>
      <c r="C218" s="17">
        <v>355</v>
      </c>
      <c r="D218" s="7">
        <v>555</v>
      </c>
      <c r="F218"/>
    </row>
    <row r="219" spans="2:6" s="8" customFormat="1" ht="19.95" customHeight="1" x14ac:dyDescent="0.3">
      <c r="B219" s="34"/>
      <c r="C219" s="7" t="s">
        <v>415</v>
      </c>
      <c r="D219" s="7">
        <v>555</v>
      </c>
      <c r="F219"/>
    </row>
    <row r="220" spans="2:6" s="8" customFormat="1" ht="19.95" customHeight="1" x14ac:dyDescent="0.3">
      <c r="B220" s="34"/>
      <c r="C220" s="7" t="s">
        <v>416</v>
      </c>
      <c r="D220" s="7">
        <v>555</v>
      </c>
      <c r="F220"/>
    </row>
    <row r="221" spans="2:6" s="8" customFormat="1" ht="19.95" customHeight="1" x14ac:dyDescent="0.3">
      <c r="B221" s="34"/>
      <c r="C221" s="17" t="s">
        <v>417</v>
      </c>
      <c r="D221" s="7">
        <v>555</v>
      </c>
      <c r="F221"/>
    </row>
    <row r="222" spans="2:6" s="8" customFormat="1" ht="19.95" customHeight="1" x14ac:dyDescent="0.3">
      <c r="B222" s="34"/>
      <c r="C222" s="17" t="s">
        <v>170</v>
      </c>
      <c r="D222" s="7">
        <v>555</v>
      </c>
      <c r="F222"/>
    </row>
    <row r="223" spans="2:6" s="8" customFormat="1" ht="19.95" customHeight="1" x14ac:dyDescent="0.3">
      <c r="B223" s="34"/>
      <c r="C223" s="17" t="s">
        <v>418</v>
      </c>
      <c r="D223" s="7">
        <v>555</v>
      </c>
      <c r="F223"/>
    </row>
    <row r="224" spans="2:6" s="8" customFormat="1" ht="19.95" customHeight="1" x14ac:dyDescent="0.3">
      <c r="B224" s="34"/>
      <c r="C224" s="17" t="s">
        <v>419</v>
      </c>
      <c r="D224" s="7">
        <v>555</v>
      </c>
      <c r="F224"/>
    </row>
    <row r="225" spans="2:6" s="8" customFormat="1" ht="19.95" customHeight="1" x14ac:dyDescent="0.3">
      <c r="B225" s="34"/>
      <c r="C225" s="17" t="s">
        <v>420</v>
      </c>
      <c r="D225" s="7">
        <v>555</v>
      </c>
      <c r="F225"/>
    </row>
    <row r="226" spans="2:6" s="8" customFormat="1" ht="19.95" customHeight="1" x14ac:dyDescent="0.3">
      <c r="B226" s="34"/>
      <c r="C226" s="17" t="s">
        <v>421</v>
      </c>
      <c r="D226" s="7">
        <v>566</v>
      </c>
      <c r="F226"/>
    </row>
    <row r="227" spans="2:6" s="8" customFormat="1" ht="19.95" customHeight="1" x14ac:dyDescent="0.3">
      <c r="B227" s="34"/>
      <c r="C227" s="17" t="s">
        <v>422</v>
      </c>
      <c r="D227" s="7">
        <v>566</v>
      </c>
      <c r="F227"/>
    </row>
    <row r="228" spans="2:6" s="8" customFormat="1" ht="19.95" customHeight="1" x14ac:dyDescent="0.3">
      <c r="B228" s="34"/>
      <c r="C228" s="17" t="s">
        <v>423</v>
      </c>
      <c r="D228" s="7">
        <v>566</v>
      </c>
      <c r="F228"/>
    </row>
    <row r="229" spans="2:6" s="8" customFormat="1" ht="19.95" customHeight="1" x14ac:dyDescent="0.3">
      <c r="B229" s="34"/>
      <c r="C229" s="17" t="s">
        <v>424</v>
      </c>
      <c r="D229" s="7">
        <v>566</v>
      </c>
      <c r="F229"/>
    </row>
    <row r="230" spans="2:6" s="8" customFormat="1" ht="19.95" customHeight="1" x14ac:dyDescent="0.3">
      <c r="B230" s="34"/>
      <c r="C230" s="17">
        <v>466</v>
      </c>
      <c r="D230" s="7">
        <v>566</v>
      </c>
      <c r="F230"/>
    </row>
    <row r="231" spans="2:6" s="8" customFormat="1" ht="19.95" customHeight="1" x14ac:dyDescent="0.3">
      <c r="B231" s="34"/>
      <c r="C231" s="17" t="s">
        <v>425</v>
      </c>
      <c r="D231" s="7">
        <v>566</v>
      </c>
      <c r="F231"/>
    </row>
    <row r="232" spans="2:6" s="8" customFormat="1" ht="19.95" customHeight="1" x14ac:dyDescent="0.3">
      <c r="B232" s="34"/>
      <c r="C232" s="17">
        <v>366</v>
      </c>
      <c r="D232" s="7">
        <v>566</v>
      </c>
      <c r="F232"/>
    </row>
    <row r="233" spans="2:6" s="8" customFormat="1" ht="19.95" customHeight="1" x14ac:dyDescent="0.3">
      <c r="B233" s="34"/>
      <c r="C233" s="17" t="s">
        <v>426</v>
      </c>
      <c r="D233" s="7">
        <v>566</v>
      </c>
      <c r="F233"/>
    </row>
    <row r="234" spans="2:6" s="8" customFormat="1" ht="19.95" customHeight="1" x14ac:dyDescent="0.3">
      <c r="B234" s="34"/>
      <c r="C234" s="17">
        <v>367</v>
      </c>
      <c r="D234" s="7">
        <v>566</v>
      </c>
      <c r="F234"/>
    </row>
    <row r="235" spans="2:6" s="8" customFormat="1" ht="19.95" customHeight="1" x14ac:dyDescent="0.3">
      <c r="B235" s="34"/>
      <c r="C235" s="17" t="s">
        <v>427</v>
      </c>
      <c r="D235" s="7">
        <v>566</v>
      </c>
      <c r="F235"/>
    </row>
    <row r="236" spans="2:6" s="8" customFormat="1" ht="19.95" customHeight="1" x14ac:dyDescent="0.3">
      <c r="B236" s="34"/>
      <c r="C236" s="17" t="s">
        <v>428</v>
      </c>
      <c r="D236" s="7">
        <v>566</v>
      </c>
      <c r="F236"/>
    </row>
    <row r="237" spans="2:6" s="8" customFormat="1" ht="19.95" customHeight="1" x14ac:dyDescent="0.3">
      <c r="B237" s="34"/>
      <c r="C237" s="17" t="s">
        <v>429</v>
      </c>
      <c r="D237" s="7">
        <v>566</v>
      </c>
      <c r="F237"/>
    </row>
    <row r="238" spans="2:6" s="8" customFormat="1" ht="19.95" customHeight="1" x14ac:dyDescent="0.3">
      <c r="B238" s="34"/>
      <c r="C238" s="17" t="s">
        <v>430</v>
      </c>
      <c r="D238" s="7">
        <v>566</v>
      </c>
      <c r="F238"/>
    </row>
    <row r="239" spans="2:6" s="8" customFormat="1" ht="19.95" customHeight="1" x14ac:dyDescent="0.3">
      <c r="B239" s="34"/>
      <c r="C239" s="17" t="s">
        <v>431</v>
      </c>
      <c r="D239" s="7">
        <v>566</v>
      </c>
      <c r="F239"/>
    </row>
    <row r="240" spans="2:6" s="8" customFormat="1" ht="19.95" customHeight="1" x14ac:dyDescent="0.3">
      <c r="B240" s="34"/>
      <c r="C240" s="17" t="s">
        <v>432</v>
      </c>
      <c r="D240" s="7">
        <v>566</v>
      </c>
      <c r="F240"/>
    </row>
    <row r="241" spans="2:6" s="8" customFormat="1" ht="19.95" customHeight="1" x14ac:dyDescent="0.3">
      <c r="B241" s="34"/>
      <c r="C241" s="17" t="s">
        <v>433</v>
      </c>
      <c r="D241" s="7">
        <v>566</v>
      </c>
      <c r="F241"/>
    </row>
    <row r="242" spans="2:6" s="8" customFormat="1" ht="19.95" customHeight="1" x14ac:dyDescent="0.3">
      <c r="B242" s="34"/>
      <c r="C242" s="17" t="s">
        <v>434</v>
      </c>
      <c r="D242" s="7">
        <v>566</v>
      </c>
      <c r="F242"/>
    </row>
    <row r="243" spans="2:6" s="8" customFormat="1" ht="19.95" customHeight="1" x14ac:dyDescent="0.3">
      <c r="B243" s="34"/>
      <c r="C243" s="18" t="s">
        <v>435</v>
      </c>
      <c r="D243" s="7">
        <v>566</v>
      </c>
      <c r="F243"/>
    </row>
    <row r="244" spans="2:6" s="8" customFormat="1" ht="19.95" customHeight="1" x14ac:dyDescent="0.3">
      <c r="B244" s="34"/>
      <c r="C244" s="17" t="s">
        <v>436</v>
      </c>
      <c r="D244" s="7">
        <v>566</v>
      </c>
      <c r="F244"/>
    </row>
    <row r="245" spans="2:6" s="8" customFormat="1" ht="19.95" customHeight="1" x14ac:dyDescent="0.3">
      <c r="B245" s="34"/>
      <c r="C245" s="17" t="s">
        <v>437</v>
      </c>
      <c r="D245" s="7">
        <v>566</v>
      </c>
      <c r="F245"/>
    </row>
    <row r="246" spans="2:6" s="8" customFormat="1" ht="19.95" customHeight="1" x14ac:dyDescent="0.3">
      <c r="B246" s="34"/>
      <c r="C246" s="17" t="s">
        <v>438</v>
      </c>
      <c r="D246" s="7">
        <v>566</v>
      </c>
      <c r="F246"/>
    </row>
    <row r="247" spans="2:6" s="8" customFormat="1" ht="19.95" customHeight="1" x14ac:dyDescent="0.3">
      <c r="B247" s="34"/>
      <c r="C247" s="17" t="s">
        <v>439</v>
      </c>
      <c r="D247" s="7">
        <v>566</v>
      </c>
      <c r="F247"/>
    </row>
    <row r="248" spans="2:6" s="8" customFormat="1" ht="19.95" customHeight="1" x14ac:dyDescent="0.3">
      <c r="B248" s="34"/>
      <c r="C248" s="17" t="s">
        <v>440</v>
      </c>
      <c r="D248" s="7">
        <v>566</v>
      </c>
      <c r="F248"/>
    </row>
    <row r="249" spans="2:6" s="8" customFormat="1" ht="19.95" customHeight="1" x14ac:dyDescent="0.3">
      <c r="B249" s="34"/>
      <c r="C249" s="17" t="s">
        <v>441</v>
      </c>
      <c r="D249" s="7">
        <v>566</v>
      </c>
      <c r="F249"/>
    </row>
    <row r="250" spans="2:6" s="8" customFormat="1" ht="19.95" customHeight="1" x14ac:dyDescent="0.3">
      <c r="B250" s="34"/>
      <c r="C250" s="17" t="s">
        <v>442</v>
      </c>
      <c r="D250" s="7">
        <v>588</v>
      </c>
      <c r="F250"/>
    </row>
    <row r="251" spans="2:6" s="8" customFormat="1" ht="19.95" customHeight="1" x14ac:dyDescent="0.3">
      <c r="B251" s="34"/>
      <c r="C251" s="17" t="s">
        <v>443</v>
      </c>
      <c r="D251" s="7">
        <v>588</v>
      </c>
      <c r="F251"/>
    </row>
    <row r="252" spans="2:6" s="8" customFormat="1" ht="19.95" customHeight="1" x14ac:dyDescent="0.3">
      <c r="B252" s="34"/>
      <c r="C252" s="17" t="s">
        <v>444</v>
      </c>
      <c r="D252" s="7">
        <v>588</v>
      </c>
      <c r="F252"/>
    </row>
    <row r="253" spans="2:6" s="8" customFormat="1" ht="19.95" customHeight="1" x14ac:dyDescent="0.3">
      <c r="B253" s="34"/>
      <c r="C253" s="17" t="s">
        <v>445</v>
      </c>
      <c r="D253" s="7">
        <v>588</v>
      </c>
      <c r="F253"/>
    </row>
    <row r="254" spans="2:6" s="8" customFormat="1" ht="19.95" customHeight="1" x14ac:dyDescent="0.3">
      <c r="B254" s="34"/>
      <c r="C254" s="17">
        <v>488</v>
      </c>
      <c r="D254" s="7">
        <v>588</v>
      </c>
      <c r="F254"/>
    </row>
    <row r="255" spans="2:6" s="8" customFormat="1" ht="19.95" customHeight="1" x14ac:dyDescent="0.3">
      <c r="B255" s="34"/>
      <c r="C255" s="17" t="s">
        <v>446</v>
      </c>
      <c r="D255" s="7">
        <v>588</v>
      </c>
      <c r="F255"/>
    </row>
    <row r="256" spans="2:6" s="8" customFormat="1" ht="19.95" customHeight="1" x14ac:dyDescent="0.3">
      <c r="B256" s="34"/>
      <c r="C256" s="17" t="s">
        <v>447</v>
      </c>
      <c r="D256" s="7">
        <v>588</v>
      </c>
      <c r="F256"/>
    </row>
    <row r="257" spans="2:6" s="8" customFormat="1" ht="19.95" customHeight="1" x14ac:dyDescent="0.3">
      <c r="B257" s="34"/>
      <c r="C257" s="17" t="s">
        <v>448</v>
      </c>
      <c r="D257" s="7">
        <v>588</v>
      </c>
      <c r="F257"/>
    </row>
    <row r="258" spans="2:6" s="8" customFormat="1" ht="19.95" customHeight="1" x14ac:dyDescent="0.3">
      <c r="B258" s="34"/>
      <c r="C258" s="17">
        <v>388</v>
      </c>
      <c r="D258" s="7">
        <v>588</v>
      </c>
      <c r="F258"/>
    </row>
    <row r="259" spans="2:6" s="8" customFormat="1" ht="19.95" customHeight="1" x14ac:dyDescent="0.3">
      <c r="B259" s="34"/>
      <c r="C259" s="17" t="s">
        <v>150</v>
      </c>
      <c r="D259" s="7" t="s">
        <v>150</v>
      </c>
      <c r="F259"/>
    </row>
    <row r="260" spans="2:6" s="8" customFormat="1" ht="19.95" customHeight="1" x14ac:dyDescent="0.3">
      <c r="B260" s="34"/>
      <c r="C260" s="17" t="s">
        <v>449</v>
      </c>
      <c r="D260" s="7" t="s">
        <v>150</v>
      </c>
      <c r="F260"/>
    </row>
    <row r="261" spans="2:6" s="8" customFormat="1" ht="19.95" customHeight="1" x14ac:dyDescent="0.3">
      <c r="B261" s="34"/>
      <c r="C261" s="17" t="s">
        <v>450</v>
      </c>
      <c r="D261" s="7" t="s">
        <v>150</v>
      </c>
      <c r="F261"/>
    </row>
    <row r="262" spans="2:6" s="8" customFormat="1" ht="19.95" customHeight="1" x14ac:dyDescent="0.3">
      <c r="B262" s="34"/>
      <c r="C262" s="17" t="s">
        <v>451</v>
      </c>
      <c r="D262" s="7" t="s">
        <v>153</v>
      </c>
      <c r="F262"/>
    </row>
    <row r="263" spans="2:6" s="8" customFormat="1" ht="19.95" customHeight="1" x14ac:dyDescent="0.3">
      <c r="B263" s="34"/>
      <c r="C263" s="17" t="s">
        <v>452</v>
      </c>
      <c r="D263" s="7" t="s">
        <v>153</v>
      </c>
      <c r="F263"/>
    </row>
    <row r="264" spans="2:6" s="8" customFormat="1" ht="19.95" customHeight="1" x14ac:dyDescent="0.3">
      <c r="B264" s="34"/>
      <c r="C264" s="17" t="s">
        <v>453</v>
      </c>
      <c r="D264" s="7" t="s">
        <v>156</v>
      </c>
      <c r="F264"/>
    </row>
    <row r="265" spans="2:6" s="8" customFormat="1" ht="19.95" customHeight="1" x14ac:dyDescent="0.3">
      <c r="B265" s="34"/>
      <c r="C265" s="17" t="s">
        <v>454</v>
      </c>
      <c r="D265" s="7" t="s">
        <v>156</v>
      </c>
      <c r="F265"/>
    </row>
    <row r="266" spans="2:6" s="8" customFormat="1" ht="19.95" customHeight="1" x14ac:dyDescent="0.3">
      <c r="B266" s="34"/>
      <c r="C266" s="17" t="s">
        <v>455</v>
      </c>
      <c r="D266" s="7" t="s">
        <v>156</v>
      </c>
      <c r="F266"/>
    </row>
    <row r="267" spans="2:6" s="8" customFormat="1" ht="19.95" customHeight="1" x14ac:dyDescent="0.3">
      <c r="B267" s="34"/>
      <c r="C267" s="17" t="s">
        <v>456</v>
      </c>
      <c r="D267" s="7" t="s">
        <v>156</v>
      </c>
      <c r="F267"/>
    </row>
    <row r="268" spans="2:6" s="8" customFormat="1" ht="19.95" customHeight="1" x14ac:dyDescent="0.3">
      <c r="B268" s="34"/>
      <c r="C268" s="17" t="s">
        <v>457</v>
      </c>
      <c r="D268" s="7" t="s">
        <v>156</v>
      </c>
      <c r="F268"/>
    </row>
    <row r="269" spans="2:6" s="8" customFormat="1" ht="19.95" customHeight="1" x14ac:dyDescent="0.3">
      <c r="B269" s="34"/>
      <c r="C269" s="17" t="s">
        <v>458</v>
      </c>
      <c r="D269" s="7" t="s">
        <v>156</v>
      </c>
      <c r="F269"/>
    </row>
    <row r="270" spans="2:6" s="8" customFormat="1" ht="19.95" customHeight="1" x14ac:dyDescent="0.3">
      <c r="B270" s="34"/>
      <c r="C270" s="17" t="s">
        <v>459</v>
      </c>
      <c r="D270" s="7" t="s">
        <v>156</v>
      </c>
      <c r="F270"/>
    </row>
    <row r="271" spans="2:6" s="8" customFormat="1" ht="19.95" customHeight="1" x14ac:dyDescent="0.3">
      <c r="B271" s="34"/>
      <c r="C271" s="17" t="s">
        <v>460</v>
      </c>
      <c r="D271" s="7" t="s">
        <v>156</v>
      </c>
      <c r="F271"/>
    </row>
    <row r="272" spans="2:6" s="8" customFormat="1" ht="19.95" customHeight="1" x14ac:dyDescent="0.3">
      <c r="B272" s="34"/>
      <c r="C272" s="17" t="s">
        <v>461</v>
      </c>
      <c r="D272" s="7" t="s">
        <v>156</v>
      </c>
      <c r="F272"/>
    </row>
    <row r="273" spans="2:6" s="8" customFormat="1" ht="19.95" customHeight="1" x14ac:dyDescent="0.3">
      <c r="B273" s="34"/>
      <c r="C273" s="17" t="s">
        <v>462</v>
      </c>
      <c r="D273" s="7" t="s">
        <v>378</v>
      </c>
      <c r="F273"/>
    </row>
    <row r="274" spans="2:6" s="8" customFormat="1" ht="19.95" customHeight="1" x14ac:dyDescent="0.3">
      <c r="B274" s="34"/>
      <c r="C274" s="17" t="s">
        <v>463</v>
      </c>
      <c r="D274" s="7" t="s">
        <v>378</v>
      </c>
      <c r="F274"/>
    </row>
    <row r="275" spans="2:6" s="8" customFormat="1" ht="19.95" customHeight="1" x14ac:dyDescent="0.3">
      <c r="B275" s="34"/>
      <c r="C275" s="18" t="s">
        <v>464</v>
      </c>
      <c r="D275" s="17" t="s">
        <v>135</v>
      </c>
      <c r="F275"/>
    </row>
    <row r="276" spans="2:6" s="8" customFormat="1" ht="19.95" customHeight="1" x14ac:dyDescent="0.3">
      <c r="B276" s="34"/>
      <c r="C276" s="17" t="s">
        <v>465</v>
      </c>
      <c r="D276" s="17" t="s">
        <v>135</v>
      </c>
      <c r="F276"/>
    </row>
    <row r="277" spans="2:6" s="8" customFormat="1" ht="19.95" customHeight="1" x14ac:dyDescent="0.3">
      <c r="B277" s="34"/>
      <c r="C277" s="17" t="s">
        <v>466</v>
      </c>
      <c r="D277" s="17" t="s">
        <v>135</v>
      </c>
      <c r="F277"/>
    </row>
    <row r="278" spans="2:6" s="8" customFormat="1" ht="19.95" customHeight="1" x14ac:dyDescent="0.3">
      <c r="B278" s="34"/>
      <c r="C278" s="17" t="s">
        <v>467</v>
      </c>
      <c r="D278" s="17" t="s">
        <v>135</v>
      </c>
      <c r="F278"/>
    </row>
    <row r="279" spans="2:6" s="8" customFormat="1" ht="19.95" customHeight="1" x14ac:dyDescent="0.3">
      <c r="B279" s="34"/>
      <c r="C279" s="17" t="s">
        <v>468</v>
      </c>
      <c r="D279" s="17" t="s">
        <v>135</v>
      </c>
      <c r="F279"/>
    </row>
    <row r="280" spans="2:6" s="8" customFormat="1" ht="19.95" customHeight="1" x14ac:dyDescent="0.3">
      <c r="B280" s="34"/>
      <c r="C280" s="17" t="s">
        <v>469</v>
      </c>
      <c r="D280" s="17" t="s">
        <v>135</v>
      </c>
      <c r="F280"/>
    </row>
    <row r="281" spans="2:6" s="8" customFormat="1" ht="19.95" customHeight="1" x14ac:dyDescent="0.3">
      <c r="B281" s="34"/>
      <c r="C281" s="17" t="s">
        <v>470</v>
      </c>
      <c r="D281" s="17" t="s">
        <v>135</v>
      </c>
      <c r="F281"/>
    </row>
    <row r="282" spans="2:6" s="8" customFormat="1" ht="19.95" customHeight="1" x14ac:dyDescent="0.3">
      <c r="B282" s="34"/>
      <c r="C282" s="17" t="s">
        <v>471</v>
      </c>
      <c r="D282" s="17" t="s">
        <v>135</v>
      </c>
      <c r="F282"/>
    </row>
    <row r="283" spans="2:6" s="8" customFormat="1" ht="19.95" customHeight="1" x14ac:dyDescent="0.3">
      <c r="B283" s="34"/>
      <c r="C283" s="17" t="s">
        <v>472</v>
      </c>
      <c r="D283" s="17" t="s">
        <v>135</v>
      </c>
      <c r="F283"/>
    </row>
    <row r="284" spans="2:6" s="8" customFormat="1" ht="19.95" customHeight="1" x14ac:dyDescent="0.3">
      <c r="B284" s="34"/>
      <c r="C284" s="17" t="s">
        <v>473</v>
      </c>
      <c r="D284" s="17" t="s">
        <v>142</v>
      </c>
      <c r="F284"/>
    </row>
    <row r="285" spans="2:6" s="8" customFormat="1" ht="19.95" customHeight="1" x14ac:dyDescent="0.3">
      <c r="B285" s="34"/>
      <c r="C285" s="17" t="s">
        <v>474</v>
      </c>
      <c r="D285" s="17" t="s">
        <v>142</v>
      </c>
      <c r="F285"/>
    </row>
    <row r="286" spans="2:6" s="8" customFormat="1" ht="19.95" customHeight="1" x14ac:dyDescent="0.3">
      <c r="B286" s="34"/>
      <c r="C286" s="17" t="s">
        <v>475</v>
      </c>
      <c r="D286" s="17" t="s">
        <v>142</v>
      </c>
      <c r="F286"/>
    </row>
    <row r="287" spans="2:6" s="8" customFormat="1" ht="19.95" customHeight="1" x14ac:dyDescent="0.3">
      <c r="B287" s="34"/>
      <c r="C287" s="17" t="s">
        <v>476</v>
      </c>
      <c r="D287" s="17" t="s">
        <v>142</v>
      </c>
      <c r="F287"/>
    </row>
    <row r="288" spans="2:6" s="8" customFormat="1" ht="19.95" customHeight="1" x14ac:dyDescent="0.3">
      <c r="B288" s="34"/>
      <c r="C288" s="17" t="s">
        <v>477</v>
      </c>
      <c r="D288" s="27" t="s">
        <v>144</v>
      </c>
      <c r="F288"/>
    </row>
    <row r="289" spans="2:6" s="8" customFormat="1" ht="19.95" customHeight="1" x14ac:dyDescent="0.3">
      <c r="B289" s="34"/>
      <c r="C289" s="17" t="s">
        <v>478</v>
      </c>
      <c r="D289" s="27" t="s">
        <v>144</v>
      </c>
      <c r="F289"/>
    </row>
    <row r="290" spans="2:6" s="20" customFormat="1" ht="19.95" customHeight="1" x14ac:dyDescent="0.3">
      <c r="B290" s="35" t="s">
        <v>479</v>
      </c>
      <c r="C290" s="23" t="s">
        <v>202</v>
      </c>
      <c r="D290" s="15" t="s">
        <v>71</v>
      </c>
      <c r="F290"/>
    </row>
    <row r="291" spans="2:6" s="20" customFormat="1" ht="19.95" customHeight="1" x14ac:dyDescent="0.3">
      <c r="B291" s="35"/>
      <c r="C291" s="23" t="s">
        <v>201</v>
      </c>
      <c r="D291" s="15" t="s">
        <v>71</v>
      </c>
      <c r="F291"/>
    </row>
    <row r="292" spans="2:6" s="20" customFormat="1" ht="19.95" customHeight="1" x14ac:dyDescent="0.3">
      <c r="B292" s="35"/>
      <c r="C292" s="23" t="s">
        <v>195</v>
      </c>
      <c r="D292" s="15" t="s">
        <v>97</v>
      </c>
      <c r="F292"/>
    </row>
    <row r="293" spans="2:6" s="20" customFormat="1" ht="19.95" customHeight="1" x14ac:dyDescent="0.3">
      <c r="B293" s="35"/>
      <c r="C293" s="23" t="s">
        <v>194</v>
      </c>
      <c r="D293" s="15" t="s">
        <v>97</v>
      </c>
      <c r="F293"/>
    </row>
    <row r="294" spans="2:6" s="20" customFormat="1" ht="19.95" customHeight="1" x14ac:dyDescent="0.3">
      <c r="B294" s="35"/>
      <c r="C294" s="23" t="s">
        <v>197</v>
      </c>
      <c r="D294" s="15" t="s">
        <v>101</v>
      </c>
      <c r="F294"/>
    </row>
    <row r="295" spans="2:6" s="20" customFormat="1" ht="19.95" customHeight="1" x14ac:dyDescent="0.3">
      <c r="B295" s="35"/>
      <c r="C295" s="23" t="s">
        <v>196</v>
      </c>
      <c r="D295" s="15" t="s">
        <v>101</v>
      </c>
      <c r="F295"/>
    </row>
    <row r="296" spans="2:6" s="20" customFormat="1" ht="19.95" customHeight="1" x14ac:dyDescent="0.3">
      <c r="B296" s="35"/>
      <c r="C296" s="23" t="s">
        <v>199</v>
      </c>
      <c r="D296" s="15" t="s">
        <v>108</v>
      </c>
      <c r="F296"/>
    </row>
    <row r="297" spans="2:6" s="20" customFormat="1" ht="19.95" customHeight="1" x14ac:dyDescent="0.3">
      <c r="B297" s="35"/>
      <c r="C297" s="23" t="s">
        <v>198</v>
      </c>
      <c r="D297" s="15" t="s">
        <v>108</v>
      </c>
      <c r="F297"/>
    </row>
    <row r="298" spans="2:6" s="8" customFormat="1" ht="19.95" customHeight="1" x14ac:dyDescent="0.3">
      <c r="B298" s="36" t="s">
        <v>480</v>
      </c>
      <c r="C298" s="17" t="s">
        <v>371</v>
      </c>
      <c r="D298" s="7" t="s">
        <v>87</v>
      </c>
      <c r="F298"/>
    </row>
    <row r="299" spans="2:6" s="8" customFormat="1" ht="19.95" customHeight="1" x14ac:dyDescent="0.3">
      <c r="B299" s="36"/>
      <c r="C299" s="17" t="s">
        <v>373</v>
      </c>
      <c r="D299" s="7" t="s">
        <v>71</v>
      </c>
      <c r="F299"/>
    </row>
    <row r="300" spans="2:6" s="8" customFormat="1" ht="19.95" customHeight="1" x14ac:dyDescent="0.3">
      <c r="B300" s="36" t="s">
        <v>481</v>
      </c>
      <c r="C300" s="17" t="s">
        <v>482</v>
      </c>
      <c r="D300" s="7" t="s">
        <v>212</v>
      </c>
      <c r="F300"/>
    </row>
    <row r="301" spans="2:6" s="8" customFormat="1" ht="19.95" customHeight="1" x14ac:dyDescent="0.3">
      <c r="B301" s="36"/>
      <c r="C301" s="17" t="s">
        <v>483</v>
      </c>
      <c r="D301" s="7" t="s">
        <v>212</v>
      </c>
      <c r="F301"/>
    </row>
    <row r="302" spans="2:6" s="8" customFormat="1" ht="19.95" customHeight="1" x14ac:dyDescent="0.3">
      <c r="B302" s="28"/>
      <c r="C302" s="17" t="s">
        <v>484</v>
      </c>
      <c r="D302" s="7" t="s">
        <v>282</v>
      </c>
      <c r="F302"/>
    </row>
    <row r="303" spans="2:6" s="8" customFormat="1" ht="19.95" customHeight="1" x14ac:dyDescent="0.3">
      <c r="B303" s="31" t="s">
        <v>485</v>
      </c>
      <c r="C303" s="17" t="s">
        <v>486</v>
      </c>
      <c r="D303" s="7" t="s">
        <v>282</v>
      </c>
      <c r="F303"/>
    </row>
    <row r="304" spans="2:6" s="8" customFormat="1" ht="19.95" customHeight="1" x14ac:dyDescent="0.3">
      <c r="B304" s="31"/>
      <c r="C304" s="17" t="s">
        <v>281</v>
      </c>
      <c r="D304" s="7" t="s">
        <v>282</v>
      </c>
      <c r="F304"/>
    </row>
    <row r="305" spans="2:6" s="8" customFormat="1" ht="19.95" customHeight="1" x14ac:dyDescent="0.3">
      <c r="B305" s="31"/>
      <c r="C305" s="17" t="s">
        <v>290</v>
      </c>
      <c r="D305" s="7" t="s">
        <v>282</v>
      </c>
      <c r="F305"/>
    </row>
    <row r="306" spans="2:6" s="8" customFormat="1" ht="19.95" customHeight="1" x14ac:dyDescent="0.3">
      <c r="B306" s="31"/>
      <c r="C306" s="17" t="s">
        <v>286</v>
      </c>
      <c r="D306" s="7" t="s">
        <v>282</v>
      </c>
      <c r="F306"/>
    </row>
    <row r="307" spans="2:6" s="8" customFormat="1" ht="19.95" customHeight="1" x14ac:dyDescent="0.3">
      <c r="B307" s="31"/>
      <c r="C307" s="17" t="s">
        <v>292</v>
      </c>
      <c r="D307" s="7" t="s">
        <v>282</v>
      </c>
      <c r="F307"/>
    </row>
    <row r="308" spans="2:6" s="8" customFormat="1" ht="19.95" customHeight="1" x14ac:dyDescent="0.3">
      <c r="B308" s="31"/>
      <c r="C308" s="17" t="s">
        <v>296</v>
      </c>
      <c r="D308" s="7" t="s">
        <v>162</v>
      </c>
      <c r="F308"/>
    </row>
    <row r="309" spans="2:6" s="8" customFormat="1" ht="19.95" customHeight="1" x14ac:dyDescent="0.3">
      <c r="B309" s="31"/>
      <c r="C309" s="17" t="s">
        <v>294</v>
      </c>
      <c r="D309" s="7" t="s">
        <v>162</v>
      </c>
      <c r="F309"/>
    </row>
    <row r="310" spans="2:6" s="8" customFormat="1" ht="19.95" customHeight="1" x14ac:dyDescent="0.3">
      <c r="B310" s="31"/>
      <c r="C310" s="17" t="s">
        <v>302</v>
      </c>
      <c r="D310" s="7" t="s">
        <v>162</v>
      </c>
      <c r="F310"/>
    </row>
    <row r="311" spans="2:6" s="8" customFormat="1" ht="19.95" customHeight="1" x14ac:dyDescent="0.3">
      <c r="B311" s="31"/>
      <c r="C311" s="17" t="s">
        <v>487</v>
      </c>
      <c r="D311" s="7" t="s">
        <v>162</v>
      </c>
      <c r="F311"/>
    </row>
    <row r="312" spans="2:6" s="8" customFormat="1" ht="19.95" customHeight="1" x14ac:dyDescent="0.3">
      <c r="B312" s="32" t="s">
        <v>488</v>
      </c>
      <c r="C312" s="17" t="s">
        <v>203</v>
      </c>
      <c r="D312" s="7" t="s">
        <v>159</v>
      </c>
      <c r="F312"/>
    </row>
    <row r="313" spans="2:6" s="8" customFormat="1" ht="19.95" customHeight="1" x14ac:dyDescent="0.3">
      <c r="B313" s="32"/>
      <c r="C313" s="17" t="s">
        <v>489</v>
      </c>
      <c r="D313" s="7" t="s">
        <v>159</v>
      </c>
      <c r="F313"/>
    </row>
    <row r="314" spans="2:6" s="8" customFormat="1" ht="19.95" customHeight="1" x14ac:dyDescent="0.3">
      <c r="B314" s="32"/>
      <c r="C314" s="17" t="s">
        <v>204</v>
      </c>
      <c r="D314" s="7" t="s">
        <v>159</v>
      </c>
      <c r="F314"/>
    </row>
    <row r="315" spans="2:6" s="8" customFormat="1" ht="19.95" customHeight="1" x14ac:dyDescent="0.3">
      <c r="B315" s="32"/>
      <c r="C315" s="18" t="s">
        <v>490</v>
      </c>
      <c r="D315" s="7" t="s">
        <v>159</v>
      </c>
      <c r="F315"/>
    </row>
    <row r="316" spans="2:6" s="8" customFormat="1" ht="19.95" customHeight="1" x14ac:dyDescent="0.3">
      <c r="B316" s="32"/>
      <c r="C316" s="18" t="s">
        <v>491</v>
      </c>
      <c r="D316" s="7" t="s">
        <v>159</v>
      </c>
      <c r="F316"/>
    </row>
    <row r="317" spans="2:6" s="8" customFormat="1" ht="19.95" customHeight="1" x14ac:dyDescent="0.3">
      <c r="B317" s="32"/>
      <c r="C317" s="17" t="s">
        <v>208</v>
      </c>
      <c r="D317" s="7" t="s">
        <v>160</v>
      </c>
      <c r="F317"/>
    </row>
    <row r="318" spans="2:6" s="8" customFormat="1" ht="19.95" customHeight="1" x14ac:dyDescent="0.3">
      <c r="B318" s="33" t="s">
        <v>492</v>
      </c>
      <c r="C318" s="17" t="s">
        <v>493</v>
      </c>
      <c r="D318" s="7" t="s">
        <v>164</v>
      </c>
      <c r="F318"/>
    </row>
    <row r="319" spans="2:6" s="8" customFormat="1" ht="19.95" customHeight="1" x14ac:dyDescent="0.3">
      <c r="B319" s="33"/>
      <c r="C319" s="18" t="s">
        <v>277</v>
      </c>
      <c r="D319" s="7" t="s">
        <v>164</v>
      </c>
      <c r="F319"/>
    </row>
    <row r="320" spans="2:6" s="8" customFormat="1" ht="19.95" customHeight="1" x14ac:dyDescent="0.3">
      <c r="B320" s="33"/>
      <c r="C320" s="17" t="s">
        <v>275</v>
      </c>
      <c r="D320" s="7" t="s">
        <v>164</v>
      </c>
      <c r="F320"/>
    </row>
    <row r="321" spans="2:6" s="8" customFormat="1" ht="19.95" customHeight="1" x14ac:dyDescent="0.3">
      <c r="B321" s="33"/>
      <c r="C321" s="23" t="s">
        <v>494</v>
      </c>
      <c r="D321" s="15" t="s">
        <v>169</v>
      </c>
      <c r="F321"/>
    </row>
    <row r="322" spans="2:6" s="8" customFormat="1" ht="19.95" customHeight="1" x14ac:dyDescent="0.3">
      <c r="B322" s="33"/>
      <c r="C322" s="23" t="s">
        <v>279</v>
      </c>
      <c r="D322" s="15" t="s">
        <v>169</v>
      </c>
      <c r="F322"/>
    </row>
  </sheetData>
  <mergeCells count="9">
    <mergeCell ref="B303:B311"/>
    <mergeCell ref="B312:B317"/>
    <mergeCell ref="B318:B322"/>
    <mergeCell ref="B3:B82"/>
    <mergeCell ref="B83:B106"/>
    <mergeCell ref="B107:B289"/>
    <mergeCell ref="B290:B297"/>
    <mergeCell ref="B298:B299"/>
    <mergeCell ref="B300:B3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F168-5374-42B9-AB7A-75F04162F61A}">
  <dimension ref="B2:E322"/>
  <sheetViews>
    <sheetView tabSelected="1" workbookViewId="0">
      <selection activeCell="I16" sqref="I16"/>
    </sheetView>
  </sheetViews>
  <sheetFormatPr defaultRowHeight="14.4" x14ac:dyDescent="0.3"/>
  <cols>
    <col min="2" max="5" width="8.88671875" style="3"/>
  </cols>
  <sheetData>
    <row r="2" spans="2:5" x14ac:dyDescent="0.3">
      <c r="B2" s="5" t="s">
        <v>63</v>
      </c>
      <c r="C2" s="37" t="s">
        <v>1232</v>
      </c>
      <c r="D2" s="37" t="s">
        <v>62</v>
      </c>
    </row>
    <row r="3" spans="2:5" x14ac:dyDescent="0.3">
      <c r="B3" s="11" t="s">
        <v>69</v>
      </c>
      <c r="C3" s="11" t="s">
        <v>70</v>
      </c>
      <c r="D3" s="11" t="s">
        <v>71</v>
      </c>
      <c r="E3" s="8"/>
    </row>
    <row r="4" spans="2:5" x14ac:dyDescent="0.3">
      <c r="B4" s="11" t="s">
        <v>76</v>
      </c>
      <c r="C4" s="11" t="s">
        <v>70</v>
      </c>
      <c r="D4" s="11" t="s">
        <v>71</v>
      </c>
      <c r="E4" s="8"/>
    </row>
    <row r="5" spans="2:5" x14ac:dyDescent="0.3">
      <c r="B5" s="11" t="s">
        <v>81</v>
      </c>
      <c r="C5" s="11" t="s">
        <v>82</v>
      </c>
      <c r="D5" s="11" t="s">
        <v>83</v>
      </c>
      <c r="E5" s="8"/>
    </row>
    <row r="6" spans="2:5" x14ac:dyDescent="0.3">
      <c r="B6" s="11" t="s">
        <v>89</v>
      </c>
      <c r="C6" s="11" t="s">
        <v>82</v>
      </c>
      <c r="D6" s="11" t="s">
        <v>83</v>
      </c>
      <c r="E6" s="8"/>
    </row>
    <row r="7" spans="2:5" x14ac:dyDescent="0.3">
      <c r="B7" s="11" t="s">
        <v>93</v>
      </c>
      <c r="C7" s="11" t="s">
        <v>82</v>
      </c>
      <c r="D7" s="11" t="s">
        <v>83</v>
      </c>
      <c r="E7" s="8"/>
    </row>
    <row r="8" spans="2:5" x14ac:dyDescent="0.3">
      <c r="B8" s="11" t="s">
        <v>99</v>
      </c>
      <c r="C8" s="11" t="s">
        <v>100</v>
      </c>
      <c r="D8" s="11" t="s">
        <v>101</v>
      </c>
      <c r="E8" s="8"/>
    </row>
    <row r="9" spans="2:5" x14ac:dyDescent="0.3">
      <c r="B9" s="11" t="s">
        <v>104</v>
      </c>
      <c r="C9" s="11" t="s">
        <v>100</v>
      </c>
      <c r="D9" s="11" t="s">
        <v>101</v>
      </c>
      <c r="E9" s="8"/>
    </row>
    <row r="10" spans="2:5" x14ac:dyDescent="0.3">
      <c r="B10" s="11" t="s">
        <v>107</v>
      </c>
      <c r="C10" s="11" t="s">
        <v>100</v>
      </c>
      <c r="D10" s="11" t="s">
        <v>101</v>
      </c>
      <c r="E10" s="8"/>
    </row>
    <row r="11" spans="2:5" x14ac:dyDescent="0.3">
      <c r="B11" s="11" t="s">
        <v>109</v>
      </c>
      <c r="C11" s="11" t="s">
        <v>100</v>
      </c>
      <c r="D11" s="11" t="s">
        <v>101</v>
      </c>
      <c r="E11" s="8"/>
    </row>
    <row r="12" spans="2:5" x14ac:dyDescent="0.3">
      <c r="B12" s="11" t="s">
        <v>113</v>
      </c>
      <c r="C12" s="11" t="s">
        <v>100</v>
      </c>
      <c r="D12" s="11" t="s">
        <v>101</v>
      </c>
      <c r="E12" s="8"/>
    </row>
    <row r="13" spans="2:5" x14ac:dyDescent="0.3">
      <c r="B13" s="11" t="s">
        <v>114</v>
      </c>
      <c r="C13" s="11" t="s">
        <v>115</v>
      </c>
      <c r="D13" s="11" t="s">
        <v>108</v>
      </c>
      <c r="E13" s="8"/>
    </row>
    <row r="14" spans="2:5" x14ac:dyDescent="0.3">
      <c r="B14" s="11" t="s">
        <v>117</v>
      </c>
      <c r="C14" s="11" t="s">
        <v>115</v>
      </c>
      <c r="D14" s="11" t="s">
        <v>108</v>
      </c>
      <c r="E14" s="8"/>
    </row>
    <row r="15" spans="2:5" x14ac:dyDescent="0.3">
      <c r="B15" s="11" t="s">
        <v>119</v>
      </c>
      <c r="C15" s="11" t="s">
        <v>77</v>
      </c>
      <c r="D15" s="11" t="s">
        <v>67</v>
      </c>
      <c r="E15" s="8"/>
    </row>
    <row r="16" spans="2:5" x14ac:dyDescent="0.3">
      <c r="B16" s="11" t="s">
        <v>121</v>
      </c>
      <c r="C16" s="11" t="s">
        <v>77</v>
      </c>
      <c r="D16" s="11" t="s">
        <v>67</v>
      </c>
      <c r="E16" s="8"/>
    </row>
    <row r="17" spans="2:5" x14ac:dyDescent="0.3">
      <c r="B17" s="11" t="s">
        <v>123</v>
      </c>
      <c r="C17" s="11" t="s">
        <v>77</v>
      </c>
      <c r="D17" s="11" t="s">
        <v>67</v>
      </c>
      <c r="E17" s="8"/>
    </row>
    <row r="18" spans="2:5" x14ac:dyDescent="0.3">
      <c r="B18" s="11" t="s">
        <v>125</v>
      </c>
      <c r="C18" s="11" t="s">
        <v>77</v>
      </c>
      <c r="D18" s="11" t="s">
        <v>67</v>
      </c>
      <c r="E18" s="8"/>
    </row>
    <row r="19" spans="2:5" x14ac:dyDescent="0.3">
      <c r="B19" s="11" t="s">
        <v>126</v>
      </c>
      <c r="C19" s="11" t="s">
        <v>90</v>
      </c>
      <c r="D19" s="11" t="s">
        <v>75</v>
      </c>
      <c r="E19" s="8"/>
    </row>
    <row r="20" spans="2:5" x14ac:dyDescent="0.3">
      <c r="B20" s="11" t="s">
        <v>128</v>
      </c>
      <c r="C20" s="11" t="s">
        <v>90</v>
      </c>
      <c r="D20" s="11" t="s">
        <v>75</v>
      </c>
      <c r="E20" s="8"/>
    </row>
    <row r="21" spans="2:5" x14ac:dyDescent="0.3">
      <c r="B21" s="16" t="s">
        <v>129</v>
      </c>
      <c r="C21" s="11" t="s">
        <v>77</v>
      </c>
      <c r="D21" s="11" t="s">
        <v>67</v>
      </c>
      <c r="E21" s="8"/>
    </row>
    <row r="22" spans="2:5" x14ac:dyDescent="0.3">
      <c r="B22" s="16" t="s">
        <v>130</v>
      </c>
      <c r="C22" s="11" t="s">
        <v>77</v>
      </c>
      <c r="D22" s="11" t="s">
        <v>67</v>
      </c>
      <c r="E22" s="8"/>
    </row>
    <row r="23" spans="2:5" x14ac:dyDescent="0.3">
      <c r="B23" s="16" t="s">
        <v>132</v>
      </c>
      <c r="C23" s="11" t="s">
        <v>77</v>
      </c>
      <c r="D23" s="11" t="s">
        <v>67</v>
      </c>
      <c r="E23" s="8"/>
    </row>
    <row r="24" spans="2:5" x14ac:dyDescent="0.3">
      <c r="B24" s="16" t="s">
        <v>134</v>
      </c>
      <c r="C24" s="11" t="s">
        <v>77</v>
      </c>
      <c r="D24" s="11" t="s">
        <v>67</v>
      </c>
      <c r="E24" s="8"/>
    </row>
    <row r="25" spans="2:5" x14ac:dyDescent="0.3">
      <c r="B25" s="16" t="s">
        <v>136</v>
      </c>
      <c r="C25" s="11" t="s">
        <v>84</v>
      </c>
      <c r="D25" s="11" t="s">
        <v>75</v>
      </c>
      <c r="E25" s="8"/>
    </row>
    <row r="26" spans="2:5" x14ac:dyDescent="0.3">
      <c r="B26" s="16" t="s">
        <v>138</v>
      </c>
      <c r="C26" s="11" t="s">
        <v>84</v>
      </c>
      <c r="D26" s="11" t="s">
        <v>75</v>
      </c>
      <c r="E26" s="8"/>
    </row>
    <row r="27" spans="2:5" x14ac:dyDescent="0.3">
      <c r="B27" s="16" t="s">
        <v>140</v>
      </c>
      <c r="C27" s="11" t="s">
        <v>84</v>
      </c>
      <c r="D27" s="11" t="s">
        <v>75</v>
      </c>
      <c r="E27" s="8"/>
    </row>
    <row r="28" spans="2:5" x14ac:dyDescent="0.3">
      <c r="B28" s="16" t="s">
        <v>143</v>
      </c>
      <c r="C28" s="11" t="s">
        <v>84</v>
      </c>
      <c r="D28" s="11" t="s">
        <v>75</v>
      </c>
      <c r="E28" s="8"/>
    </row>
    <row r="29" spans="2:5" x14ac:dyDescent="0.3">
      <c r="B29" s="16" t="s">
        <v>145</v>
      </c>
      <c r="C29" s="11" t="s">
        <v>102</v>
      </c>
      <c r="D29" s="11" t="s">
        <v>87</v>
      </c>
      <c r="E29" s="8"/>
    </row>
    <row r="30" spans="2:5" x14ac:dyDescent="0.3">
      <c r="B30" s="16" t="s">
        <v>148</v>
      </c>
      <c r="C30" s="11" t="s">
        <v>102</v>
      </c>
      <c r="D30" s="11" t="s">
        <v>87</v>
      </c>
      <c r="E30" s="8"/>
    </row>
    <row r="31" spans="2:5" x14ac:dyDescent="0.3">
      <c r="B31" s="16" t="s">
        <v>151</v>
      </c>
      <c r="C31" s="11">
        <v>545</v>
      </c>
      <c r="D31" s="11">
        <v>545</v>
      </c>
      <c r="E31" s="8"/>
    </row>
    <row r="32" spans="2:5" x14ac:dyDescent="0.3">
      <c r="B32" s="16" t="s">
        <v>154</v>
      </c>
      <c r="C32" s="11">
        <v>555</v>
      </c>
      <c r="D32" s="11">
        <v>555</v>
      </c>
      <c r="E32" s="8"/>
    </row>
    <row r="33" spans="2:5" x14ac:dyDescent="0.3">
      <c r="B33" s="16" t="s">
        <v>157</v>
      </c>
      <c r="C33" s="11">
        <v>555</v>
      </c>
      <c r="D33" s="11">
        <v>555</v>
      </c>
      <c r="E33" s="8"/>
    </row>
    <row r="34" spans="2:5" x14ac:dyDescent="0.3">
      <c r="B34" s="16" t="s">
        <v>124</v>
      </c>
      <c r="C34" s="11" t="s">
        <v>94</v>
      </c>
      <c r="D34" s="11" t="s">
        <v>94</v>
      </c>
      <c r="E34" s="8"/>
    </row>
    <row r="35" spans="2:5" x14ac:dyDescent="0.3">
      <c r="B35" s="16" t="s">
        <v>161</v>
      </c>
      <c r="C35" s="11" t="s">
        <v>94</v>
      </c>
      <c r="D35" s="11" t="s">
        <v>94</v>
      </c>
      <c r="E35" s="8"/>
    </row>
    <row r="36" spans="2:5" x14ac:dyDescent="0.3">
      <c r="B36" s="16" t="s">
        <v>163</v>
      </c>
      <c r="C36" s="11" t="s">
        <v>102</v>
      </c>
      <c r="D36" s="11" t="s">
        <v>87</v>
      </c>
      <c r="E36" s="8"/>
    </row>
    <row r="37" spans="2:5" x14ac:dyDescent="0.3">
      <c r="B37" s="16" t="s">
        <v>165</v>
      </c>
      <c r="C37" s="11" t="s">
        <v>102</v>
      </c>
      <c r="D37" s="11" t="s">
        <v>87</v>
      </c>
      <c r="E37" s="8"/>
    </row>
    <row r="38" spans="2:5" x14ac:dyDescent="0.3">
      <c r="B38" s="16" t="s">
        <v>168</v>
      </c>
      <c r="C38" s="11">
        <v>560</v>
      </c>
      <c r="D38" s="11">
        <v>560</v>
      </c>
      <c r="E38" s="8"/>
    </row>
    <row r="39" spans="2:5" x14ac:dyDescent="0.3">
      <c r="B39" s="16" t="s">
        <v>170</v>
      </c>
      <c r="C39" s="11">
        <v>562</v>
      </c>
      <c r="D39" s="11">
        <v>562</v>
      </c>
      <c r="E39" s="8"/>
    </row>
    <row r="40" spans="2:5" x14ac:dyDescent="0.3">
      <c r="B40" s="16" t="s">
        <v>173</v>
      </c>
      <c r="C40" s="11">
        <v>566</v>
      </c>
      <c r="D40" s="11">
        <v>566</v>
      </c>
      <c r="E40" s="8"/>
    </row>
    <row r="41" spans="2:5" x14ac:dyDescent="0.3">
      <c r="B41" s="16" t="s">
        <v>174</v>
      </c>
      <c r="C41" s="11">
        <v>574</v>
      </c>
      <c r="D41" s="11">
        <v>574</v>
      </c>
      <c r="E41" s="8"/>
    </row>
    <row r="42" spans="2:5" x14ac:dyDescent="0.3">
      <c r="B42" s="16" t="s">
        <v>176</v>
      </c>
      <c r="C42" s="11">
        <v>580</v>
      </c>
      <c r="D42" s="11">
        <v>580</v>
      </c>
      <c r="E42" s="8"/>
    </row>
    <row r="43" spans="2:5" x14ac:dyDescent="0.3">
      <c r="B43" s="16" t="s">
        <v>177</v>
      </c>
      <c r="C43" s="11">
        <v>588</v>
      </c>
      <c r="D43" s="11">
        <v>588</v>
      </c>
      <c r="E43" s="8"/>
    </row>
    <row r="44" spans="2:5" x14ac:dyDescent="0.3">
      <c r="B44" s="16" t="s">
        <v>178</v>
      </c>
      <c r="C44" s="11">
        <v>650</v>
      </c>
      <c r="D44" s="11">
        <v>650</v>
      </c>
      <c r="E44" s="8"/>
    </row>
    <row r="45" spans="2:5" x14ac:dyDescent="0.3">
      <c r="B45" s="16" t="s">
        <v>179</v>
      </c>
      <c r="C45" s="11" t="s">
        <v>102</v>
      </c>
      <c r="D45" s="11" t="s">
        <v>87</v>
      </c>
      <c r="E45" s="8"/>
    </row>
    <row r="46" spans="2:5" x14ac:dyDescent="0.3">
      <c r="B46" s="16" t="s">
        <v>180</v>
      </c>
      <c r="C46" s="11" t="s">
        <v>102</v>
      </c>
      <c r="D46" s="11" t="s">
        <v>87</v>
      </c>
      <c r="E46" s="8"/>
    </row>
    <row r="47" spans="2:5" x14ac:dyDescent="0.3">
      <c r="B47" s="16" t="s">
        <v>181</v>
      </c>
      <c r="C47" s="11" t="s">
        <v>70</v>
      </c>
      <c r="D47" s="11" t="s">
        <v>71</v>
      </c>
      <c r="E47" s="8"/>
    </row>
    <row r="48" spans="2:5" x14ac:dyDescent="0.3">
      <c r="B48" s="16" t="s">
        <v>182</v>
      </c>
      <c r="C48" s="11" t="s">
        <v>70</v>
      </c>
      <c r="D48" s="11" t="s">
        <v>71</v>
      </c>
      <c r="E48" s="8"/>
    </row>
    <row r="49" spans="2:5" x14ac:dyDescent="0.3">
      <c r="B49" s="16" t="s">
        <v>183</v>
      </c>
      <c r="C49" s="11">
        <v>670</v>
      </c>
      <c r="D49" s="11">
        <v>670</v>
      </c>
      <c r="E49" s="8"/>
    </row>
    <row r="50" spans="2:5" x14ac:dyDescent="0.3">
      <c r="B50" s="16" t="s">
        <v>185</v>
      </c>
      <c r="C50" s="11">
        <v>700</v>
      </c>
      <c r="D50" s="11">
        <v>700</v>
      </c>
      <c r="E50" s="8"/>
    </row>
    <row r="51" spans="2:5" x14ac:dyDescent="0.3">
      <c r="B51" s="16" t="s">
        <v>186</v>
      </c>
      <c r="C51" s="11" t="s">
        <v>70</v>
      </c>
      <c r="D51" s="11" t="s">
        <v>71</v>
      </c>
      <c r="E51" s="8"/>
    </row>
    <row r="52" spans="2:5" x14ac:dyDescent="0.3">
      <c r="B52" s="16" t="s">
        <v>188</v>
      </c>
      <c r="C52" s="11" t="s">
        <v>70</v>
      </c>
      <c r="D52" s="11" t="s">
        <v>71</v>
      </c>
      <c r="E52" s="8"/>
    </row>
    <row r="53" spans="2:5" x14ac:dyDescent="0.3">
      <c r="B53" s="16" t="s">
        <v>141</v>
      </c>
      <c r="C53" s="21" t="s">
        <v>102</v>
      </c>
      <c r="D53" s="21" t="s">
        <v>87</v>
      </c>
      <c r="E53" s="20"/>
    </row>
    <row r="54" spans="2:5" x14ac:dyDescent="0.3">
      <c r="B54" s="16" t="s">
        <v>139</v>
      </c>
      <c r="C54" s="21" t="s">
        <v>102</v>
      </c>
      <c r="D54" s="21" t="s">
        <v>87</v>
      </c>
      <c r="E54" s="20"/>
    </row>
    <row r="55" spans="2:5" x14ac:dyDescent="0.3">
      <c r="B55" s="16" t="s">
        <v>189</v>
      </c>
      <c r="C55" s="21" t="s">
        <v>70</v>
      </c>
      <c r="D55" s="21" t="s">
        <v>71</v>
      </c>
      <c r="E55" s="20"/>
    </row>
    <row r="56" spans="2:5" x14ac:dyDescent="0.3">
      <c r="B56" s="16" t="s">
        <v>190</v>
      </c>
      <c r="C56" s="21" t="s">
        <v>70</v>
      </c>
      <c r="D56" s="21" t="s">
        <v>71</v>
      </c>
      <c r="E56" s="20"/>
    </row>
    <row r="57" spans="2:5" x14ac:dyDescent="0.3">
      <c r="B57" s="16" t="s">
        <v>192</v>
      </c>
      <c r="C57" s="21" t="s">
        <v>110</v>
      </c>
      <c r="D57" s="21" t="s">
        <v>97</v>
      </c>
      <c r="E57" s="20"/>
    </row>
    <row r="58" spans="2:5" x14ac:dyDescent="0.3">
      <c r="B58" s="16" t="s">
        <v>193</v>
      </c>
      <c r="C58" s="21" t="s">
        <v>110</v>
      </c>
      <c r="D58" s="21" t="s">
        <v>97</v>
      </c>
      <c r="E58" s="20"/>
    </row>
    <row r="59" spans="2:5" x14ac:dyDescent="0.3">
      <c r="B59" s="16" t="s">
        <v>172</v>
      </c>
      <c r="C59" s="21" t="s">
        <v>172</v>
      </c>
      <c r="D59" s="21" t="s">
        <v>172</v>
      </c>
      <c r="E59" s="20"/>
    </row>
    <row r="60" spans="2:5" x14ac:dyDescent="0.3">
      <c r="B60" s="16" t="s">
        <v>194</v>
      </c>
      <c r="C60" s="21" t="s">
        <v>97</v>
      </c>
      <c r="D60" s="21" t="s">
        <v>97</v>
      </c>
      <c r="E60" s="20"/>
    </row>
    <row r="61" spans="2:5" x14ac:dyDescent="0.3">
      <c r="B61" s="16" t="s">
        <v>195</v>
      </c>
      <c r="C61" s="11" t="s">
        <v>97</v>
      </c>
      <c r="D61" s="21" t="s">
        <v>97</v>
      </c>
      <c r="E61" s="8"/>
    </row>
    <row r="62" spans="2:5" x14ac:dyDescent="0.3">
      <c r="B62" s="16" t="s">
        <v>167</v>
      </c>
      <c r="C62" s="11" t="s">
        <v>167</v>
      </c>
      <c r="D62" s="11" t="s">
        <v>167</v>
      </c>
      <c r="E62" s="8"/>
    </row>
    <row r="63" spans="2:5" x14ac:dyDescent="0.3">
      <c r="B63" s="16" t="s">
        <v>196</v>
      </c>
      <c r="C63" s="11" t="s">
        <v>101</v>
      </c>
      <c r="D63" s="11" t="s">
        <v>101</v>
      </c>
      <c r="E63" s="8"/>
    </row>
    <row r="64" spans="2:5" x14ac:dyDescent="0.3">
      <c r="B64" s="16" t="s">
        <v>197</v>
      </c>
      <c r="C64" s="11" t="s">
        <v>101</v>
      </c>
      <c r="D64" s="11" t="s">
        <v>101</v>
      </c>
      <c r="E64" s="8"/>
    </row>
    <row r="65" spans="2:5" x14ac:dyDescent="0.3">
      <c r="B65" s="16" t="s">
        <v>198</v>
      </c>
      <c r="C65" s="11" t="s">
        <v>108</v>
      </c>
      <c r="D65" s="11" t="s">
        <v>108</v>
      </c>
      <c r="E65" s="8"/>
    </row>
    <row r="66" spans="2:5" x14ac:dyDescent="0.3">
      <c r="B66" s="16" t="s">
        <v>199</v>
      </c>
      <c r="C66" s="11" t="s">
        <v>108</v>
      </c>
      <c r="D66" s="11" t="s">
        <v>108</v>
      </c>
      <c r="E66" s="8"/>
    </row>
    <row r="67" spans="2:5" x14ac:dyDescent="0.3">
      <c r="B67" s="16" t="s">
        <v>201</v>
      </c>
      <c r="C67" s="11" t="s">
        <v>71</v>
      </c>
      <c r="D67" s="11" t="s">
        <v>71</v>
      </c>
      <c r="E67" s="8"/>
    </row>
    <row r="68" spans="2:5" x14ac:dyDescent="0.3">
      <c r="B68" s="16" t="s">
        <v>202</v>
      </c>
      <c r="C68" s="11" t="s">
        <v>71</v>
      </c>
      <c r="D68" s="11" t="s">
        <v>71</v>
      </c>
      <c r="E68" s="8"/>
    </row>
    <row r="69" spans="2:5" x14ac:dyDescent="0.3">
      <c r="B69" s="16" t="s">
        <v>203</v>
      </c>
      <c r="C69" s="11" t="s">
        <v>159</v>
      </c>
      <c r="D69" s="11" t="s">
        <v>159</v>
      </c>
      <c r="E69" s="8"/>
    </row>
    <row r="70" spans="2:5" x14ac:dyDescent="0.3">
      <c r="B70" s="16" t="s">
        <v>204</v>
      </c>
      <c r="C70" s="11" t="s">
        <v>159</v>
      </c>
      <c r="D70" s="11" t="s">
        <v>159</v>
      </c>
      <c r="E70" s="8"/>
    </row>
    <row r="71" spans="2:5" x14ac:dyDescent="0.3">
      <c r="B71" s="16"/>
      <c r="C71" s="11"/>
      <c r="D71" s="11"/>
      <c r="E71" s="8"/>
    </row>
    <row r="72" spans="2:5" x14ac:dyDescent="0.3">
      <c r="B72" s="16" t="s">
        <v>184</v>
      </c>
      <c r="C72" s="11">
        <v>544</v>
      </c>
      <c r="D72" s="11">
        <v>544</v>
      </c>
      <c r="E72" s="8"/>
    </row>
    <row r="73" spans="2:5" x14ac:dyDescent="0.3">
      <c r="B73" s="16"/>
      <c r="C73" s="11"/>
      <c r="D73" s="11"/>
      <c r="E73" s="8"/>
    </row>
    <row r="74" spans="2:5" x14ac:dyDescent="0.3">
      <c r="B74" s="16" t="s">
        <v>208</v>
      </c>
      <c r="C74" s="11" t="s">
        <v>160</v>
      </c>
      <c r="D74" s="11" t="s">
        <v>160</v>
      </c>
      <c r="E74" s="8"/>
    </row>
    <row r="75" spans="2:5" x14ac:dyDescent="0.3">
      <c r="B75" s="16" t="s">
        <v>209</v>
      </c>
      <c r="C75" s="11" t="s">
        <v>77</v>
      </c>
      <c r="D75" s="11" t="s">
        <v>67</v>
      </c>
      <c r="E75" s="8"/>
    </row>
    <row r="76" spans="2:5" x14ac:dyDescent="0.3">
      <c r="B76" s="16" t="s">
        <v>210</v>
      </c>
      <c r="C76" s="11" t="s">
        <v>77</v>
      </c>
      <c r="D76" s="11" t="s">
        <v>67</v>
      </c>
      <c r="E76" s="8"/>
    </row>
    <row r="77" spans="2:5" x14ac:dyDescent="0.3">
      <c r="B77" s="16" t="s">
        <v>211</v>
      </c>
      <c r="C77" s="11" t="s">
        <v>212</v>
      </c>
      <c r="D77" s="11" t="s">
        <v>212</v>
      </c>
      <c r="E77" s="8"/>
    </row>
    <row r="78" spans="2:5" x14ac:dyDescent="0.3">
      <c r="B78" s="16" t="s">
        <v>213</v>
      </c>
      <c r="C78" s="11" t="s">
        <v>212</v>
      </c>
      <c r="D78" s="11" t="s">
        <v>212</v>
      </c>
      <c r="E78" s="8"/>
    </row>
    <row r="79" spans="2:5" x14ac:dyDescent="0.3">
      <c r="B79" s="16" t="s">
        <v>214</v>
      </c>
      <c r="C79" s="11" t="s">
        <v>70</v>
      </c>
      <c r="D79" s="11" t="s">
        <v>71</v>
      </c>
      <c r="E79" s="8"/>
    </row>
    <row r="80" spans="2:5" x14ac:dyDescent="0.3">
      <c r="B80" s="16" t="s">
        <v>215</v>
      </c>
      <c r="C80" s="11" t="s">
        <v>70</v>
      </c>
      <c r="D80" s="11" t="s">
        <v>71</v>
      </c>
      <c r="E80" s="8"/>
    </row>
    <row r="81" spans="2:5" x14ac:dyDescent="0.3">
      <c r="B81" s="16" t="s">
        <v>216</v>
      </c>
      <c r="C81" s="11" t="s">
        <v>70</v>
      </c>
      <c r="D81" s="11" t="s">
        <v>71</v>
      </c>
      <c r="E81" s="8"/>
    </row>
    <row r="82" spans="2:5" x14ac:dyDescent="0.3">
      <c r="B82" s="16" t="s">
        <v>217</v>
      </c>
      <c r="C82" s="11" t="s">
        <v>70</v>
      </c>
      <c r="D82" s="11" t="s">
        <v>71</v>
      </c>
      <c r="E82" s="8"/>
    </row>
    <row r="83" spans="2:5" x14ac:dyDescent="0.3">
      <c r="B83" s="16" t="s">
        <v>219</v>
      </c>
      <c r="C83" s="11" t="s">
        <v>102</v>
      </c>
      <c r="D83" s="11" t="s">
        <v>87</v>
      </c>
      <c r="E83" s="8"/>
    </row>
    <row r="84" spans="2:5" x14ac:dyDescent="0.3">
      <c r="B84" s="16" t="s">
        <v>220</v>
      </c>
      <c r="C84" s="11" t="s">
        <v>102</v>
      </c>
      <c r="D84" s="11" t="s">
        <v>87</v>
      </c>
      <c r="E84" s="8"/>
    </row>
    <row r="85" spans="2:5" x14ac:dyDescent="0.3">
      <c r="B85" s="16" t="s">
        <v>221</v>
      </c>
      <c r="C85" s="11" t="s">
        <v>70</v>
      </c>
      <c r="D85" s="11" t="s">
        <v>71</v>
      </c>
      <c r="E85" s="8"/>
    </row>
    <row r="86" spans="2:5" x14ac:dyDescent="0.3">
      <c r="B86" s="16" t="s">
        <v>222</v>
      </c>
      <c r="C86" s="11" t="s">
        <v>70</v>
      </c>
      <c r="D86" s="11" t="s">
        <v>71</v>
      </c>
      <c r="E86" s="8"/>
    </row>
    <row r="87" spans="2:5" x14ac:dyDescent="0.3">
      <c r="B87" s="16" t="s">
        <v>223</v>
      </c>
      <c r="C87" s="11" t="s">
        <v>110</v>
      </c>
      <c r="D87" s="11" t="s">
        <v>97</v>
      </c>
      <c r="E87" s="8"/>
    </row>
    <row r="88" spans="2:5" x14ac:dyDescent="0.3">
      <c r="B88" s="16" t="s">
        <v>224</v>
      </c>
      <c r="C88" s="11" t="s">
        <v>70</v>
      </c>
      <c r="D88" s="11" t="s">
        <v>71</v>
      </c>
      <c r="E88" s="8"/>
    </row>
    <row r="89" spans="2:5" x14ac:dyDescent="0.3">
      <c r="B89" s="16" t="s">
        <v>225</v>
      </c>
      <c r="C89" s="11" t="s">
        <v>70</v>
      </c>
      <c r="D89" s="11" t="s">
        <v>71</v>
      </c>
      <c r="E89" s="8"/>
    </row>
    <row r="90" spans="2:5" x14ac:dyDescent="0.3">
      <c r="B90" s="16" t="s">
        <v>226</v>
      </c>
      <c r="C90" s="21" t="s">
        <v>70</v>
      </c>
      <c r="D90" s="11" t="s">
        <v>71</v>
      </c>
      <c r="E90" s="8"/>
    </row>
    <row r="91" spans="2:5" x14ac:dyDescent="0.3">
      <c r="B91" s="16" t="s">
        <v>227</v>
      </c>
      <c r="C91" s="21" t="s">
        <v>70</v>
      </c>
      <c r="D91" s="11" t="s">
        <v>71</v>
      </c>
      <c r="E91" s="20"/>
    </row>
    <row r="92" spans="2:5" x14ac:dyDescent="0.3">
      <c r="B92" s="16" t="s">
        <v>228</v>
      </c>
      <c r="C92" s="11" t="s">
        <v>82</v>
      </c>
      <c r="D92" s="21" t="s">
        <v>83</v>
      </c>
      <c r="E92" s="20"/>
    </row>
    <row r="93" spans="2:5" x14ac:dyDescent="0.3">
      <c r="B93" s="16" t="s">
        <v>229</v>
      </c>
      <c r="C93" s="11" t="s">
        <v>100</v>
      </c>
      <c r="D93" s="11" t="s">
        <v>101</v>
      </c>
      <c r="E93" s="8"/>
    </row>
    <row r="94" spans="2:5" x14ac:dyDescent="0.3">
      <c r="B94" s="16" t="s">
        <v>230</v>
      </c>
      <c r="C94" s="11" t="s">
        <v>73</v>
      </c>
      <c r="D94" s="11" t="s">
        <v>72</v>
      </c>
      <c r="E94" s="8"/>
    </row>
    <row r="95" spans="2:5" x14ac:dyDescent="0.3">
      <c r="B95" s="16" t="s">
        <v>231</v>
      </c>
      <c r="C95" s="11" t="s">
        <v>77</v>
      </c>
      <c r="D95" s="11" t="s">
        <v>67</v>
      </c>
      <c r="E95" s="8"/>
    </row>
    <row r="96" spans="2:5" x14ac:dyDescent="0.3">
      <c r="B96" s="16" t="s">
        <v>232</v>
      </c>
      <c r="C96" s="11" t="s">
        <v>77</v>
      </c>
      <c r="D96" s="11" t="s">
        <v>67</v>
      </c>
      <c r="E96" s="8"/>
    </row>
    <row r="97" spans="2:5" x14ac:dyDescent="0.3">
      <c r="B97" s="16" t="s">
        <v>233</v>
      </c>
      <c r="C97" s="11" t="s">
        <v>77</v>
      </c>
      <c r="D97" s="11" t="s">
        <v>67</v>
      </c>
      <c r="E97" s="8"/>
    </row>
    <row r="98" spans="2:5" x14ac:dyDescent="0.3">
      <c r="B98" s="16" t="s">
        <v>234</v>
      </c>
      <c r="C98" s="11" t="s">
        <v>77</v>
      </c>
      <c r="D98" s="11" t="s">
        <v>67</v>
      </c>
      <c r="E98" s="8"/>
    </row>
    <row r="99" spans="2:5" x14ac:dyDescent="0.3">
      <c r="B99" s="16" t="s">
        <v>235</v>
      </c>
      <c r="C99" s="11" t="s">
        <v>90</v>
      </c>
      <c r="D99" s="11" t="s">
        <v>75</v>
      </c>
      <c r="E99" s="8"/>
    </row>
    <row r="100" spans="2:5" x14ac:dyDescent="0.3">
      <c r="B100" s="16" t="s">
        <v>236</v>
      </c>
      <c r="C100" s="11" t="s">
        <v>90</v>
      </c>
      <c r="D100" s="11" t="s">
        <v>75</v>
      </c>
      <c r="E100" s="8"/>
    </row>
    <row r="101" spans="2:5" x14ac:dyDescent="0.3">
      <c r="B101" s="16" t="s">
        <v>237</v>
      </c>
      <c r="C101" s="11" t="s">
        <v>84</v>
      </c>
      <c r="D101" s="11" t="s">
        <v>75</v>
      </c>
      <c r="E101" s="8"/>
    </row>
    <row r="102" spans="2:5" x14ac:dyDescent="0.3">
      <c r="B102" s="16" t="s">
        <v>238</v>
      </c>
      <c r="C102" s="11" t="s">
        <v>84</v>
      </c>
      <c r="D102" s="11" t="s">
        <v>75</v>
      </c>
      <c r="E102" s="8"/>
    </row>
    <row r="103" spans="2:5" x14ac:dyDescent="0.3">
      <c r="B103" s="16" t="s">
        <v>239</v>
      </c>
      <c r="C103" s="11" t="s">
        <v>84</v>
      </c>
      <c r="D103" s="11" t="s">
        <v>75</v>
      </c>
      <c r="E103" s="8"/>
    </row>
    <row r="104" spans="2:5" x14ac:dyDescent="0.3">
      <c r="B104" s="16" t="s">
        <v>240</v>
      </c>
      <c r="C104" s="11" t="s">
        <v>84</v>
      </c>
      <c r="D104" s="11" t="s">
        <v>75</v>
      </c>
      <c r="E104" s="8"/>
    </row>
    <row r="105" spans="2:5" x14ac:dyDescent="0.3">
      <c r="B105" s="16" t="s">
        <v>241</v>
      </c>
      <c r="C105" s="11">
        <v>566</v>
      </c>
      <c r="D105" s="11">
        <v>566</v>
      </c>
      <c r="E105" s="8"/>
    </row>
    <row r="106" spans="2:5" x14ac:dyDescent="0.3">
      <c r="B106" s="16" t="s">
        <v>242</v>
      </c>
      <c r="C106" s="11">
        <v>566</v>
      </c>
      <c r="D106" s="11">
        <v>566</v>
      </c>
      <c r="E106" s="8"/>
    </row>
    <row r="107" spans="2:5" x14ac:dyDescent="0.3">
      <c r="B107" s="16" t="s">
        <v>245</v>
      </c>
      <c r="C107" s="11" t="s">
        <v>142</v>
      </c>
      <c r="D107" s="11" t="s">
        <v>142</v>
      </c>
      <c r="E107" s="8"/>
    </row>
    <row r="108" spans="2:5" x14ac:dyDescent="0.3">
      <c r="B108" s="16" t="s">
        <v>247</v>
      </c>
      <c r="C108" s="11" t="s">
        <v>144</v>
      </c>
      <c r="D108" s="11" t="s">
        <v>144</v>
      </c>
      <c r="E108" s="8"/>
    </row>
    <row r="109" spans="2:5" x14ac:dyDescent="0.3">
      <c r="B109" s="16" t="s">
        <v>205</v>
      </c>
      <c r="C109" s="11">
        <v>588</v>
      </c>
      <c r="D109" s="11">
        <v>588</v>
      </c>
      <c r="E109" s="8"/>
    </row>
    <row r="110" spans="2:5" x14ac:dyDescent="0.3">
      <c r="B110" s="16" t="s">
        <v>250</v>
      </c>
      <c r="C110" s="11" t="s">
        <v>94</v>
      </c>
      <c r="D110" s="11" t="s">
        <v>94</v>
      </c>
      <c r="E110" s="8"/>
    </row>
    <row r="111" spans="2:5" x14ac:dyDescent="0.3">
      <c r="B111" s="16" t="s">
        <v>252</v>
      </c>
      <c r="C111" s="11" t="s">
        <v>94</v>
      </c>
      <c r="D111" s="11" t="s">
        <v>94</v>
      </c>
      <c r="E111" s="8"/>
    </row>
    <row r="112" spans="2:5" x14ac:dyDescent="0.3">
      <c r="B112" s="16"/>
      <c r="C112" s="11"/>
      <c r="D112" s="11"/>
      <c r="E112" s="8"/>
    </row>
    <row r="113" spans="2:5" x14ac:dyDescent="0.3">
      <c r="B113" s="16" t="s">
        <v>255</v>
      </c>
      <c r="C113" s="11" t="s">
        <v>102</v>
      </c>
      <c r="D113" s="11" t="s">
        <v>87</v>
      </c>
      <c r="E113" s="8"/>
    </row>
    <row r="114" spans="2:5" x14ac:dyDescent="0.3">
      <c r="B114" s="16" t="s">
        <v>257</v>
      </c>
      <c r="C114" s="11" t="s">
        <v>102</v>
      </c>
      <c r="D114" s="11" t="s">
        <v>87</v>
      </c>
      <c r="E114" s="8"/>
    </row>
    <row r="115" spans="2:5" x14ac:dyDescent="0.3">
      <c r="B115" s="16" t="s">
        <v>259</v>
      </c>
      <c r="C115" s="11">
        <v>720</v>
      </c>
      <c r="D115" s="11">
        <v>720</v>
      </c>
      <c r="E115" s="8"/>
    </row>
    <row r="116" spans="2:5" x14ac:dyDescent="0.3">
      <c r="B116" s="16" t="s">
        <v>261</v>
      </c>
      <c r="C116" s="11" t="s">
        <v>102</v>
      </c>
      <c r="D116" s="11" t="s">
        <v>87</v>
      </c>
      <c r="E116" s="8"/>
    </row>
    <row r="117" spans="2:5" x14ac:dyDescent="0.3">
      <c r="B117" s="16" t="s">
        <v>263</v>
      </c>
      <c r="C117" s="11" t="s">
        <v>102</v>
      </c>
      <c r="D117" s="11" t="s">
        <v>87</v>
      </c>
      <c r="E117" s="8"/>
    </row>
    <row r="118" spans="2:5" x14ac:dyDescent="0.3">
      <c r="B118" s="16" t="s">
        <v>265</v>
      </c>
      <c r="C118" s="11" t="s">
        <v>70</v>
      </c>
      <c r="D118" s="11" t="s">
        <v>71</v>
      </c>
      <c r="E118" s="8"/>
    </row>
    <row r="119" spans="2:5" x14ac:dyDescent="0.3">
      <c r="B119" s="16"/>
      <c r="C119" s="11"/>
      <c r="D119" s="11"/>
      <c r="E119" s="8"/>
    </row>
    <row r="120" spans="2:5" x14ac:dyDescent="0.3">
      <c r="B120" s="16"/>
      <c r="C120" s="11"/>
      <c r="D120" s="11"/>
      <c r="E120" s="8"/>
    </row>
    <row r="121" spans="2:5" x14ac:dyDescent="0.3">
      <c r="B121" s="16" t="s">
        <v>268</v>
      </c>
      <c r="C121" s="11" t="s">
        <v>102</v>
      </c>
      <c r="D121" s="11" t="s">
        <v>87</v>
      </c>
      <c r="E121" s="8"/>
    </row>
    <row r="122" spans="2:5" x14ac:dyDescent="0.3">
      <c r="B122" s="16"/>
      <c r="C122" s="11"/>
      <c r="D122" s="11"/>
      <c r="E122" s="8"/>
    </row>
    <row r="123" spans="2:5" x14ac:dyDescent="0.3">
      <c r="B123" s="16"/>
      <c r="C123" s="11"/>
      <c r="D123" s="11"/>
      <c r="E123" s="8"/>
    </row>
    <row r="124" spans="2:5" x14ac:dyDescent="0.3">
      <c r="B124" s="16" t="s">
        <v>271</v>
      </c>
      <c r="C124" s="11" t="s">
        <v>102</v>
      </c>
      <c r="D124" s="11" t="s">
        <v>87</v>
      </c>
      <c r="E124" s="8"/>
    </row>
    <row r="125" spans="2:5" x14ac:dyDescent="0.3">
      <c r="B125" s="16" t="s">
        <v>273</v>
      </c>
      <c r="C125" s="11" t="s">
        <v>102</v>
      </c>
      <c r="D125" s="11" t="s">
        <v>87</v>
      </c>
      <c r="E125" s="8"/>
    </row>
    <row r="126" spans="2:5" x14ac:dyDescent="0.3">
      <c r="B126" s="16" t="s">
        <v>275</v>
      </c>
      <c r="C126" s="21" t="s">
        <v>164</v>
      </c>
      <c r="D126" s="11" t="s">
        <v>164</v>
      </c>
      <c r="E126" s="8"/>
    </row>
    <row r="127" spans="2:5" x14ac:dyDescent="0.3">
      <c r="B127" s="16" t="s">
        <v>277</v>
      </c>
      <c r="C127" s="21" t="s">
        <v>164</v>
      </c>
      <c r="D127" s="11" t="s">
        <v>164</v>
      </c>
      <c r="E127" s="20"/>
    </row>
    <row r="128" spans="2:5" x14ac:dyDescent="0.3">
      <c r="B128" s="16" t="s">
        <v>279</v>
      </c>
      <c r="C128" s="21" t="s">
        <v>169</v>
      </c>
      <c r="D128" s="21" t="s">
        <v>169</v>
      </c>
      <c r="E128" s="20"/>
    </row>
    <row r="129" spans="2:5" x14ac:dyDescent="0.3">
      <c r="B129" s="16" t="s">
        <v>281</v>
      </c>
      <c r="C129" s="21" t="s">
        <v>282</v>
      </c>
      <c r="D129" s="21" t="s">
        <v>282</v>
      </c>
      <c r="E129" s="20"/>
    </row>
    <row r="130" spans="2:5" x14ac:dyDescent="0.3">
      <c r="B130" s="16" t="s">
        <v>284</v>
      </c>
      <c r="C130" s="21" t="s">
        <v>282</v>
      </c>
      <c r="D130" s="21" t="s">
        <v>282</v>
      </c>
      <c r="E130" s="20"/>
    </row>
    <row r="131" spans="2:5" x14ac:dyDescent="0.3">
      <c r="B131" s="16" t="s">
        <v>286</v>
      </c>
      <c r="C131" s="21" t="s">
        <v>282</v>
      </c>
      <c r="D131" s="21" t="s">
        <v>282</v>
      </c>
      <c r="E131" s="20"/>
    </row>
    <row r="132" spans="2:5" x14ac:dyDescent="0.3">
      <c r="B132" s="16" t="s">
        <v>288</v>
      </c>
      <c r="C132" s="21" t="s">
        <v>282</v>
      </c>
      <c r="D132" s="21" t="s">
        <v>282</v>
      </c>
      <c r="E132" s="20"/>
    </row>
    <row r="133" spans="2:5" x14ac:dyDescent="0.3">
      <c r="B133" s="16"/>
      <c r="C133" s="21"/>
      <c r="D133" s="21"/>
      <c r="E133" s="20"/>
    </row>
    <row r="134" spans="2:5" x14ac:dyDescent="0.3">
      <c r="B134" s="16" t="s">
        <v>290</v>
      </c>
      <c r="C134" s="21" t="s">
        <v>282</v>
      </c>
      <c r="D134" s="21" t="s">
        <v>282</v>
      </c>
      <c r="E134" s="20"/>
    </row>
    <row r="135" spans="2:5" x14ac:dyDescent="0.3">
      <c r="B135" s="16" t="s">
        <v>292</v>
      </c>
      <c r="C135" s="21" t="s">
        <v>282</v>
      </c>
      <c r="D135" s="21" t="s">
        <v>282</v>
      </c>
      <c r="E135" s="20"/>
    </row>
    <row r="136" spans="2:5" x14ac:dyDescent="0.3">
      <c r="B136" s="16" t="s">
        <v>294</v>
      </c>
      <c r="C136" s="21" t="s">
        <v>162</v>
      </c>
      <c r="D136" s="21" t="s">
        <v>162</v>
      </c>
      <c r="E136" s="20"/>
    </row>
    <row r="137" spans="2:5" x14ac:dyDescent="0.3">
      <c r="B137" s="16" t="s">
        <v>296</v>
      </c>
      <c r="C137" s="21" t="s">
        <v>162</v>
      </c>
      <c r="D137" s="21" t="s">
        <v>162</v>
      </c>
      <c r="E137" s="20"/>
    </row>
    <row r="138" spans="2:5" x14ac:dyDescent="0.3">
      <c r="B138" s="16" t="s">
        <v>298</v>
      </c>
      <c r="C138" s="21" t="s">
        <v>162</v>
      </c>
      <c r="D138" s="21" t="s">
        <v>162</v>
      </c>
      <c r="E138" s="20"/>
    </row>
    <row r="139" spans="2:5" x14ac:dyDescent="0.3">
      <c r="B139" s="16" t="s">
        <v>300</v>
      </c>
      <c r="C139" s="11" t="s">
        <v>162</v>
      </c>
      <c r="D139" s="21" t="s">
        <v>162</v>
      </c>
      <c r="E139" s="20"/>
    </row>
    <row r="140" spans="2:5" x14ac:dyDescent="0.3">
      <c r="B140" s="16" t="s">
        <v>302</v>
      </c>
      <c r="C140" s="11" t="s">
        <v>162</v>
      </c>
      <c r="D140" s="21" t="s">
        <v>162</v>
      </c>
      <c r="E140" s="8"/>
    </row>
    <row r="141" spans="2:5" x14ac:dyDescent="0.3">
      <c r="B141" s="16" t="s">
        <v>304</v>
      </c>
      <c r="C141" s="11" t="s">
        <v>110</v>
      </c>
      <c r="D141" s="11" t="s">
        <v>97</v>
      </c>
      <c r="E141" s="8"/>
    </row>
    <row r="142" spans="2:5" x14ac:dyDescent="0.3">
      <c r="B142" s="16" t="s">
        <v>306</v>
      </c>
      <c r="C142" s="11" t="s">
        <v>82</v>
      </c>
      <c r="D142" s="11" t="s">
        <v>83</v>
      </c>
      <c r="E142" s="8"/>
    </row>
    <row r="143" spans="2:5" x14ac:dyDescent="0.3">
      <c r="B143" s="16" t="s">
        <v>308</v>
      </c>
      <c r="C143" s="11" t="s">
        <v>100</v>
      </c>
      <c r="D143" s="11" t="s">
        <v>101</v>
      </c>
      <c r="E143" s="8"/>
    </row>
    <row r="144" spans="2:5" x14ac:dyDescent="0.3">
      <c r="B144" s="16" t="s">
        <v>310</v>
      </c>
      <c r="C144" s="11" t="s">
        <v>73</v>
      </c>
      <c r="D144" s="11" t="s">
        <v>72</v>
      </c>
      <c r="E144" s="8"/>
    </row>
    <row r="145" spans="2:5" x14ac:dyDescent="0.3">
      <c r="B145" s="16" t="s">
        <v>312</v>
      </c>
      <c r="C145" s="11" t="s">
        <v>77</v>
      </c>
      <c r="D145" s="11" t="s">
        <v>67</v>
      </c>
      <c r="E145" s="8"/>
    </row>
    <row r="146" spans="2:5" x14ac:dyDescent="0.3">
      <c r="B146" s="16" t="s">
        <v>314</v>
      </c>
      <c r="C146" s="11" t="s">
        <v>77</v>
      </c>
      <c r="D146" s="11" t="s">
        <v>67</v>
      </c>
      <c r="E146" s="8"/>
    </row>
    <row r="147" spans="2:5" x14ac:dyDescent="0.3">
      <c r="B147" s="16" t="s">
        <v>316</v>
      </c>
      <c r="C147" s="11" t="s">
        <v>77</v>
      </c>
      <c r="D147" s="11" t="s">
        <v>67</v>
      </c>
      <c r="E147" s="8"/>
    </row>
    <row r="148" spans="2:5" x14ac:dyDescent="0.3">
      <c r="B148" s="16" t="s">
        <v>318</v>
      </c>
      <c r="C148" s="11" t="s">
        <v>77</v>
      </c>
      <c r="D148" s="11" t="s">
        <v>67</v>
      </c>
      <c r="E148" s="8"/>
    </row>
    <row r="149" spans="2:5" x14ac:dyDescent="0.3">
      <c r="B149" s="16" t="s">
        <v>320</v>
      </c>
      <c r="C149" s="11" t="s">
        <v>156</v>
      </c>
      <c r="D149" s="11" t="s">
        <v>156</v>
      </c>
      <c r="E149" s="8"/>
    </row>
    <row r="150" spans="2:5" x14ac:dyDescent="0.3">
      <c r="B150" s="16" t="s">
        <v>322</v>
      </c>
      <c r="C150" s="11" t="s">
        <v>156</v>
      </c>
      <c r="D150" s="11" t="s">
        <v>156</v>
      </c>
      <c r="E150" s="8"/>
    </row>
    <row r="151" spans="2:5" x14ac:dyDescent="0.3">
      <c r="B151" s="16" t="s">
        <v>324</v>
      </c>
      <c r="C151" s="11" t="s">
        <v>156</v>
      </c>
      <c r="D151" s="11" t="s">
        <v>156</v>
      </c>
      <c r="E151" s="8"/>
    </row>
    <row r="152" spans="2:5" x14ac:dyDescent="0.3">
      <c r="B152" s="16" t="s">
        <v>326</v>
      </c>
      <c r="C152" s="11" t="s">
        <v>156</v>
      </c>
      <c r="D152" s="11" t="s">
        <v>156</v>
      </c>
      <c r="E152" s="8"/>
    </row>
    <row r="153" spans="2:5" x14ac:dyDescent="0.3">
      <c r="B153" s="16" t="s">
        <v>187</v>
      </c>
      <c r="C153" s="11">
        <v>544</v>
      </c>
      <c r="D153" s="11">
        <v>544</v>
      </c>
      <c r="E153" s="8"/>
    </row>
    <row r="154" spans="2:5" x14ac:dyDescent="0.3">
      <c r="B154" s="16" t="s">
        <v>329</v>
      </c>
      <c r="C154" s="11">
        <v>545</v>
      </c>
      <c r="D154" s="11">
        <v>545</v>
      </c>
      <c r="E154" s="8"/>
    </row>
    <row r="155" spans="2:5" x14ac:dyDescent="0.3">
      <c r="B155" s="16" t="s">
        <v>331</v>
      </c>
      <c r="C155" s="11">
        <v>550</v>
      </c>
      <c r="D155" s="11">
        <v>550</v>
      </c>
      <c r="E155" s="8"/>
    </row>
    <row r="156" spans="2:5" x14ac:dyDescent="0.3">
      <c r="B156" s="16" t="s">
        <v>333</v>
      </c>
      <c r="C156" s="11">
        <v>550</v>
      </c>
      <c r="D156" s="11">
        <v>550</v>
      </c>
      <c r="E156" s="8"/>
    </row>
    <row r="157" spans="2:5" x14ac:dyDescent="0.3">
      <c r="B157" s="16" t="s">
        <v>335</v>
      </c>
      <c r="C157" s="11">
        <v>555</v>
      </c>
      <c r="D157" s="11">
        <v>555</v>
      </c>
      <c r="E157" s="8"/>
    </row>
    <row r="158" spans="2:5" x14ac:dyDescent="0.3">
      <c r="B158" s="16" t="s">
        <v>337</v>
      </c>
      <c r="C158" s="11">
        <v>555</v>
      </c>
      <c r="D158" s="11">
        <v>555</v>
      </c>
      <c r="E158" s="8"/>
    </row>
    <row r="159" spans="2:5" x14ac:dyDescent="0.3">
      <c r="B159" s="16" t="s">
        <v>339</v>
      </c>
      <c r="C159" s="11">
        <v>560</v>
      </c>
      <c r="D159" s="11">
        <v>560</v>
      </c>
      <c r="E159" s="8"/>
    </row>
    <row r="160" spans="2:5" x14ac:dyDescent="0.3">
      <c r="B160" s="16" t="s">
        <v>341</v>
      </c>
      <c r="C160" s="11">
        <v>562</v>
      </c>
      <c r="D160" s="11">
        <v>562</v>
      </c>
      <c r="E160" s="8"/>
    </row>
    <row r="161" spans="2:5" x14ac:dyDescent="0.3">
      <c r="B161" s="16" t="s">
        <v>343</v>
      </c>
      <c r="C161" s="11">
        <v>562</v>
      </c>
      <c r="D161" s="11">
        <v>562</v>
      </c>
      <c r="E161" s="8"/>
    </row>
    <row r="162" spans="2:5" x14ac:dyDescent="0.3">
      <c r="B162" s="16" t="s">
        <v>345</v>
      </c>
      <c r="C162" s="11">
        <v>566</v>
      </c>
      <c r="D162" s="11">
        <v>566</v>
      </c>
      <c r="E162" s="8"/>
    </row>
    <row r="163" spans="2:5" x14ac:dyDescent="0.3">
      <c r="B163" s="16" t="s">
        <v>347</v>
      </c>
      <c r="C163" s="11">
        <v>574</v>
      </c>
      <c r="D163" s="11">
        <v>574</v>
      </c>
      <c r="E163" s="8"/>
    </row>
    <row r="164" spans="2:5" x14ac:dyDescent="0.3">
      <c r="B164" s="16" t="s">
        <v>349</v>
      </c>
      <c r="C164" s="11">
        <v>566</v>
      </c>
      <c r="D164" s="11">
        <v>566</v>
      </c>
      <c r="E164" s="8"/>
    </row>
    <row r="165" spans="2:5" x14ac:dyDescent="0.3">
      <c r="B165" s="16" t="s">
        <v>351</v>
      </c>
      <c r="C165" s="11">
        <v>566</v>
      </c>
      <c r="D165" s="11">
        <v>566</v>
      </c>
      <c r="E165" s="8"/>
    </row>
    <row r="166" spans="2:5" x14ac:dyDescent="0.3">
      <c r="B166" s="16" t="s">
        <v>353</v>
      </c>
      <c r="C166" s="11">
        <v>588</v>
      </c>
      <c r="D166" s="11">
        <v>588</v>
      </c>
      <c r="E166" s="8"/>
    </row>
    <row r="167" spans="2:5" x14ac:dyDescent="0.3">
      <c r="B167" s="16" t="s">
        <v>355</v>
      </c>
      <c r="C167" s="11" t="s">
        <v>102</v>
      </c>
      <c r="D167" s="11" t="s">
        <v>87</v>
      </c>
      <c r="E167" s="8"/>
    </row>
    <row r="168" spans="2:5" x14ac:dyDescent="0.3">
      <c r="B168" s="16" t="s">
        <v>357</v>
      </c>
      <c r="C168" s="11" t="s">
        <v>102</v>
      </c>
      <c r="D168" s="11" t="s">
        <v>87</v>
      </c>
      <c r="E168" s="8"/>
    </row>
    <row r="169" spans="2:5" x14ac:dyDescent="0.3">
      <c r="B169" s="16" t="s">
        <v>359</v>
      </c>
      <c r="C169" s="11" t="s">
        <v>94</v>
      </c>
      <c r="D169" s="11" t="s">
        <v>94</v>
      </c>
      <c r="E169" s="8"/>
    </row>
    <row r="170" spans="2:5" x14ac:dyDescent="0.3">
      <c r="B170" s="16" t="s">
        <v>361</v>
      </c>
      <c r="C170" s="11" t="s">
        <v>94</v>
      </c>
      <c r="D170" s="11" t="s">
        <v>94</v>
      </c>
      <c r="E170" s="8"/>
    </row>
    <row r="171" spans="2:5" x14ac:dyDescent="0.3">
      <c r="B171" s="16" t="s">
        <v>363</v>
      </c>
      <c r="C171" s="11" t="s">
        <v>94</v>
      </c>
      <c r="D171" s="11" t="s">
        <v>94</v>
      </c>
      <c r="E171" s="8"/>
    </row>
    <row r="172" spans="2:5" x14ac:dyDescent="0.3">
      <c r="B172" s="16"/>
      <c r="C172" s="11"/>
      <c r="D172" s="11"/>
      <c r="E172" s="8"/>
    </row>
    <row r="173" spans="2:5" x14ac:dyDescent="0.3">
      <c r="B173" s="16" t="s">
        <v>365</v>
      </c>
      <c r="C173" s="11" t="s">
        <v>94</v>
      </c>
      <c r="D173" s="11" t="s">
        <v>94</v>
      </c>
      <c r="E173" s="8"/>
    </row>
    <row r="174" spans="2:5" x14ac:dyDescent="0.3">
      <c r="B174" s="16"/>
      <c r="C174" s="11"/>
      <c r="D174" s="11"/>
      <c r="E174" s="8"/>
    </row>
    <row r="175" spans="2:5" x14ac:dyDescent="0.3">
      <c r="B175" s="16" t="s">
        <v>367</v>
      </c>
      <c r="C175" s="11" t="s">
        <v>70</v>
      </c>
      <c r="D175" s="11" t="s">
        <v>71</v>
      </c>
      <c r="E175" s="8"/>
    </row>
    <row r="176" spans="2:5" x14ac:dyDescent="0.3">
      <c r="B176" s="16" t="s">
        <v>369</v>
      </c>
      <c r="C176" s="11" t="s">
        <v>102</v>
      </c>
      <c r="D176" s="11" t="s">
        <v>87</v>
      </c>
      <c r="E176" s="8"/>
    </row>
    <row r="177" spans="2:5" x14ac:dyDescent="0.3">
      <c r="B177" s="16" t="s">
        <v>371</v>
      </c>
      <c r="C177" s="11" t="s">
        <v>87</v>
      </c>
      <c r="D177" s="11" t="s">
        <v>87</v>
      </c>
      <c r="E177" s="8"/>
    </row>
    <row r="178" spans="2:5" x14ac:dyDescent="0.3">
      <c r="B178" s="16" t="s">
        <v>373</v>
      </c>
      <c r="C178" s="11" t="s">
        <v>71</v>
      </c>
      <c r="D178" s="11" t="s">
        <v>71</v>
      </c>
      <c r="E178" s="8"/>
    </row>
    <row r="179" spans="2:5" x14ac:dyDescent="0.3">
      <c r="B179" s="16" t="s">
        <v>375</v>
      </c>
      <c r="C179" s="11" t="s">
        <v>71</v>
      </c>
      <c r="D179" s="11" t="s">
        <v>71</v>
      </c>
      <c r="E179" s="8"/>
    </row>
    <row r="180" spans="2:5" x14ac:dyDescent="0.3">
      <c r="B180" s="16" t="s">
        <v>377</v>
      </c>
      <c r="C180" s="11" t="s">
        <v>378</v>
      </c>
      <c r="D180" s="11" t="s">
        <v>378</v>
      </c>
      <c r="E180" s="8"/>
    </row>
    <row r="181" spans="2:5" ht="15.6" x14ac:dyDescent="0.3">
      <c r="B181" s="14"/>
      <c r="C181" s="8"/>
      <c r="D181" s="8"/>
      <c r="E181" s="8"/>
    </row>
    <row r="182" spans="2:5" ht="15.6" x14ac:dyDescent="0.3">
      <c r="B182" s="14"/>
      <c r="C182" s="8"/>
      <c r="D182" s="8"/>
      <c r="E182" s="8"/>
    </row>
    <row r="183" spans="2:5" ht="15.6" x14ac:dyDescent="0.3">
      <c r="B183" s="14"/>
      <c r="C183" s="8"/>
      <c r="D183" s="8"/>
      <c r="E183" s="8"/>
    </row>
    <row r="184" spans="2:5" ht="15.6" x14ac:dyDescent="0.3">
      <c r="B184" s="14"/>
      <c r="C184" s="8"/>
      <c r="D184" s="8"/>
      <c r="E184" s="8"/>
    </row>
    <row r="185" spans="2:5" ht="15.6" x14ac:dyDescent="0.3">
      <c r="B185" s="14"/>
      <c r="C185" s="8"/>
      <c r="D185" s="8"/>
      <c r="E185" s="8"/>
    </row>
    <row r="186" spans="2:5" ht="15.6" x14ac:dyDescent="0.3">
      <c r="B186" s="14"/>
      <c r="C186" s="8"/>
      <c r="D186" s="8"/>
      <c r="E186" s="8"/>
    </row>
    <row r="187" spans="2:5" ht="15.6" x14ac:dyDescent="0.3">
      <c r="B187" s="14"/>
      <c r="C187" s="8"/>
      <c r="D187" s="8"/>
      <c r="E187" s="8"/>
    </row>
    <row r="188" spans="2:5" ht="15.6" x14ac:dyDescent="0.3">
      <c r="B188" s="14"/>
      <c r="C188" s="8"/>
      <c r="D188" s="8"/>
      <c r="E188" s="8"/>
    </row>
    <row r="189" spans="2:5" ht="15.6" x14ac:dyDescent="0.3">
      <c r="B189" s="14"/>
      <c r="C189" s="8"/>
      <c r="D189" s="8"/>
      <c r="E189" s="8"/>
    </row>
    <row r="190" spans="2:5" ht="15.6" x14ac:dyDescent="0.3">
      <c r="B190" s="14"/>
      <c r="C190" s="8"/>
      <c r="D190" s="8"/>
      <c r="E190" s="8"/>
    </row>
    <row r="191" spans="2:5" ht="15.6" x14ac:dyDescent="0.3">
      <c r="B191" s="14"/>
      <c r="C191" s="8"/>
      <c r="D191" s="8"/>
      <c r="E191" s="8"/>
    </row>
    <row r="192" spans="2:5" ht="15.6" x14ac:dyDescent="0.3">
      <c r="B192" s="14"/>
      <c r="C192" s="8"/>
      <c r="D192" s="8"/>
      <c r="E192" s="8"/>
    </row>
    <row r="193" spans="2:5" ht="15.6" x14ac:dyDescent="0.3">
      <c r="B193" s="14"/>
      <c r="C193" s="8"/>
      <c r="D193" s="8"/>
      <c r="E193" s="8"/>
    </row>
    <row r="194" spans="2:5" ht="15.6" x14ac:dyDescent="0.3">
      <c r="B194" s="14"/>
      <c r="C194" s="8"/>
      <c r="D194" s="8"/>
      <c r="E194" s="8"/>
    </row>
    <row r="195" spans="2:5" ht="15.6" x14ac:dyDescent="0.3">
      <c r="B195" s="14"/>
      <c r="C195" s="8"/>
      <c r="D195" s="8"/>
      <c r="E195" s="8"/>
    </row>
    <row r="196" spans="2:5" ht="15.6" x14ac:dyDescent="0.3">
      <c r="B196" s="14"/>
      <c r="C196" s="8"/>
      <c r="D196" s="8"/>
      <c r="E196" s="8"/>
    </row>
    <row r="197" spans="2:5" ht="15.6" x14ac:dyDescent="0.3">
      <c r="B197" s="14"/>
      <c r="C197" s="8"/>
      <c r="D197" s="8"/>
      <c r="E197" s="8"/>
    </row>
    <row r="198" spans="2:5" ht="15.6" x14ac:dyDescent="0.3">
      <c r="B198" s="14"/>
      <c r="C198" s="8"/>
      <c r="D198" s="8"/>
      <c r="E198" s="8"/>
    </row>
    <row r="199" spans="2:5" ht="15.6" x14ac:dyDescent="0.3">
      <c r="B199" s="14"/>
      <c r="C199" s="8"/>
      <c r="D199" s="8"/>
      <c r="E199" s="8"/>
    </row>
    <row r="200" spans="2:5" ht="15.6" x14ac:dyDescent="0.3">
      <c r="B200" s="14"/>
      <c r="C200" s="8"/>
      <c r="D200" s="8"/>
      <c r="E200" s="8"/>
    </row>
    <row r="201" spans="2:5" ht="15.6" x14ac:dyDescent="0.3">
      <c r="B201" s="14"/>
      <c r="C201" s="8"/>
      <c r="D201" s="8"/>
      <c r="E201" s="8"/>
    </row>
    <row r="202" spans="2:5" ht="15.6" x14ac:dyDescent="0.3">
      <c r="B202" s="14"/>
      <c r="C202" s="8"/>
      <c r="D202" s="8"/>
      <c r="E202" s="8"/>
    </row>
    <row r="203" spans="2:5" ht="15.6" x14ac:dyDescent="0.3">
      <c r="B203" s="14"/>
      <c r="C203" s="8"/>
      <c r="D203" s="8"/>
      <c r="E203" s="8"/>
    </row>
    <row r="204" spans="2:5" ht="15.6" x14ac:dyDescent="0.3">
      <c r="B204" s="14"/>
      <c r="C204" s="8"/>
      <c r="D204" s="8"/>
      <c r="E204" s="8"/>
    </row>
    <row r="205" spans="2:5" ht="15.6" x14ac:dyDescent="0.3">
      <c r="B205" s="14"/>
      <c r="C205" s="8"/>
      <c r="D205" s="8"/>
      <c r="E205" s="8"/>
    </row>
    <row r="206" spans="2:5" ht="15.6" x14ac:dyDescent="0.3">
      <c r="B206" s="14"/>
      <c r="C206" s="8"/>
      <c r="D206" s="8"/>
      <c r="E206" s="8"/>
    </row>
    <row r="207" spans="2:5" ht="15.6" x14ac:dyDescent="0.3">
      <c r="B207" s="14"/>
      <c r="C207" s="8"/>
      <c r="D207" s="8"/>
      <c r="E207" s="8"/>
    </row>
    <row r="208" spans="2:5" ht="15.6" x14ac:dyDescent="0.3">
      <c r="B208" s="14"/>
      <c r="C208" s="8"/>
      <c r="D208" s="8"/>
      <c r="E208" s="8"/>
    </row>
    <row r="209" spans="2:5" ht="15.6" x14ac:dyDescent="0.3">
      <c r="B209" s="14"/>
      <c r="C209" s="8"/>
      <c r="D209" s="8"/>
      <c r="E209" s="8"/>
    </row>
    <row r="210" spans="2:5" ht="15.6" x14ac:dyDescent="0.3">
      <c r="B210" s="14"/>
      <c r="C210" s="8"/>
      <c r="D210" s="8"/>
      <c r="E210" s="8"/>
    </row>
    <row r="211" spans="2:5" ht="15.6" x14ac:dyDescent="0.3">
      <c r="B211" s="14"/>
      <c r="C211" s="8"/>
      <c r="D211" s="8"/>
      <c r="E211" s="8"/>
    </row>
    <row r="212" spans="2:5" ht="15.6" x14ac:dyDescent="0.3">
      <c r="B212" s="14"/>
      <c r="C212" s="8"/>
      <c r="D212" s="8"/>
      <c r="E212" s="8"/>
    </row>
    <row r="213" spans="2:5" ht="15.6" x14ac:dyDescent="0.3">
      <c r="B213" s="14"/>
      <c r="C213" s="8"/>
      <c r="D213" s="8"/>
      <c r="E213" s="8"/>
    </row>
    <row r="214" spans="2:5" ht="15.6" x14ac:dyDescent="0.3">
      <c r="B214" s="14"/>
      <c r="C214" s="8"/>
      <c r="D214" s="8"/>
      <c r="E214" s="8"/>
    </row>
    <row r="215" spans="2:5" ht="15.6" x14ac:dyDescent="0.3">
      <c r="B215" s="14"/>
      <c r="C215" s="8"/>
      <c r="D215" s="8"/>
      <c r="E215" s="8"/>
    </row>
    <row r="216" spans="2:5" ht="15.6" x14ac:dyDescent="0.3">
      <c r="B216" s="14"/>
      <c r="C216" s="8"/>
      <c r="D216" s="8"/>
      <c r="E216" s="8"/>
    </row>
    <row r="217" spans="2:5" ht="15.6" x14ac:dyDescent="0.3">
      <c r="B217" s="14"/>
      <c r="C217" s="8"/>
      <c r="D217" s="8"/>
      <c r="E217" s="8"/>
    </row>
    <row r="218" spans="2:5" ht="15.6" x14ac:dyDescent="0.3">
      <c r="B218" s="14"/>
      <c r="C218" s="8"/>
      <c r="D218" s="8"/>
      <c r="E218" s="8"/>
    </row>
    <row r="219" spans="2:5" ht="15.6" x14ac:dyDescent="0.3">
      <c r="B219" s="14"/>
      <c r="C219" s="8"/>
      <c r="D219" s="8"/>
      <c r="E219" s="8"/>
    </row>
    <row r="220" spans="2:5" ht="15.6" x14ac:dyDescent="0.3">
      <c r="B220" s="14"/>
      <c r="C220" s="8"/>
      <c r="D220" s="8"/>
      <c r="E220" s="8"/>
    </row>
    <row r="221" spans="2:5" ht="15.6" x14ac:dyDescent="0.3">
      <c r="B221" s="14"/>
      <c r="C221" s="8"/>
      <c r="D221" s="8"/>
      <c r="E221" s="8"/>
    </row>
    <row r="222" spans="2:5" ht="15.6" x14ac:dyDescent="0.3">
      <c r="B222" s="14"/>
      <c r="C222" s="8"/>
      <c r="D222" s="8"/>
      <c r="E222" s="8"/>
    </row>
    <row r="223" spans="2:5" ht="15.6" x14ac:dyDescent="0.3">
      <c r="B223" s="14"/>
      <c r="C223" s="8"/>
      <c r="D223" s="8"/>
      <c r="E223" s="8"/>
    </row>
    <row r="224" spans="2:5" ht="15.6" x14ac:dyDescent="0.3">
      <c r="B224" s="14"/>
      <c r="C224" s="8"/>
      <c r="D224" s="8"/>
      <c r="E224" s="8"/>
    </row>
    <row r="225" spans="2:5" ht="15.6" x14ac:dyDescent="0.3">
      <c r="B225" s="14"/>
      <c r="C225" s="8"/>
      <c r="D225" s="8"/>
      <c r="E225" s="8"/>
    </row>
    <row r="226" spans="2:5" ht="15.6" x14ac:dyDescent="0.3">
      <c r="B226" s="14"/>
      <c r="C226" s="8"/>
      <c r="D226" s="8"/>
      <c r="E226" s="8"/>
    </row>
    <row r="227" spans="2:5" ht="15.6" x14ac:dyDescent="0.3">
      <c r="B227" s="14"/>
      <c r="C227" s="8"/>
      <c r="D227" s="8"/>
      <c r="E227" s="8"/>
    </row>
    <row r="228" spans="2:5" ht="15.6" x14ac:dyDescent="0.3">
      <c r="B228" s="14"/>
      <c r="C228" s="8"/>
      <c r="D228" s="8"/>
      <c r="E228" s="8"/>
    </row>
    <row r="229" spans="2:5" ht="15.6" x14ac:dyDescent="0.3">
      <c r="B229" s="14"/>
      <c r="C229" s="8"/>
      <c r="D229" s="8"/>
      <c r="E229" s="8"/>
    </row>
    <row r="230" spans="2:5" ht="15.6" x14ac:dyDescent="0.3">
      <c r="B230" s="14"/>
      <c r="C230" s="8"/>
      <c r="D230" s="8"/>
      <c r="E230" s="8"/>
    </row>
    <row r="231" spans="2:5" ht="15.6" x14ac:dyDescent="0.3">
      <c r="B231" s="14"/>
      <c r="C231" s="8"/>
      <c r="D231" s="8"/>
      <c r="E231" s="8"/>
    </row>
    <row r="232" spans="2:5" ht="15.6" x14ac:dyDescent="0.3">
      <c r="B232" s="14"/>
      <c r="C232" s="8"/>
      <c r="D232" s="8"/>
      <c r="E232" s="8"/>
    </row>
    <row r="233" spans="2:5" ht="15.6" x14ac:dyDescent="0.3">
      <c r="B233" s="14"/>
      <c r="C233" s="8"/>
      <c r="D233" s="8"/>
      <c r="E233" s="8"/>
    </row>
    <row r="234" spans="2:5" ht="15.6" x14ac:dyDescent="0.3">
      <c r="B234" s="14"/>
      <c r="C234" s="8"/>
      <c r="D234" s="8"/>
      <c r="E234" s="8"/>
    </row>
    <row r="235" spans="2:5" ht="15.6" x14ac:dyDescent="0.3">
      <c r="B235" s="14"/>
      <c r="C235" s="8"/>
      <c r="D235" s="8"/>
      <c r="E235" s="8"/>
    </row>
    <row r="236" spans="2:5" ht="15.6" x14ac:dyDescent="0.3">
      <c r="B236" s="14"/>
      <c r="C236" s="8"/>
      <c r="D236" s="8"/>
      <c r="E236" s="8"/>
    </row>
    <row r="237" spans="2:5" ht="15.6" x14ac:dyDescent="0.3">
      <c r="B237" s="14"/>
      <c r="C237" s="8"/>
      <c r="D237" s="8"/>
      <c r="E237" s="8"/>
    </row>
    <row r="238" spans="2:5" ht="15.6" x14ac:dyDescent="0.3">
      <c r="B238" s="14"/>
      <c r="C238" s="8"/>
      <c r="D238" s="8"/>
      <c r="E238" s="8"/>
    </row>
    <row r="239" spans="2:5" ht="15.6" x14ac:dyDescent="0.3">
      <c r="B239" s="14"/>
      <c r="C239" s="8"/>
      <c r="D239" s="8"/>
      <c r="E239" s="8"/>
    </row>
    <row r="240" spans="2:5" ht="15.6" x14ac:dyDescent="0.3">
      <c r="B240" s="14"/>
      <c r="C240" s="8"/>
      <c r="D240" s="8"/>
      <c r="E240" s="8"/>
    </row>
    <row r="241" spans="2:5" ht="15.6" x14ac:dyDescent="0.3">
      <c r="B241" s="14"/>
      <c r="C241" s="8"/>
      <c r="D241" s="8"/>
      <c r="E241" s="8"/>
    </row>
    <row r="242" spans="2:5" ht="15.6" x14ac:dyDescent="0.3">
      <c r="B242" s="14"/>
      <c r="C242" s="8"/>
      <c r="D242" s="8"/>
      <c r="E242" s="8"/>
    </row>
    <row r="243" spans="2:5" ht="15.6" x14ac:dyDescent="0.3">
      <c r="B243" s="14"/>
      <c r="C243" s="8"/>
      <c r="D243" s="8"/>
      <c r="E243" s="8"/>
    </row>
    <row r="244" spans="2:5" ht="15.6" x14ac:dyDescent="0.3">
      <c r="B244" s="14"/>
      <c r="C244" s="8"/>
      <c r="D244" s="8"/>
      <c r="E244" s="8"/>
    </row>
    <row r="245" spans="2:5" ht="15.6" x14ac:dyDescent="0.3">
      <c r="B245" s="14"/>
      <c r="C245" s="8"/>
      <c r="D245" s="8"/>
      <c r="E245" s="8"/>
    </row>
    <row r="246" spans="2:5" ht="15.6" x14ac:dyDescent="0.3">
      <c r="B246" s="14"/>
      <c r="C246" s="8"/>
      <c r="D246" s="8"/>
      <c r="E246" s="8"/>
    </row>
    <row r="247" spans="2:5" ht="15.6" x14ac:dyDescent="0.3">
      <c r="B247" s="14"/>
      <c r="C247" s="8"/>
      <c r="D247" s="8"/>
      <c r="E247" s="8"/>
    </row>
    <row r="248" spans="2:5" ht="15.6" x14ac:dyDescent="0.3">
      <c r="B248" s="14"/>
      <c r="C248" s="8"/>
      <c r="D248" s="8"/>
      <c r="E248" s="8"/>
    </row>
    <row r="249" spans="2:5" ht="15.6" x14ac:dyDescent="0.3">
      <c r="B249" s="14"/>
      <c r="C249" s="8"/>
      <c r="D249" s="8"/>
      <c r="E249" s="8"/>
    </row>
    <row r="250" spans="2:5" ht="15.6" x14ac:dyDescent="0.3">
      <c r="B250" s="14"/>
      <c r="C250" s="8"/>
      <c r="D250" s="8"/>
      <c r="E250" s="8"/>
    </row>
    <row r="251" spans="2:5" ht="15.6" x14ac:dyDescent="0.3">
      <c r="B251" s="14"/>
      <c r="C251" s="8"/>
      <c r="D251" s="8"/>
      <c r="E251" s="8"/>
    </row>
    <row r="252" spans="2:5" ht="15.6" x14ac:dyDescent="0.3">
      <c r="B252" s="14"/>
      <c r="C252" s="8"/>
      <c r="D252" s="8"/>
      <c r="E252" s="8"/>
    </row>
    <row r="253" spans="2:5" ht="15.6" x14ac:dyDescent="0.3">
      <c r="B253" s="14"/>
      <c r="C253" s="8"/>
      <c r="D253" s="8"/>
      <c r="E253" s="8"/>
    </row>
    <row r="254" spans="2:5" ht="15.6" x14ac:dyDescent="0.3">
      <c r="B254" s="14"/>
      <c r="C254" s="8"/>
      <c r="D254" s="8"/>
      <c r="E254" s="8"/>
    </row>
    <row r="255" spans="2:5" ht="15.6" x14ac:dyDescent="0.3">
      <c r="B255" s="14"/>
      <c r="C255" s="8"/>
      <c r="D255" s="8"/>
      <c r="E255" s="8"/>
    </row>
    <row r="256" spans="2:5" ht="15.6" x14ac:dyDescent="0.3">
      <c r="B256" s="14"/>
      <c r="C256" s="8"/>
      <c r="D256" s="8"/>
      <c r="E256" s="8"/>
    </row>
    <row r="257" spans="2:5" ht="15.6" x14ac:dyDescent="0.3">
      <c r="B257" s="14"/>
      <c r="C257" s="8"/>
      <c r="D257" s="8"/>
      <c r="E257" s="8"/>
    </row>
    <row r="258" spans="2:5" ht="15.6" x14ac:dyDescent="0.3">
      <c r="B258" s="14"/>
      <c r="C258" s="8"/>
      <c r="D258" s="8"/>
      <c r="E258" s="8"/>
    </row>
    <row r="259" spans="2:5" ht="15.6" x14ac:dyDescent="0.3">
      <c r="B259" s="14"/>
      <c r="C259" s="8"/>
      <c r="D259" s="8"/>
      <c r="E259" s="8"/>
    </row>
    <row r="260" spans="2:5" ht="15.6" x14ac:dyDescent="0.3">
      <c r="B260" s="14"/>
      <c r="C260" s="8"/>
      <c r="D260" s="8"/>
      <c r="E260" s="8"/>
    </row>
    <row r="261" spans="2:5" ht="15.6" x14ac:dyDescent="0.3">
      <c r="B261" s="14"/>
      <c r="C261" s="8"/>
      <c r="D261" s="8"/>
      <c r="E261" s="8"/>
    </row>
    <row r="262" spans="2:5" ht="15.6" x14ac:dyDescent="0.3">
      <c r="B262" s="14"/>
      <c r="C262" s="8"/>
      <c r="D262" s="8"/>
      <c r="E262" s="8"/>
    </row>
    <row r="263" spans="2:5" ht="15.6" x14ac:dyDescent="0.3">
      <c r="B263" s="14"/>
      <c r="C263" s="8"/>
      <c r="D263" s="8"/>
      <c r="E263" s="8"/>
    </row>
    <row r="264" spans="2:5" ht="15.6" x14ac:dyDescent="0.3">
      <c r="B264" s="14"/>
      <c r="C264" s="8"/>
      <c r="D264" s="8"/>
      <c r="E264" s="8"/>
    </row>
    <row r="265" spans="2:5" ht="15.6" x14ac:dyDescent="0.3">
      <c r="B265" s="14"/>
      <c r="C265" s="8"/>
      <c r="D265" s="8"/>
      <c r="E265" s="8"/>
    </row>
    <row r="266" spans="2:5" ht="15.6" x14ac:dyDescent="0.3">
      <c r="B266" s="14"/>
      <c r="C266" s="8"/>
      <c r="D266" s="8"/>
      <c r="E266" s="8"/>
    </row>
    <row r="267" spans="2:5" ht="15.6" x14ac:dyDescent="0.3">
      <c r="B267" s="14"/>
      <c r="C267" s="8"/>
      <c r="D267" s="8"/>
      <c r="E267" s="8"/>
    </row>
    <row r="268" spans="2:5" ht="15.6" x14ac:dyDescent="0.3">
      <c r="B268" s="14"/>
      <c r="C268" s="8"/>
      <c r="D268" s="8"/>
      <c r="E268" s="8"/>
    </row>
    <row r="269" spans="2:5" ht="15.6" x14ac:dyDescent="0.3">
      <c r="B269" s="14"/>
      <c r="C269" s="8"/>
      <c r="D269" s="8"/>
      <c r="E269" s="8"/>
    </row>
    <row r="270" spans="2:5" ht="15.6" x14ac:dyDescent="0.3">
      <c r="B270" s="14"/>
      <c r="C270" s="8"/>
      <c r="D270" s="8"/>
      <c r="E270" s="8"/>
    </row>
    <row r="271" spans="2:5" ht="15.6" x14ac:dyDescent="0.3">
      <c r="B271" s="14"/>
      <c r="C271" s="8"/>
      <c r="D271" s="8"/>
      <c r="E271" s="8"/>
    </row>
    <row r="272" spans="2:5" ht="15.6" x14ac:dyDescent="0.3">
      <c r="B272" s="14"/>
      <c r="C272" s="8"/>
      <c r="D272" s="8"/>
      <c r="E272" s="8"/>
    </row>
    <row r="273" spans="2:5" ht="15.6" x14ac:dyDescent="0.3">
      <c r="B273" s="14"/>
      <c r="C273" s="8"/>
      <c r="D273" s="8"/>
      <c r="E273" s="8"/>
    </row>
    <row r="274" spans="2:5" ht="15.6" x14ac:dyDescent="0.3">
      <c r="B274" s="14"/>
      <c r="C274" s="8"/>
      <c r="D274" s="8"/>
      <c r="E274" s="8"/>
    </row>
    <row r="275" spans="2:5" ht="15.6" x14ac:dyDescent="0.3">
      <c r="B275" s="14"/>
      <c r="C275" s="8"/>
      <c r="D275" s="8"/>
      <c r="E275" s="8"/>
    </row>
    <row r="276" spans="2:5" ht="15.6" x14ac:dyDescent="0.3">
      <c r="B276" s="14"/>
      <c r="C276" s="8"/>
      <c r="D276" s="8"/>
      <c r="E276" s="8"/>
    </row>
    <row r="277" spans="2:5" ht="15.6" x14ac:dyDescent="0.3">
      <c r="B277" s="14"/>
      <c r="C277" s="8"/>
      <c r="D277" s="8"/>
      <c r="E277" s="8"/>
    </row>
    <row r="278" spans="2:5" ht="15.6" x14ac:dyDescent="0.3">
      <c r="B278" s="14"/>
      <c r="C278" s="8"/>
      <c r="D278" s="8"/>
      <c r="E278" s="8"/>
    </row>
    <row r="279" spans="2:5" ht="15.6" x14ac:dyDescent="0.3">
      <c r="B279" s="14"/>
      <c r="C279" s="8"/>
      <c r="D279" s="8"/>
      <c r="E279" s="8"/>
    </row>
    <row r="280" spans="2:5" ht="15.6" x14ac:dyDescent="0.3">
      <c r="B280" s="14"/>
      <c r="C280" s="8"/>
      <c r="D280" s="8"/>
      <c r="E280" s="8"/>
    </row>
    <row r="281" spans="2:5" ht="15.6" x14ac:dyDescent="0.3">
      <c r="B281" s="14"/>
      <c r="C281" s="8"/>
      <c r="D281" s="8"/>
      <c r="E281" s="8"/>
    </row>
    <row r="282" spans="2:5" ht="15.6" x14ac:dyDescent="0.3">
      <c r="B282" s="14"/>
      <c r="C282" s="8"/>
      <c r="D282" s="8"/>
      <c r="E282" s="8"/>
    </row>
    <row r="283" spans="2:5" ht="15.6" x14ac:dyDescent="0.3">
      <c r="B283" s="14"/>
      <c r="C283" s="8"/>
      <c r="D283" s="8"/>
      <c r="E283" s="8"/>
    </row>
    <row r="284" spans="2:5" ht="15.6" x14ac:dyDescent="0.3">
      <c r="B284" s="14"/>
      <c r="C284" s="8"/>
      <c r="D284" s="8"/>
      <c r="E284" s="8"/>
    </row>
    <row r="285" spans="2:5" ht="15.6" x14ac:dyDescent="0.3">
      <c r="B285" s="14"/>
      <c r="C285" s="8"/>
      <c r="D285" s="8"/>
      <c r="E285" s="8"/>
    </row>
    <row r="286" spans="2:5" ht="15.6" x14ac:dyDescent="0.3">
      <c r="B286" s="14"/>
      <c r="C286" s="8"/>
      <c r="D286" s="8"/>
      <c r="E286" s="8"/>
    </row>
    <row r="287" spans="2:5" ht="15.6" x14ac:dyDescent="0.3">
      <c r="B287" s="14"/>
      <c r="C287" s="8"/>
      <c r="D287" s="8"/>
      <c r="E287" s="8"/>
    </row>
    <row r="288" spans="2:5" ht="15.6" x14ac:dyDescent="0.3">
      <c r="B288" s="14"/>
      <c r="C288" s="8"/>
      <c r="D288" s="8"/>
      <c r="E288" s="8"/>
    </row>
    <row r="289" spans="2:5" ht="15.6" x14ac:dyDescent="0.3">
      <c r="B289" s="14"/>
      <c r="C289" s="20"/>
      <c r="D289" s="8"/>
      <c r="E289" s="8"/>
    </row>
    <row r="290" spans="2:5" ht="15.6" x14ac:dyDescent="0.3">
      <c r="B290" s="14"/>
      <c r="C290" s="20"/>
      <c r="D290" s="20"/>
      <c r="E290" s="20"/>
    </row>
    <row r="291" spans="2:5" ht="15.6" x14ac:dyDescent="0.3">
      <c r="B291" s="14"/>
      <c r="C291" s="20"/>
      <c r="D291" s="20"/>
      <c r="E291" s="20"/>
    </row>
    <row r="292" spans="2:5" ht="15.6" x14ac:dyDescent="0.3">
      <c r="B292" s="14"/>
      <c r="C292" s="20"/>
      <c r="D292" s="20"/>
      <c r="E292" s="20"/>
    </row>
    <row r="293" spans="2:5" ht="15.6" x14ac:dyDescent="0.3">
      <c r="B293" s="14"/>
      <c r="C293" s="20"/>
      <c r="D293" s="20"/>
      <c r="E293" s="20"/>
    </row>
    <row r="294" spans="2:5" ht="15.6" x14ac:dyDescent="0.3">
      <c r="B294" s="14"/>
      <c r="C294" s="20"/>
      <c r="D294" s="20"/>
      <c r="E294" s="20"/>
    </row>
    <row r="295" spans="2:5" ht="15.6" x14ac:dyDescent="0.3">
      <c r="B295" s="14"/>
      <c r="C295" s="20"/>
      <c r="D295" s="20"/>
      <c r="E295" s="20"/>
    </row>
    <row r="296" spans="2:5" ht="15.6" x14ac:dyDescent="0.3">
      <c r="B296" s="14"/>
      <c r="C296" s="20"/>
      <c r="D296" s="20"/>
      <c r="E296" s="20"/>
    </row>
    <row r="297" spans="2:5" ht="15.6" x14ac:dyDescent="0.3">
      <c r="B297" s="14"/>
      <c r="C297" s="8"/>
      <c r="D297" s="20"/>
      <c r="E297" s="20"/>
    </row>
    <row r="298" spans="2:5" ht="15.6" x14ac:dyDescent="0.3">
      <c r="B298" s="14"/>
      <c r="C298" s="8"/>
      <c r="D298" s="8"/>
      <c r="E298" s="8"/>
    </row>
    <row r="299" spans="2:5" ht="15.6" x14ac:dyDescent="0.3">
      <c r="B299" s="14"/>
      <c r="C299" s="8"/>
      <c r="D299" s="8"/>
      <c r="E299" s="8"/>
    </row>
    <row r="300" spans="2:5" ht="15.6" x14ac:dyDescent="0.3">
      <c r="B300" s="14"/>
      <c r="C300" s="8"/>
      <c r="D300" s="8"/>
      <c r="E300" s="8"/>
    </row>
    <row r="301" spans="2:5" ht="15.6" x14ac:dyDescent="0.3">
      <c r="B301" s="14"/>
      <c r="C301" s="8"/>
      <c r="D301" s="8"/>
      <c r="E301" s="8"/>
    </row>
    <row r="302" spans="2:5" ht="15.6" x14ac:dyDescent="0.3">
      <c r="B302" s="14"/>
      <c r="C302" s="8"/>
      <c r="D302" s="8"/>
      <c r="E302" s="8"/>
    </row>
    <row r="303" spans="2:5" ht="15.6" x14ac:dyDescent="0.3">
      <c r="B303" s="14"/>
      <c r="C303" s="8"/>
      <c r="D303" s="8"/>
      <c r="E303" s="8"/>
    </row>
    <row r="304" spans="2:5" ht="15.6" x14ac:dyDescent="0.3">
      <c r="B304" s="14"/>
      <c r="C304" s="8"/>
      <c r="D304" s="8"/>
      <c r="E304" s="8"/>
    </row>
    <row r="305" spans="2:5" ht="15.6" x14ac:dyDescent="0.3">
      <c r="B305" s="14"/>
      <c r="C305" s="8"/>
      <c r="D305" s="8"/>
      <c r="E305" s="8"/>
    </row>
    <row r="306" spans="2:5" ht="15.6" x14ac:dyDescent="0.3">
      <c r="B306" s="14"/>
      <c r="C306" s="8"/>
      <c r="D306" s="8"/>
      <c r="E306" s="8"/>
    </row>
    <row r="307" spans="2:5" ht="15.6" x14ac:dyDescent="0.3">
      <c r="B307" s="14"/>
      <c r="C307" s="8"/>
      <c r="D307" s="8"/>
      <c r="E307" s="8"/>
    </row>
    <row r="308" spans="2:5" ht="15.6" x14ac:dyDescent="0.3">
      <c r="B308" s="14"/>
      <c r="C308" s="8"/>
      <c r="D308" s="8"/>
      <c r="E308" s="8"/>
    </row>
    <row r="309" spans="2:5" ht="15.6" x14ac:dyDescent="0.3">
      <c r="B309" s="14"/>
      <c r="C309" s="8"/>
      <c r="D309" s="8"/>
      <c r="E309" s="8"/>
    </row>
    <row r="310" spans="2:5" ht="15.6" x14ac:dyDescent="0.3">
      <c r="B310" s="14"/>
      <c r="C310" s="8"/>
      <c r="D310" s="8"/>
      <c r="E310" s="8"/>
    </row>
    <row r="311" spans="2:5" ht="15.6" x14ac:dyDescent="0.3">
      <c r="B311" s="14"/>
      <c r="C311" s="8"/>
      <c r="D311" s="8"/>
      <c r="E311" s="8"/>
    </row>
    <row r="312" spans="2:5" ht="15.6" x14ac:dyDescent="0.3">
      <c r="B312" s="14"/>
      <c r="C312" s="8"/>
      <c r="D312" s="8"/>
      <c r="E312" s="8"/>
    </row>
    <row r="313" spans="2:5" ht="15.6" x14ac:dyDescent="0.3">
      <c r="B313" s="14"/>
      <c r="C313" s="8"/>
      <c r="D313" s="8"/>
      <c r="E313" s="8"/>
    </row>
    <row r="314" spans="2:5" ht="15.6" x14ac:dyDescent="0.3">
      <c r="B314" s="14"/>
      <c r="C314" s="8"/>
      <c r="D314" s="8"/>
      <c r="E314" s="8"/>
    </row>
    <row r="315" spans="2:5" ht="15.6" x14ac:dyDescent="0.3">
      <c r="B315" s="14"/>
      <c r="C315" s="8"/>
      <c r="D315" s="8"/>
      <c r="E315" s="8"/>
    </row>
    <row r="316" spans="2:5" ht="15.6" x14ac:dyDescent="0.3">
      <c r="B316" s="14"/>
      <c r="C316" s="8"/>
      <c r="D316" s="8"/>
      <c r="E316" s="8"/>
    </row>
    <row r="317" spans="2:5" ht="15.6" x14ac:dyDescent="0.3">
      <c r="B317" s="14"/>
      <c r="C317" s="8"/>
      <c r="D317" s="8"/>
      <c r="E317" s="8"/>
    </row>
    <row r="318" spans="2:5" ht="15.6" x14ac:dyDescent="0.3">
      <c r="B318" s="14"/>
      <c r="C318" s="8"/>
      <c r="D318" s="8"/>
      <c r="E318" s="8"/>
    </row>
    <row r="319" spans="2:5" ht="15.6" x14ac:dyDescent="0.3">
      <c r="B319" s="14"/>
      <c r="C319" s="8"/>
      <c r="D319" s="8"/>
      <c r="E319" s="8"/>
    </row>
    <row r="320" spans="2:5" ht="15.6" x14ac:dyDescent="0.3">
      <c r="B320" s="14"/>
      <c r="C320" s="8"/>
      <c r="D320" s="8"/>
      <c r="E320" s="8"/>
    </row>
    <row r="321" spans="2:5" ht="15.6" x14ac:dyDescent="0.3">
      <c r="B321" s="14"/>
      <c r="C321" s="8"/>
      <c r="D321" s="8"/>
      <c r="E321" s="8"/>
    </row>
    <row r="322" spans="2:5" x14ac:dyDescent="0.3">
      <c r="D322" s="8"/>
      <c r="E32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7058-6ED6-41FA-83E5-7611A1EE447B}">
  <dimension ref="B2:C322"/>
  <sheetViews>
    <sheetView workbookViewId="0">
      <selection activeCell="G24" sqref="G24"/>
    </sheetView>
  </sheetViews>
  <sheetFormatPr defaultRowHeight="14.4" x14ac:dyDescent="0.3"/>
  <cols>
    <col min="2" max="3" width="8.88671875" style="3"/>
  </cols>
  <sheetData>
    <row r="2" spans="2:3" x14ac:dyDescent="0.3">
      <c r="B2" s="6" t="s">
        <v>64</v>
      </c>
      <c r="C2" s="6" t="s">
        <v>65</v>
      </c>
    </row>
    <row r="3" spans="2:3" ht="15.6" x14ac:dyDescent="0.3">
      <c r="B3" s="12" t="s">
        <v>72</v>
      </c>
      <c r="C3" s="12" t="s">
        <v>73</v>
      </c>
    </row>
    <row r="4" spans="2:3" ht="15.6" x14ac:dyDescent="0.3">
      <c r="B4" s="12" t="s">
        <v>67</v>
      </c>
      <c r="C4" s="12" t="s">
        <v>77</v>
      </c>
    </row>
    <row r="5" spans="2:3" ht="15.6" x14ac:dyDescent="0.3">
      <c r="B5" s="12" t="s">
        <v>75</v>
      </c>
      <c r="C5" s="12" t="s">
        <v>84</v>
      </c>
    </row>
    <row r="6" spans="2:3" ht="15.6" x14ac:dyDescent="0.3">
      <c r="B6" s="12" t="s">
        <v>80</v>
      </c>
      <c r="C6" s="12" t="s">
        <v>90</v>
      </c>
    </row>
    <row r="7" spans="2:3" ht="15.6" x14ac:dyDescent="0.3">
      <c r="B7" s="12" t="s">
        <v>94</v>
      </c>
      <c r="C7" s="12" t="s">
        <v>94</v>
      </c>
    </row>
    <row r="8" spans="2:3" ht="15.6" x14ac:dyDescent="0.3">
      <c r="B8" s="12" t="s">
        <v>87</v>
      </c>
      <c r="C8" s="12" t="s">
        <v>102</v>
      </c>
    </row>
    <row r="9" spans="2:3" ht="15.6" x14ac:dyDescent="0.3">
      <c r="B9" s="12" t="s">
        <v>105</v>
      </c>
      <c r="C9" s="12" t="s">
        <v>102</v>
      </c>
    </row>
    <row r="10" spans="2:3" ht="15.6" x14ac:dyDescent="0.3">
      <c r="B10" s="12" t="s">
        <v>71</v>
      </c>
      <c r="C10" s="12" t="s">
        <v>70</v>
      </c>
    </row>
    <row r="11" spans="2:3" ht="15.6" x14ac:dyDescent="0.3">
      <c r="B11" s="12" t="s">
        <v>97</v>
      </c>
      <c r="C11" s="12" t="s">
        <v>110</v>
      </c>
    </row>
    <row r="12" spans="2:3" ht="15.6" x14ac:dyDescent="0.3">
      <c r="B12" s="12" t="s">
        <v>83</v>
      </c>
      <c r="C12" s="12" t="s">
        <v>82</v>
      </c>
    </row>
    <row r="13" spans="2:3" ht="15.6" x14ac:dyDescent="0.3">
      <c r="B13" s="12" t="s">
        <v>101</v>
      </c>
      <c r="C13" s="12" t="s">
        <v>100</v>
      </c>
    </row>
    <row r="14" spans="2:3" ht="15.6" x14ac:dyDescent="0.3">
      <c r="B14" s="12" t="s">
        <v>108</v>
      </c>
      <c r="C14" s="12" t="s">
        <v>115</v>
      </c>
    </row>
    <row r="15" spans="2:3" x14ac:dyDescent="0.3">
      <c r="B15" s="8"/>
      <c r="C15" s="8"/>
    </row>
    <row r="16" spans="2:3" ht="15.6" x14ac:dyDescent="0.3">
      <c r="B16" s="14"/>
      <c r="C16" s="8"/>
    </row>
    <row r="17" spans="2:3" x14ac:dyDescent="0.3">
      <c r="B17"/>
      <c r="C17" s="8"/>
    </row>
    <row r="18" spans="2:3" x14ac:dyDescent="0.3">
      <c r="B18"/>
      <c r="C18" s="8"/>
    </row>
    <row r="19" spans="2:3" x14ac:dyDescent="0.3">
      <c r="B19"/>
      <c r="C19" s="8"/>
    </row>
    <row r="20" spans="2:3" x14ac:dyDescent="0.3">
      <c r="B20"/>
      <c r="C20" s="8"/>
    </row>
    <row r="21" spans="2:3" x14ac:dyDescent="0.3">
      <c r="B21"/>
      <c r="C21" s="8"/>
    </row>
    <row r="22" spans="2:3" x14ac:dyDescent="0.3">
      <c r="B22"/>
      <c r="C22" s="8"/>
    </row>
    <row r="23" spans="2:3" x14ac:dyDescent="0.3">
      <c r="B23"/>
      <c r="C23" s="8"/>
    </row>
    <row r="24" spans="2:3" x14ac:dyDescent="0.3">
      <c r="B24"/>
      <c r="C24" s="8"/>
    </row>
    <row r="25" spans="2:3" x14ac:dyDescent="0.3">
      <c r="B25"/>
      <c r="C25" s="8"/>
    </row>
    <row r="26" spans="2:3" x14ac:dyDescent="0.3">
      <c r="C26" s="8"/>
    </row>
    <row r="27" spans="2:3" x14ac:dyDescent="0.3">
      <c r="C27" s="8"/>
    </row>
    <row r="28" spans="2:3" x14ac:dyDescent="0.3">
      <c r="C28" s="8"/>
    </row>
    <row r="29" spans="2:3" x14ac:dyDescent="0.3">
      <c r="C29" s="8"/>
    </row>
    <row r="30" spans="2:3" x14ac:dyDescent="0.3">
      <c r="C30" s="8"/>
    </row>
    <row r="31" spans="2:3" x14ac:dyDescent="0.3">
      <c r="C31" s="8"/>
    </row>
    <row r="32" spans="2:3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20"/>
    </row>
    <row r="54" spans="3:3" x14ac:dyDescent="0.3">
      <c r="C54" s="20"/>
    </row>
    <row r="55" spans="3:3" x14ac:dyDescent="0.3">
      <c r="C55" s="20"/>
    </row>
    <row r="56" spans="3:3" x14ac:dyDescent="0.3">
      <c r="C56" s="20"/>
    </row>
    <row r="57" spans="3:3" x14ac:dyDescent="0.3">
      <c r="C57" s="20"/>
    </row>
    <row r="58" spans="3:3" x14ac:dyDescent="0.3">
      <c r="C58" s="20"/>
    </row>
    <row r="59" spans="3:3" x14ac:dyDescent="0.3">
      <c r="C59" s="20"/>
    </row>
    <row r="60" spans="3:3" x14ac:dyDescent="0.3">
      <c r="C60" s="20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20"/>
    </row>
    <row r="92" spans="3:3" x14ac:dyDescent="0.3">
      <c r="C92" s="20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20"/>
    </row>
    <row r="128" spans="3:3" x14ac:dyDescent="0.3">
      <c r="C128" s="20"/>
    </row>
    <row r="129" spans="3:3" x14ac:dyDescent="0.3">
      <c r="C129" s="20"/>
    </row>
    <row r="130" spans="3:3" x14ac:dyDescent="0.3">
      <c r="C130" s="20"/>
    </row>
    <row r="131" spans="3:3" x14ac:dyDescent="0.3">
      <c r="C131" s="20"/>
    </row>
    <row r="132" spans="3:3" x14ac:dyDescent="0.3">
      <c r="C132" s="20"/>
    </row>
    <row r="133" spans="3:3" x14ac:dyDescent="0.3">
      <c r="C133" s="20"/>
    </row>
    <row r="134" spans="3:3" x14ac:dyDescent="0.3">
      <c r="C134" s="20"/>
    </row>
    <row r="135" spans="3:3" x14ac:dyDescent="0.3">
      <c r="C135" s="20"/>
    </row>
    <row r="136" spans="3:3" x14ac:dyDescent="0.3">
      <c r="C136" s="20"/>
    </row>
    <row r="137" spans="3:3" x14ac:dyDescent="0.3">
      <c r="C137" s="20"/>
    </row>
    <row r="138" spans="3:3" x14ac:dyDescent="0.3">
      <c r="C138" s="20"/>
    </row>
    <row r="139" spans="3:3" x14ac:dyDescent="0.3">
      <c r="C139" s="20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2:3" x14ac:dyDescent="0.3">
      <c r="C177" s="8"/>
    </row>
    <row r="178" spans="2:3" x14ac:dyDescent="0.3">
      <c r="C178" s="8"/>
    </row>
    <row r="179" spans="2:3" x14ac:dyDescent="0.3">
      <c r="C179" s="8"/>
    </row>
    <row r="180" spans="2:3" x14ac:dyDescent="0.3">
      <c r="C180" s="8"/>
    </row>
    <row r="181" spans="2:3" ht="15.6" x14ac:dyDescent="0.3">
      <c r="B181" s="14"/>
      <c r="C181" s="8"/>
    </row>
    <row r="182" spans="2:3" ht="15.6" x14ac:dyDescent="0.3">
      <c r="B182" s="14"/>
      <c r="C182" s="8"/>
    </row>
    <row r="183" spans="2:3" ht="15.6" x14ac:dyDescent="0.3">
      <c r="B183" s="14"/>
      <c r="C183" s="8"/>
    </row>
    <row r="184" spans="2:3" ht="15.6" x14ac:dyDescent="0.3">
      <c r="B184" s="14"/>
      <c r="C184" s="8"/>
    </row>
    <row r="185" spans="2:3" ht="15.6" x14ac:dyDescent="0.3">
      <c r="B185" s="14"/>
      <c r="C185" s="8"/>
    </row>
    <row r="186" spans="2:3" ht="15.6" x14ac:dyDescent="0.3">
      <c r="B186" s="14"/>
      <c r="C186" s="8"/>
    </row>
    <row r="187" spans="2:3" ht="15.6" x14ac:dyDescent="0.3">
      <c r="B187" s="14"/>
      <c r="C187" s="8"/>
    </row>
    <row r="188" spans="2:3" ht="15.6" x14ac:dyDescent="0.3">
      <c r="B188" s="14"/>
      <c r="C188" s="8"/>
    </row>
    <row r="189" spans="2:3" ht="15.6" x14ac:dyDescent="0.3">
      <c r="B189" s="14"/>
      <c r="C189" s="8"/>
    </row>
    <row r="190" spans="2:3" ht="15.6" x14ac:dyDescent="0.3">
      <c r="B190" s="14"/>
      <c r="C190" s="8"/>
    </row>
    <row r="191" spans="2:3" ht="15.6" x14ac:dyDescent="0.3">
      <c r="B191" s="14"/>
      <c r="C191" s="8"/>
    </row>
    <row r="192" spans="2:3" ht="15.6" x14ac:dyDescent="0.3">
      <c r="B192" s="14"/>
      <c r="C192" s="8"/>
    </row>
    <row r="193" spans="2:3" ht="15.6" x14ac:dyDescent="0.3">
      <c r="B193" s="14"/>
      <c r="C193" s="8"/>
    </row>
    <row r="194" spans="2:3" ht="15.6" x14ac:dyDescent="0.3">
      <c r="B194" s="14"/>
      <c r="C194" s="8"/>
    </row>
    <row r="195" spans="2:3" ht="15.6" x14ac:dyDescent="0.3">
      <c r="B195" s="14"/>
      <c r="C195" s="8"/>
    </row>
    <row r="196" spans="2:3" ht="15.6" x14ac:dyDescent="0.3">
      <c r="B196" s="14"/>
      <c r="C196" s="8"/>
    </row>
    <row r="197" spans="2:3" ht="15.6" x14ac:dyDescent="0.3">
      <c r="B197" s="14"/>
      <c r="C197" s="8"/>
    </row>
    <row r="198" spans="2:3" ht="15.6" x14ac:dyDescent="0.3">
      <c r="B198" s="14"/>
      <c r="C198" s="8"/>
    </row>
    <row r="199" spans="2:3" ht="15.6" x14ac:dyDescent="0.3">
      <c r="B199" s="14"/>
      <c r="C199" s="8"/>
    </row>
    <row r="200" spans="2:3" ht="15.6" x14ac:dyDescent="0.3">
      <c r="B200" s="14"/>
      <c r="C200" s="8"/>
    </row>
    <row r="201" spans="2:3" ht="15.6" x14ac:dyDescent="0.3">
      <c r="B201" s="14"/>
      <c r="C201" s="8"/>
    </row>
    <row r="202" spans="2:3" ht="15.6" x14ac:dyDescent="0.3">
      <c r="B202" s="14"/>
      <c r="C202" s="8"/>
    </row>
    <row r="203" spans="2:3" ht="15.6" x14ac:dyDescent="0.3">
      <c r="B203" s="14"/>
      <c r="C203" s="8"/>
    </row>
    <row r="204" spans="2:3" ht="15.6" x14ac:dyDescent="0.3">
      <c r="B204" s="14"/>
      <c r="C204" s="8"/>
    </row>
    <row r="205" spans="2:3" ht="15.6" x14ac:dyDescent="0.3">
      <c r="B205" s="14"/>
      <c r="C205" s="8"/>
    </row>
    <row r="206" spans="2:3" ht="15.6" x14ac:dyDescent="0.3">
      <c r="B206" s="14"/>
      <c r="C206" s="8"/>
    </row>
    <row r="207" spans="2:3" ht="15.6" x14ac:dyDescent="0.3">
      <c r="B207" s="14"/>
      <c r="C207" s="8"/>
    </row>
    <row r="208" spans="2:3" ht="15.6" x14ac:dyDescent="0.3">
      <c r="B208" s="14"/>
      <c r="C208" s="8"/>
    </row>
    <row r="209" spans="2:3" ht="15.6" x14ac:dyDescent="0.3">
      <c r="B209" s="14"/>
      <c r="C209" s="8"/>
    </row>
    <row r="210" spans="2:3" ht="15.6" x14ac:dyDescent="0.3">
      <c r="B210" s="14"/>
      <c r="C210" s="8"/>
    </row>
    <row r="211" spans="2:3" ht="15.6" x14ac:dyDescent="0.3">
      <c r="B211" s="14"/>
      <c r="C211" s="8"/>
    </row>
    <row r="212" spans="2:3" ht="15.6" x14ac:dyDescent="0.3">
      <c r="B212" s="14"/>
      <c r="C212" s="8"/>
    </row>
    <row r="213" spans="2:3" ht="15.6" x14ac:dyDescent="0.3">
      <c r="B213" s="14"/>
      <c r="C213" s="8"/>
    </row>
    <row r="214" spans="2:3" ht="15.6" x14ac:dyDescent="0.3">
      <c r="B214" s="14"/>
      <c r="C214" s="8"/>
    </row>
    <row r="215" spans="2:3" ht="15.6" x14ac:dyDescent="0.3">
      <c r="B215" s="14"/>
      <c r="C215" s="8"/>
    </row>
    <row r="216" spans="2:3" ht="15.6" x14ac:dyDescent="0.3">
      <c r="B216" s="14"/>
      <c r="C216" s="8"/>
    </row>
    <row r="217" spans="2:3" ht="15.6" x14ac:dyDescent="0.3">
      <c r="B217" s="14"/>
      <c r="C217" s="8"/>
    </row>
    <row r="218" spans="2:3" ht="15.6" x14ac:dyDescent="0.3">
      <c r="B218" s="14"/>
      <c r="C218" s="8"/>
    </row>
    <row r="219" spans="2:3" ht="15.6" x14ac:dyDescent="0.3">
      <c r="B219" s="14"/>
      <c r="C219" s="8"/>
    </row>
    <row r="220" spans="2:3" ht="15.6" x14ac:dyDescent="0.3">
      <c r="B220" s="14"/>
      <c r="C220" s="8"/>
    </row>
    <row r="221" spans="2:3" ht="15.6" x14ac:dyDescent="0.3">
      <c r="B221" s="14"/>
      <c r="C221" s="8"/>
    </row>
    <row r="222" spans="2:3" ht="15.6" x14ac:dyDescent="0.3">
      <c r="B222" s="14"/>
      <c r="C222" s="8"/>
    </row>
    <row r="223" spans="2:3" ht="15.6" x14ac:dyDescent="0.3">
      <c r="B223" s="14"/>
      <c r="C223" s="8"/>
    </row>
    <row r="224" spans="2:3" ht="15.6" x14ac:dyDescent="0.3">
      <c r="B224" s="14"/>
      <c r="C224" s="8"/>
    </row>
    <row r="225" spans="2:3" ht="15.6" x14ac:dyDescent="0.3">
      <c r="B225" s="14"/>
      <c r="C225" s="8"/>
    </row>
    <row r="226" spans="2:3" ht="15.6" x14ac:dyDescent="0.3">
      <c r="B226" s="14"/>
      <c r="C226" s="8"/>
    </row>
    <row r="227" spans="2:3" ht="15.6" x14ac:dyDescent="0.3">
      <c r="B227" s="14"/>
      <c r="C227" s="8"/>
    </row>
    <row r="228" spans="2:3" ht="15.6" x14ac:dyDescent="0.3">
      <c r="B228" s="14"/>
      <c r="C228" s="8"/>
    </row>
    <row r="229" spans="2:3" ht="15.6" x14ac:dyDescent="0.3">
      <c r="B229" s="14"/>
      <c r="C229" s="8"/>
    </row>
    <row r="230" spans="2:3" ht="15.6" x14ac:dyDescent="0.3">
      <c r="B230" s="14"/>
      <c r="C230" s="8"/>
    </row>
    <row r="231" spans="2:3" ht="15.6" x14ac:dyDescent="0.3">
      <c r="B231" s="14"/>
      <c r="C231" s="8"/>
    </row>
    <row r="232" spans="2:3" ht="15.6" x14ac:dyDescent="0.3">
      <c r="B232" s="14"/>
      <c r="C232" s="8"/>
    </row>
    <row r="233" spans="2:3" ht="15.6" x14ac:dyDescent="0.3">
      <c r="B233" s="14"/>
      <c r="C233" s="8"/>
    </row>
    <row r="234" spans="2:3" ht="15.6" x14ac:dyDescent="0.3">
      <c r="B234" s="14"/>
      <c r="C234" s="8"/>
    </row>
    <row r="235" spans="2:3" ht="15.6" x14ac:dyDescent="0.3">
      <c r="B235" s="14"/>
      <c r="C235" s="8"/>
    </row>
    <row r="236" spans="2:3" ht="15.6" x14ac:dyDescent="0.3">
      <c r="B236" s="14"/>
      <c r="C236" s="8"/>
    </row>
    <row r="237" spans="2:3" ht="15.6" x14ac:dyDescent="0.3">
      <c r="B237" s="14"/>
      <c r="C237" s="8"/>
    </row>
    <row r="238" spans="2:3" ht="15.6" x14ac:dyDescent="0.3">
      <c r="B238" s="14"/>
      <c r="C238" s="8"/>
    </row>
    <row r="239" spans="2:3" ht="15.6" x14ac:dyDescent="0.3">
      <c r="B239" s="14"/>
      <c r="C239" s="8"/>
    </row>
    <row r="240" spans="2:3" ht="15.6" x14ac:dyDescent="0.3">
      <c r="B240" s="14"/>
      <c r="C240" s="8"/>
    </row>
    <row r="241" spans="2:3" ht="15.6" x14ac:dyDescent="0.3">
      <c r="B241" s="14"/>
      <c r="C241" s="8"/>
    </row>
    <row r="242" spans="2:3" ht="15.6" x14ac:dyDescent="0.3">
      <c r="B242" s="14"/>
      <c r="C242" s="8"/>
    </row>
    <row r="243" spans="2:3" ht="15.6" x14ac:dyDescent="0.3">
      <c r="B243" s="14"/>
      <c r="C243" s="8"/>
    </row>
    <row r="244" spans="2:3" ht="15.6" x14ac:dyDescent="0.3">
      <c r="B244" s="14"/>
      <c r="C244" s="8"/>
    </row>
    <row r="245" spans="2:3" ht="15.6" x14ac:dyDescent="0.3">
      <c r="B245" s="14"/>
      <c r="C245" s="8"/>
    </row>
    <row r="246" spans="2:3" ht="15.6" x14ac:dyDescent="0.3">
      <c r="B246" s="14"/>
      <c r="C246" s="8"/>
    </row>
    <row r="247" spans="2:3" ht="15.6" x14ac:dyDescent="0.3">
      <c r="B247" s="14"/>
      <c r="C247" s="8"/>
    </row>
    <row r="248" spans="2:3" ht="15.6" x14ac:dyDescent="0.3">
      <c r="B248" s="14"/>
      <c r="C248" s="8"/>
    </row>
    <row r="249" spans="2:3" ht="15.6" x14ac:dyDescent="0.3">
      <c r="B249" s="14"/>
      <c r="C249" s="8"/>
    </row>
    <row r="250" spans="2:3" ht="15.6" x14ac:dyDescent="0.3">
      <c r="B250" s="14"/>
      <c r="C250" s="8"/>
    </row>
    <row r="251" spans="2:3" ht="15.6" x14ac:dyDescent="0.3">
      <c r="B251" s="14"/>
      <c r="C251" s="8"/>
    </row>
    <row r="252" spans="2:3" ht="15.6" x14ac:dyDescent="0.3">
      <c r="B252" s="14"/>
      <c r="C252" s="8"/>
    </row>
    <row r="253" spans="2:3" ht="15.6" x14ac:dyDescent="0.3">
      <c r="B253" s="14"/>
      <c r="C253" s="8"/>
    </row>
    <row r="254" spans="2:3" ht="15.6" x14ac:dyDescent="0.3">
      <c r="B254" s="14"/>
      <c r="C254" s="8"/>
    </row>
    <row r="255" spans="2:3" ht="15.6" x14ac:dyDescent="0.3">
      <c r="B255" s="14"/>
      <c r="C255" s="8"/>
    </row>
    <row r="256" spans="2:3" ht="15.6" x14ac:dyDescent="0.3">
      <c r="B256" s="14"/>
      <c r="C256" s="8"/>
    </row>
    <row r="257" spans="2:3" ht="15.6" x14ac:dyDescent="0.3">
      <c r="B257" s="14"/>
      <c r="C257" s="8"/>
    </row>
    <row r="258" spans="2:3" ht="15.6" x14ac:dyDescent="0.3">
      <c r="B258" s="14"/>
      <c r="C258" s="8"/>
    </row>
    <row r="259" spans="2:3" ht="15.6" x14ac:dyDescent="0.3">
      <c r="B259" s="14"/>
      <c r="C259" s="8"/>
    </row>
    <row r="260" spans="2:3" ht="15.6" x14ac:dyDescent="0.3">
      <c r="B260" s="14"/>
      <c r="C260" s="8"/>
    </row>
    <row r="261" spans="2:3" ht="15.6" x14ac:dyDescent="0.3">
      <c r="B261" s="14"/>
      <c r="C261" s="8"/>
    </row>
    <row r="262" spans="2:3" ht="15.6" x14ac:dyDescent="0.3">
      <c r="B262" s="14"/>
      <c r="C262" s="8"/>
    </row>
    <row r="263" spans="2:3" ht="15.6" x14ac:dyDescent="0.3">
      <c r="B263" s="14"/>
      <c r="C263" s="8"/>
    </row>
    <row r="264" spans="2:3" ht="15.6" x14ac:dyDescent="0.3">
      <c r="B264" s="14"/>
      <c r="C264" s="8"/>
    </row>
    <row r="265" spans="2:3" ht="15.6" x14ac:dyDescent="0.3">
      <c r="B265" s="14"/>
      <c r="C265" s="8"/>
    </row>
    <row r="266" spans="2:3" ht="15.6" x14ac:dyDescent="0.3">
      <c r="B266" s="14"/>
      <c r="C266" s="8"/>
    </row>
    <row r="267" spans="2:3" ht="15.6" x14ac:dyDescent="0.3">
      <c r="B267" s="14"/>
      <c r="C267" s="8"/>
    </row>
    <row r="268" spans="2:3" ht="15.6" x14ac:dyDescent="0.3">
      <c r="B268" s="14"/>
      <c r="C268" s="8"/>
    </row>
    <row r="269" spans="2:3" ht="15.6" x14ac:dyDescent="0.3">
      <c r="B269" s="14"/>
      <c r="C269" s="8"/>
    </row>
    <row r="270" spans="2:3" ht="15.6" x14ac:dyDescent="0.3">
      <c r="B270" s="14"/>
      <c r="C270" s="8"/>
    </row>
    <row r="271" spans="2:3" ht="15.6" x14ac:dyDescent="0.3">
      <c r="B271" s="14"/>
      <c r="C271" s="8"/>
    </row>
    <row r="272" spans="2:3" ht="15.6" x14ac:dyDescent="0.3">
      <c r="B272" s="14"/>
      <c r="C272" s="8"/>
    </row>
    <row r="273" spans="2:3" ht="15.6" x14ac:dyDescent="0.3">
      <c r="B273" s="14"/>
      <c r="C273" s="8"/>
    </row>
    <row r="274" spans="2:3" ht="15.6" x14ac:dyDescent="0.3">
      <c r="B274" s="14"/>
      <c r="C274" s="8"/>
    </row>
    <row r="275" spans="2:3" ht="15.6" x14ac:dyDescent="0.3">
      <c r="B275" s="14"/>
      <c r="C275" s="8"/>
    </row>
    <row r="276" spans="2:3" ht="15.6" x14ac:dyDescent="0.3">
      <c r="B276" s="14"/>
      <c r="C276" s="8"/>
    </row>
    <row r="277" spans="2:3" ht="15.6" x14ac:dyDescent="0.3">
      <c r="B277" s="14"/>
      <c r="C277" s="8"/>
    </row>
    <row r="278" spans="2:3" ht="15.6" x14ac:dyDescent="0.3">
      <c r="B278" s="14"/>
      <c r="C278" s="8"/>
    </row>
    <row r="279" spans="2:3" ht="15.6" x14ac:dyDescent="0.3">
      <c r="B279" s="14"/>
      <c r="C279" s="8"/>
    </row>
    <row r="280" spans="2:3" ht="15.6" x14ac:dyDescent="0.3">
      <c r="B280" s="14"/>
      <c r="C280" s="8"/>
    </row>
    <row r="281" spans="2:3" ht="15.6" x14ac:dyDescent="0.3">
      <c r="B281" s="14"/>
      <c r="C281" s="8"/>
    </row>
    <row r="282" spans="2:3" ht="15.6" x14ac:dyDescent="0.3">
      <c r="B282" s="14"/>
      <c r="C282" s="8"/>
    </row>
    <row r="283" spans="2:3" ht="15.6" x14ac:dyDescent="0.3">
      <c r="B283" s="14"/>
      <c r="C283" s="8"/>
    </row>
    <row r="284" spans="2:3" ht="15.6" x14ac:dyDescent="0.3">
      <c r="B284" s="14"/>
      <c r="C284" s="8"/>
    </row>
    <row r="285" spans="2:3" ht="15.6" x14ac:dyDescent="0.3">
      <c r="B285" s="14"/>
      <c r="C285" s="8"/>
    </row>
    <row r="286" spans="2:3" ht="15.6" x14ac:dyDescent="0.3">
      <c r="B286" s="14"/>
      <c r="C286" s="8"/>
    </row>
    <row r="287" spans="2:3" ht="15.6" x14ac:dyDescent="0.3">
      <c r="B287" s="14"/>
      <c r="C287" s="8"/>
    </row>
    <row r="288" spans="2:3" ht="15.6" x14ac:dyDescent="0.3">
      <c r="B288" s="14"/>
      <c r="C288" s="8"/>
    </row>
    <row r="289" spans="2:3" ht="15.6" x14ac:dyDescent="0.3">
      <c r="B289" s="14"/>
      <c r="C289" s="8"/>
    </row>
    <row r="290" spans="2:3" ht="15.6" x14ac:dyDescent="0.3">
      <c r="B290" s="14"/>
      <c r="C290" s="20"/>
    </row>
    <row r="291" spans="2:3" ht="15.6" x14ac:dyDescent="0.3">
      <c r="B291" s="14"/>
      <c r="C291" s="20"/>
    </row>
    <row r="292" spans="2:3" ht="15.6" x14ac:dyDescent="0.3">
      <c r="B292" s="14"/>
      <c r="C292" s="20"/>
    </row>
    <row r="293" spans="2:3" ht="15.6" x14ac:dyDescent="0.3">
      <c r="B293" s="14"/>
      <c r="C293" s="20"/>
    </row>
    <row r="294" spans="2:3" ht="15.6" x14ac:dyDescent="0.3">
      <c r="B294" s="14"/>
      <c r="C294" s="20"/>
    </row>
    <row r="295" spans="2:3" ht="15.6" x14ac:dyDescent="0.3">
      <c r="B295" s="14"/>
      <c r="C295" s="20"/>
    </row>
    <row r="296" spans="2:3" ht="15.6" x14ac:dyDescent="0.3">
      <c r="B296" s="14"/>
      <c r="C296" s="20"/>
    </row>
    <row r="297" spans="2:3" ht="15.6" x14ac:dyDescent="0.3">
      <c r="B297" s="14"/>
      <c r="C297" s="20"/>
    </row>
    <row r="298" spans="2:3" ht="15.6" x14ac:dyDescent="0.3">
      <c r="B298" s="14"/>
      <c r="C298" s="8"/>
    </row>
    <row r="299" spans="2:3" ht="15.6" x14ac:dyDescent="0.3">
      <c r="B299" s="14"/>
      <c r="C299" s="8"/>
    </row>
    <row r="300" spans="2:3" ht="15.6" x14ac:dyDescent="0.3">
      <c r="B300" s="14"/>
      <c r="C300" s="8"/>
    </row>
    <row r="301" spans="2:3" ht="15.6" x14ac:dyDescent="0.3">
      <c r="B301" s="14"/>
      <c r="C301" s="8"/>
    </row>
    <row r="302" spans="2:3" ht="15.6" x14ac:dyDescent="0.3">
      <c r="B302" s="14"/>
      <c r="C302" s="8"/>
    </row>
    <row r="303" spans="2:3" ht="15.6" x14ac:dyDescent="0.3">
      <c r="B303" s="14"/>
      <c r="C303" s="8"/>
    </row>
    <row r="304" spans="2:3" ht="15.6" x14ac:dyDescent="0.3">
      <c r="B304" s="14"/>
      <c r="C304" s="8"/>
    </row>
    <row r="305" spans="2:3" ht="15.6" x14ac:dyDescent="0.3">
      <c r="B305" s="14"/>
      <c r="C305" s="8"/>
    </row>
    <row r="306" spans="2:3" ht="15.6" x14ac:dyDescent="0.3">
      <c r="B306" s="14"/>
      <c r="C306" s="8"/>
    </row>
    <row r="307" spans="2:3" ht="15.6" x14ac:dyDescent="0.3">
      <c r="B307" s="14"/>
      <c r="C307" s="8"/>
    </row>
    <row r="308" spans="2:3" ht="15.6" x14ac:dyDescent="0.3">
      <c r="B308" s="14"/>
      <c r="C308" s="8"/>
    </row>
    <row r="309" spans="2:3" ht="15.6" x14ac:dyDescent="0.3">
      <c r="B309" s="14"/>
      <c r="C309" s="8"/>
    </row>
    <row r="310" spans="2:3" ht="15.6" x14ac:dyDescent="0.3">
      <c r="B310" s="14"/>
      <c r="C310" s="8"/>
    </row>
    <row r="311" spans="2:3" ht="15.6" x14ac:dyDescent="0.3">
      <c r="B311" s="14"/>
      <c r="C311" s="8"/>
    </row>
    <row r="312" spans="2:3" ht="15.6" x14ac:dyDescent="0.3">
      <c r="B312" s="14"/>
      <c r="C312" s="8"/>
    </row>
    <row r="313" spans="2:3" ht="15.6" x14ac:dyDescent="0.3">
      <c r="B313" s="14"/>
      <c r="C313" s="8"/>
    </row>
    <row r="314" spans="2:3" ht="15.6" x14ac:dyDescent="0.3">
      <c r="B314" s="14"/>
      <c r="C314" s="8"/>
    </row>
    <row r="315" spans="2:3" ht="15.6" x14ac:dyDescent="0.3">
      <c r="B315" s="14"/>
      <c r="C315" s="8"/>
    </row>
    <row r="316" spans="2:3" ht="15.6" x14ac:dyDescent="0.3">
      <c r="B316" s="14"/>
      <c r="C316" s="8"/>
    </row>
    <row r="317" spans="2:3" ht="15.6" x14ac:dyDescent="0.3">
      <c r="B317" s="14"/>
      <c r="C317" s="8"/>
    </row>
    <row r="318" spans="2:3" ht="15.6" x14ac:dyDescent="0.3">
      <c r="B318" s="14"/>
      <c r="C318" s="8"/>
    </row>
    <row r="319" spans="2:3" ht="15.6" x14ac:dyDescent="0.3">
      <c r="B319" s="14"/>
      <c r="C319" s="8"/>
    </row>
    <row r="320" spans="2:3" ht="15.6" x14ac:dyDescent="0.3">
      <c r="B320" s="14"/>
      <c r="C320" s="8"/>
    </row>
    <row r="321" spans="2:3" ht="15.6" x14ac:dyDescent="0.3">
      <c r="B321" s="14"/>
      <c r="C321" s="8"/>
    </row>
    <row r="322" spans="2:3" ht="15.6" x14ac:dyDescent="0.3">
      <c r="B322" s="14"/>
      <c r="C32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E752-6BC6-49F6-8AF9-3F477CA1D579}">
  <dimension ref="B2:C331"/>
  <sheetViews>
    <sheetView workbookViewId="0">
      <selection activeCell="H13" sqref="H13"/>
    </sheetView>
  </sheetViews>
  <sheetFormatPr defaultRowHeight="14.4" x14ac:dyDescent="0.3"/>
  <cols>
    <col min="2" max="3" width="8.88671875" style="3"/>
  </cols>
  <sheetData>
    <row r="2" spans="2:3" x14ac:dyDescent="0.3">
      <c r="B2" s="29" t="s">
        <v>62</v>
      </c>
      <c r="C2" s="29" t="s">
        <v>499</v>
      </c>
    </row>
    <row r="3" spans="2:3" x14ac:dyDescent="0.3">
      <c r="B3" s="9" t="s">
        <v>67</v>
      </c>
      <c r="C3" s="10" t="s">
        <v>68</v>
      </c>
    </row>
    <row r="4" spans="2:3" x14ac:dyDescent="0.3">
      <c r="B4" s="9" t="s">
        <v>75</v>
      </c>
      <c r="C4" s="10" t="s">
        <v>68</v>
      </c>
    </row>
    <row r="5" spans="2:3" x14ac:dyDescent="0.3">
      <c r="B5" s="9" t="s">
        <v>80</v>
      </c>
      <c r="C5" s="10" t="s">
        <v>68</v>
      </c>
    </row>
    <row r="6" spans="2:3" x14ac:dyDescent="0.3">
      <c r="B6" s="9" t="s">
        <v>87</v>
      </c>
      <c r="C6" s="10" t="s">
        <v>88</v>
      </c>
    </row>
    <row r="7" spans="2:3" x14ac:dyDescent="0.3">
      <c r="B7" s="9" t="s">
        <v>71</v>
      </c>
      <c r="C7" s="10" t="s">
        <v>88</v>
      </c>
    </row>
    <row r="8" spans="2:3" x14ac:dyDescent="0.3">
      <c r="B8" s="9" t="s">
        <v>97</v>
      </c>
      <c r="C8" s="10" t="s">
        <v>98</v>
      </c>
    </row>
    <row r="9" spans="2:3" x14ac:dyDescent="0.3">
      <c r="B9" s="9" t="s">
        <v>83</v>
      </c>
      <c r="C9" s="10" t="s">
        <v>98</v>
      </c>
    </row>
    <row r="10" spans="2:3" x14ac:dyDescent="0.3">
      <c r="B10" s="9" t="s">
        <v>101</v>
      </c>
      <c r="C10" s="10" t="s">
        <v>98</v>
      </c>
    </row>
    <row r="11" spans="2:3" x14ac:dyDescent="0.3">
      <c r="B11" s="9" t="s">
        <v>108</v>
      </c>
      <c r="C11" s="10" t="s">
        <v>98</v>
      </c>
    </row>
    <row r="12" spans="2:3" x14ac:dyDescent="0.3">
      <c r="B12" s="9">
        <v>544</v>
      </c>
      <c r="C12" s="10" t="s">
        <v>496</v>
      </c>
    </row>
    <row r="13" spans="2:3" x14ac:dyDescent="0.3">
      <c r="B13" s="9">
        <v>545</v>
      </c>
      <c r="C13" s="10" t="s">
        <v>496</v>
      </c>
    </row>
    <row r="14" spans="2:3" x14ac:dyDescent="0.3">
      <c r="B14" s="9">
        <v>555</v>
      </c>
      <c r="C14" s="10" t="s">
        <v>88</v>
      </c>
    </row>
    <row r="15" spans="2:3" x14ac:dyDescent="0.3">
      <c r="B15" s="9">
        <v>566</v>
      </c>
      <c r="C15" s="10" t="s">
        <v>88</v>
      </c>
    </row>
    <row r="16" spans="2:3" x14ac:dyDescent="0.3">
      <c r="B16" s="9">
        <v>588</v>
      </c>
      <c r="C16" s="10" t="s">
        <v>498</v>
      </c>
    </row>
    <row r="17" spans="2:3" x14ac:dyDescent="0.3">
      <c r="B17" s="9">
        <v>562</v>
      </c>
      <c r="C17" s="10" t="s">
        <v>88</v>
      </c>
    </row>
    <row r="18" spans="2:3" x14ac:dyDescent="0.3">
      <c r="B18" s="9">
        <v>574</v>
      </c>
      <c r="C18" s="10" t="s">
        <v>112</v>
      </c>
    </row>
    <row r="19" spans="2:3" x14ac:dyDescent="0.3">
      <c r="B19" s="9">
        <v>580</v>
      </c>
      <c r="C19" s="10" t="s">
        <v>112</v>
      </c>
    </row>
    <row r="20" spans="2:3" x14ac:dyDescent="0.3">
      <c r="B20" s="9">
        <v>650</v>
      </c>
      <c r="C20" s="10" t="s">
        <v>112</v>
      </c>
    </row>
    <row r="21" spans="2:3" x14ac:dyDescent="0.3">
      <c r="B21" s="9">
        <v>670</v>
      </c>
      <c r="C21" s="10" t="s">
        <v>112</v>
      </c>
    </row>
    <row r="22" spans="2:3" x14ac:dyDescent="0.3">
      <c r="B22" s="9">
        <v>700</v>
      </c>
      <c r="C22" s="10" t="s">
        <v>112</v>
      </c>
    </row>
    <row r="23" spans="2:3" x14ac:dyDescent="0.3">
      <c r="B23" s="9">
        <v>720</v>
      </c>
      <c r="C23" s="10" t="s">
        <v>112</v>
      </c>
    </row>
    <row r="24" spans="2:3" x14ac:dyDescent="0.3">
      <c r="B24" s="9" t="s">
        <v>72</v>
      </c>
      <c r="C24" s="10" t="s">
        <v>68</v>
      </c>
    </row>
    <row r="25" spans="2:3" x14ac:dyDescent="0.3">
      <c r="B25" s="9" t="s">
        <v>135</v>
      </c>
      <c r="C25" s="10" t="s">
        <v>88</v>
      </c>
    </row>
    <row r="26" spans="2:3" x14ac:dyDescent="0.3">
      <c r="B26" s="9" t="s">
        <v>94</v>
      </c>
      <c r="C26" s="10" t="s">
        <v>495</v>
      </c>
    </row>
    <row r="27" spans="2:3" x14ac:dyDescent="0.3">
      <c r="B27" s="9" t="s">
        <v>122</v>
      </c>
      <c r="C27" s="10" t="s">
        <v>495</v>
      </c>
    </row>
    <row r="28" spans="2:3" x14ac:dyDescent="0.3">
      <c r="B28" s="9" t="s">
        <v>142</v>
      </c>
      <c r="C28" s="10" t="s">
        <v>88</v>
      </c>
    </row>
    <row r="29" spans="2:3" x14ac:dyDescent="0.3">
      <c r="B29" s="9" t="s">
        <v>144</v>
      </c>
      <c r="C29" s="10" t="s">
        <v>112</v>
      </c>
    </row>
    <row r="30" spans="2:3" x14ac:dyDescent="0.3">
      <c r="B30" s="9" t="s">
        <v>147</v>
      </c>
      <c r="C30" s="10" t="s">
        <v>112</v>
      </c>
    </row>
    <row r="31" spans="2:3" x14ac:dyDescent="0.3">
      <c r="B31" s="9" t="s">
        <v>150</v>
      </c>
      <c r="C31" s="10" t="s">
        <v>112</v>
      </c>
    </row>
    <row r="32" spans="2:3" x14ac:dyDescent="0.3">
      <c r="B32" s="9" t="s">
        <v>153</v>
      </c>
      <c r="C32" s="10" t="s">
        <v>112</v>
      </c>
    </row>
    <row r="33" spans="2:3" x14ac:dyDescent="0.3">
      <c r="B33" s="9" t="s">
        <v>156</v>
      </c>
      <c r="C33" s="10" t="s">
        <v>112</v>
      </c>
    </row>
    <row r="34" spans="2:3" x14ac:dyDescent="0.3">
      <c r="B34" s="9" t="s">
        <v>159</v>
      </c>
      <c r="C34" s="10" t="s">
        <v>112</v>
      </c>
    </row>
    <row r="35" spans="2:3" x14ac:dyDescent="0.3">
      <c r="B35" s="9" t="s">
        <v>160</v>
      </c>
      <c r="C35" s="10" t="s">
        <v>112</v>
      </c>
    </row>
    <row r="36" spans="2:3" x14ac:dyDescent="0.3">
      <c r="B36" s="9" t="s">
        <v>162</v>
      </c>
      <c r="C36" s="10" t="s">
        <v>112</v>
      </c>
    </row>
    <row r="37" spans="2:3" x14ac:dyDescent="0.3">
      <c r="B37" s="9" t="s">
        <v>164</v>
      </c>
      <c r="C37" s="10" t="s">
        <v>496</v>
      </c>
    </row>
    <row r="38" spans="2:3" x14ac:dyDescent="0.3">
      <c r="B38" s="9" t="s">
        <v>167</v>
      </c>
      <c r="C38" s="10" t="s">
        <v>112</v>
      </c>
    </row>
    <row r="39" spans="2:3" x14ac:dyDescent="0.3">
      <c r="B39" s="9" t="s">
        <v>169</v>
      </c>
      <c r="C39" s="10" t="s">
        <v>497</v>
      </c>
    </row>
    <row r="40" spans="2:3" x14ac:dyDescent="0.3">
      <c r="B40" s="9" t="s">
        <v>172</v>
      </c>
      <c r="C40" s="10" t="s">
        <v>112</v>
      </c>
    </row>
    <row r="41" spans="2:3" x14ac:dyDescent="0.3">
      <c r="B41" s="8"/>
      <c r="C41" s="8"/>
    </row>
    <row r="42" spans="2:3" x14ac:dyDescent="0.3">
      <c r="B42" s="8"/>
      <c r="C42" s="8"/>
    </row>
    <row r="43" spans="2:3" x14ac:dyDescent="0.3">
      <c r="B43" s="8"/>
      <c r="C43" s="8"/>
    </row>
    <row r="44" spans="2:3" x14ac:dyDescent="0.3">
      <c r="B44" s="8"/>
      <c r="C44" s="8"/>
    </row>
    <row r="45" spans="2:3" x14ac:dyDescent="0.3">
      <c r="B45" s="8"/>
      <c r="C45" s="8"/>
    </row>
    <row r="46" spans="2:3" x14ac:dyDescent="0.3">
      <c r="B46" s="8"/>
      <c r="C46" s="8"/>
    </row>
    <row r="47" spans="2:3" x14ac:dyDescent="0.3">
      <c r="B47" s="8"/>
      <c r="C47" s="8"/>
    </row>
    <row r="48" spans="2:3" x14ac:dyDescent="0.3">
      <c r="B48" s="8"/>
      <c r="C48" s="8"/>
    </row>
    <row r="49" spans="2:3" x14ac:dyDescent="0.3">
      <c r="B49" s="8"/>
      <c r="C49" s="8"/>
    </row>
    <row r="50" spans="2:3" x14ac:dyDescent="0.3">
      <c r="B50" s="8"/>
      <c r="C50" s="8"/>
    </row>
    <row r="51" spans="2:3" x14ac:dyDescent="0.3">
      <c r="B51" s="8"/>
      <c r="C51" s="8"/>
    </row>
    <row r="52" spans="2:3" x14ac:dyDescent="0.3">
      <c r="B52" s="8"/>
      <c r="C52" s="8"/>
    </row>
    <row r="53" spans="2:3" x14ac:dyDescent="0.3">
      <c r="B53" s="8"/>
      <c r="C53" s="8"/>
    </row>
    <row r="54" spans="2:3" x14ac:dyDescent="0.3">
      <c r="B54" s="8"/>
      <c r="C54" s="8"/>
    </row>
    <row r="55" spans="2:3" x14ac:dyDescent="0.3">
      <c r="B55" s="8"/>
      <c r="C55" s="8"/>
    </row>
    <row r="56" spans="2:3" x14ac:dyDescent="0.3">
      <c r="B56" s="8"/>
      <c r="C56" s="8"/>
    </row>
    <row r="57" spans="2:3" x14ac:dyDescent="0.3">
      <c r="B57" s="8"/>
      <c r="C57" s="8"/>
    </row>
    <row r="58" spans="2:3" x14ac:dyDescent="0.3">
      <c r="B58" s="8"/>
      <c r="C58" s="8"/>
    </row>
    <row r="59" spans="2:3" x14ac:dyDescent="0.3">
      <c r="B59" s="8"/>
      <c r="C59" s="8"/>
    </row>
    <row r="60" spans="2:3" x14ac:dyDescent="0.3">
      <c r="B60" s="8"/>
      <c r="C60" s="8"/>
    </row>
    <row r="61" spans="2:3" x14ac:dyDescent="0.3">
      <c r="B61" s="8"/>
      <c r="C61" s="8"/>
    </row>
    <row r="62" spans="2:3" x14ac:dyDescent="0.3">
      <c r="B62" s="8"/>
      <c r="C62" s="8"/>
    </row>
    <row r="63" spans="2:3" x14ac:dyDescent="0.3">
      <c r="B63" s="8"/>
      <c r="C63" s="8"/>
    </row>
    <row r="64" spans="2:3" x14ac:dyDescent="0.3">
      <c r="B64" s="8"/>
      <c r="C64" s="8"/>
    </row>
    <row r="65" spans="2:3" x14ac:dyDescent="0.3">
      <c r="B65" s="8"/>
      <c r="C65" s="8"/>
    </row>
    <row r="66" spans="2:3" x14ac:dyDescent="0.3">
      <c r="B66" s="8"/>
      <c r="C66" s="8"/>
    </row>
    <row r="67" spans="2:3" x14ac:dyDescent="0.3">
      <c r="B67" s="8"/>
      <c r="C67" s="8"/>
    </row>
    <row r="68" spans="2:3" x14ac:dyDescent="0.3">
      <c r="B68" s="8"/>
      <c r="C68" s="8"/>
    </row>
    <row r="69" spans="2:3" x14ac:dyDescent="0.3">
      <c r="B69" s="8"/>
      <c r="C69" s="8"/>
    </row>
    <row r="70" spans="2:3" x14ac:dyDescent="0.3">
      <c r="B70" s="8"/>
      <c r="C70" s="8"/>
    </row>
    <row r="71" spans="2:3" x14ac:dyDescent="0.3">
      <c r="B71" s="8"/>
      <c r="C71" s="8"/>
    </row>
    <row r="72" spans="2:3" x14ac:dyDescent="0.3">
      <c r="B72" s="8"/>
      <c r="C72" s="8"/>
    </row>
    <row r="73" spans="2:3" x14ac:dyDescent="0.3">
      <c r="B73" s="8"/>
      <c r="C73" s="8"/>
    </row>
    <row r="74" spans="2:3" x14ac:dyDescent="0.3">
      <c r="B74" s="8"/>
      <c r="C74" s="8"/>
    </row>
    <row r="75" spans="2:3" x14ac:dyDescent="0.3">
      <c r="B75" s="8"/>
      <c r="C75" s="8"/>
    </row>
    <row r="76" spans="2:3" x14ac:dyDescent="0.3">
      <c r="B76" s="8"/>
      <c r="C76" s="8"/>
    </row>
    <row r="77" spans="2:3" x14ac:dyDescent="0.3">
      <c r="B77" s="8"/>
      <c r="C77" s="8"/>
    </row>
    <row r="78" spans="2:3" x14ac:dyDescent="0.3">
      <c r="B78" s="8"/>
      <c r="C78" s="8"/>
    </row>
    <row r="79" spans="2:3" x14ac:dyDescent="0.3">
      <c r="B79" s="8"/>
      <c r="C79" s="8"/>
    </row>
    <row r="80" spans="2:3" x14ac:dyDescent="0.3">
      <c r="B80" s="8"/>
      <c r="C80" s="8"/>
    </row>
    <row r="81" spans="2:3" x14ac:dyDescent="0.3">
      <c r="B81" s="8"/>
      <c r="C81" s="8"/>
    </row>
    <row r="82" spans="2:3" x14ac:dyDescent="0.3">
      <c r="B82" s="8"/>
      <c r="C82" s="8"/>
    </row>
    <row r="83" spans="2:3" x14ac:dyDescent="0.3">
      <c r="B83" s="8"/>
      <c r="C83" s="8"/>
    </row>
    <row r="84" spans="2:3" x14ac:dyDescent="0.3">
      <c r="B84" s="8"/>
      <c r="C84" s="8"/>
    </row>
    <row r="85" spans="2:3" x14ac:dyDescent="0.3">
      <c r="B85" s="8"/>
      <c r="C85" s="8"/>
    </row>
    <row r="86" spans="2:3" x14ac:dyDescent="0.3">
      <c r="B86" s="8"/>
      <c r="C86" s="8"/>
    </row>
    <row r="87" spans="2:3" x14ac:dyDescent="0.3">
      <c r="B87" s="8"/>
      <c r="C87" s="8"/>
    </row>
    <row r="88" spans="2:3" x14ac:dyDescent="0.3">
      <c r="B88" s="8"/>
      <c r="C88" s="8"/>
    </row>
    <row r="89" spans="2:3" x14ac:dyDescent="0.3">
      <c r="B89" s="8"/>
      <c r="C89" s="8"/>
    </row>
    <row r="90" spans="2:3" x14ac:dyDescent="0.3">
      <c r="B90" s="8"/>
      <c r="C90" s="8"/>
    </row>
    <row r="91" spans="2:3" x14ac:dyDescent="0.3">
      <c r="B91" s="8"/>
      <c r="C91" s="8"/>
    </row>
    <row r="92" spans="2:3" x14ac:dyDescent="0.3">
      <c r="B92" s="8"/>
      <c r="C92" s="8"/>
    </row>
    <row r="93" spans="2:3" x14ac:dyDescent="0.3">
      <c r="B93" s="8"/>
      <c r="C93" s="8"/>
    </row>
    <row r="94" spans="2:3" x14ac:dyDescent="0.3">
      <c r="B94" s="8"/>
      <c r="C94" s="8"/>
    </row>
    <row r="95" spans="2:3" x14ac:dyDescent="0.3">
      <c r="B95" s="8"/>
      <c r="C95" s="8"/>
    </row>
    <row r="96" spans="2:3" x14ac:dyDescent="0.3">
      <c r="B96" s="8"/>
      <c r="C96" s="8"/>
    </row>
    <row r="97" spans="2:3" x14ac:dyDescent="0.3">
      <c r="B97" s="8"/>
      <c r="C97" s="8"/>
    </row>
    <row r="98" spans="2:3" x14ac:dyDescent="0.3">
      <c r="B98" s="8"/>
      <c r="C98" s="8"/>
    </row>
    <row r="99" spans="2:3" x14ac:dyDescent="0.3">
      <c r="B99" s="8"/>
      <c r="C99" s="8"/>
    </row>
    <row r="100" spans="2:3" x14ac:dyDescent="0.3">
      <c r="B100" s="8"/>
      <c r="C100" s="8"/>
    </row>
    <row r="101" spans="2:3" x14ac:dyDescent="0.3">
      <c r="B101" s="8"/>
      <c r="C101" s="8"/>
    </row>
    <row r="102" spans="2:3" x14ac:dyDescent="0.3">
      <c r="B102" s="8"/>
      <c r="C102" s="8"/>
    </row>
    <row r="103" spans="2:3" x14ac:dyDescent="0.3">
      <c r="B103" s="8"/>
      <c r="C103" s="8"/>
    </row>
    <row r="104" spans="2:3" x14ac:dyDescent="0.3">
      <c r="B104" s="8"/>
      <c r="C104" s="8"/>
    </row>
    <row r="105" spans="2:3" x14ac:dyDescent="0.3">
      <c r="B105" s="8"/>
      <c r="C105" s="8"/>
    </row>
    <row r="106" spans="2:3" x14ac:dyDescent="0.3">
      <c r="B106" s="8"/>
      <c r="C106" s="8"/>
    </row>
    <row r="107" spans="2:3" x14ac:dyDescent="0.3">
      <c r="B107" s="8"/>
      <c r="C107" s="8"/>
    </row>
    <row r="108" spans="2:3" x14ac:dyDescent="0.3">
      <c r="B108" s="8"/>
      <c r="C108" s="8"/>
    </row>
    <row r="109" spans="2:3" x14ac:dyDescent="0.3">
      <c r="B109" s="8"/>
      <c r="C109" s="8"/>
    </row>
    <row r="110" spans="2:3" x14ac:dyDescent="0.3">
      <c r="B110" s="8"/>
      <c r="C110" s="8"/>
    </row>
    <row r="111" spans="2:3" x14ac:dyDescent="0.3">
      <c r="B111" s="8"/>
      <c r="C111" s="8"/>
    </row>
    <row r="112" spans="2:3" x14ac:dyDescent="0.3">
      <c r="B112" s="8"/>
      <c r="C112" s="8"/>
    </row>
    <row r="113" spans="2:3" x14ac:dyDescent="0.3">
      <c r="B113" s="8"/>
      <c r="C113" s="8"/>
    </row>
    <row r="114" spans="2:3" x14ac:dyDescent="0.3">
      <c r="B114" s="8"/>
      <c r="C114" s="8"/>
    </row>
    <row r="115" spans="2:3" x14ac:dyDescent="0.3">
      <c r="B115" s="8"/>
      <c r="C115" s="8"/>
    </row>
    <row r="116" spans="2:3" x14ac:dyDescent="0.3">
      <c r="B116" s="8"/>
      <c r="C116" s="8"/>
    </row>
    <row r="117" spans="2:3" x14ac:dyDescent="0.3">
      <c r="B117" s="8"/>
      <c r="C117" s="8"/>
    </row>
    <row r="118" spans="2:3" x14ac:dyDescent="0.3">
      <c r="B118" s="8"/>
      <c r="C118" s="8"/>
    </row>
    <row r="119" spans="2:3" x14ac:dyDescent="0.3">
      <c r="B119" s="8"/>
      <c r="C119" s="8"/>
    </row>
    <row r="120" spans="2:3" x14ac:dyDescent="0.3">
      <c r="B120" s="8"/>
      <c r="C120" s="8"/>
    </row>
    <row r="121" spans="2:3" x14ac:dyDescent="0.3">
      <c r="B121" s="8"/>
      <c r="C121" s="8"/>
    </row>
    <row r="122" spans="2:3" x14ac:dyDescent="0.3">
      <c r="B122" s="8"/>
      <c r="C122" s="8"/>
    </row>
    <row r="123" spans="2:3" x14ac:dyDescent="0.3">
      <c r="B123" s="8"/>
      <c r="C123" s="8"/>
    </row>
    <row r="124" spans="2:3" x14ac:dyDescent="0.3">
      <c r="B124" s="8"/>
      <c r="C124" s="8"/>
    </row>
    <row r="125" spans="2:3" x14ac:dyDescent="0.3">
      <c r="B125" s="8"/>
      <c r="C125" s="8"/>
    </row>
    <row r="126" spans="2:3" x14ac:dyDescent="0.3">
      <c r="B126" s="8"/>
      <c r="C126" s="8"/>
    </row>
    <row r="127" spans="2:3" x14ac:dyDescent="0.3">
      <c r="B127" s="8"/>
      <c r="C127" s="8"/>
    </row>
    <row r="128" spans="2:3" x14ac:dyDescent="0.3">
      <c r="B128" s="8"/>
      <c r="C128" s="8"/>
    </row>
    <row r="129" spans="2:3" x14ac:dyDescent="0.3">
      <c r="B129" s="8"/>
      <c r="C129" s="8"/>
    </row>
    <row r="130" spans="2:3" x14ac:dyDescent="0.3">
      <c r="B130" s="8"/>
      <c r="C130" s="8"/>
    </row>
    <row r="131" spans="2:3" x14ac:dyDescent="0.3">
      <c r="B131" s="8"/>
      <c r="C131" s="8"/>
    </row>
    <row r="132" spans="2:3" x14ac:dyDescent="0.3">
      <c r="B132" s="8"/>
      <c r="C132" s="8"/>
    </row>
    <row r="133" spans="2:3" x14ac:dyDescent="0.3">
      <c r="B133" s="8"/>
      <c r="C133" s="8"/>
    </row>
    <row r="134" spans="2:3" x14ac:dyDescent="0.3">
      <c r="B134" s="8"/>
      <c r="C134" s="8"/>
    </row>
    <row r="135" spans="2:3" x14ac:dyDescent="0.3">
      <c r="B135" s="8"/>
      <c r="C135" s="8"/>
    </row>
    <row r="136" spans="2:3" x14ac:dyDescent="0.3">
      <c r="B136" s="8"/>
      <c r="C136" s="8"/>
    </row>
    <row r="137" spans="2:3" x14ac:dyDescent="0.3">
      <c r="B137" s="8"/>
      <c r="C137" s="8"/>
    </row>
    <row r="138" spans="2:3" x14ac:dyDescent="0.3">
      <c r="B138" s="8"/>
      <c r="C138" s="8"/>
    </row>
    <row r="139" spans="2:3" x14ac:dyDescent="0.3">
      <c r="B139" s="8"/>
      <c r="C139" s="8"/>
    </row>
    <row r="140" spans="2:3" x14ac:dyDescent="0.3">
      <c r="B140" s="8"/>
      <c r="C140" s="8"/>
    </row>
    <row r="141" spans="2:3" x14ac:dyDescent="0.3">
      <c r="B141" s="8"/>
      <c r="C141" s="8"/>
    </row>
    <row r="142" spans="2:3" x14ac:dyDescent="0.3">
      <c r="B142" s="8"/>
      <c r="C142" s="8"/>
    </row>
    <row r="143" spans="2:3" x14ac:dyDescent="0.3">
      <c r="B143" s="8"/>
      <c r="C143" s="8"/>
    </row>
    <row r="144" spans="2:3" x14ac:dyDescent="0.3">
      <c r="B144" s="8"/>
      <c r="C144" s="8"/>
    </row>
    <row r="145" spans="2:3" x14ac:dyDescent="0.3">
      <c r="B145" s="8"/>
      <c r="C145" s="8"/>
    </row>
    <row r="146" spans="2:3" x14ac:dyDescent="0.3">
      <c r="B146" s="8"/>
      <c r="C146" s="8"/>
    </row>
    <row r="147" spans="2:3" x14ac:dyDescent="0.3">
      <c r="B147" s="8"/>
      <c r="C147" s="8"/>
    </row>
    <row r="148" spans="2:3" x14ac:dyDescent="0.3">
      <c r="B148" s="8"/>
      <c r="C148" s="8"/>
    </row>
    <row r="149" spans="2:3" x14ac:dyDescent="0.3">
      <c r="B149" s="8"/>
      <c r="C149" s="8"/>
    </row>
    <row r="150" spans="2:3" x14ac:dyDescent="0.3">
      <c r="B150" s="8"/>
      <c r="C150" s="8"/>
    </row>
    <row r="151" spans="2:3" x14ac:dyDescent="0.3">
      <c r="B151" s="8"/>
      <c r="C151" s="8"/>
    </row>
    <row r="152" spans="2:3" x14ac:dyDescent="0.3">
      <c r="B152" s="8"/>
      <c r="C152" s="8"/>
    </row>
    <row r="153" spans="2:3" x14ac:dyDescent="0.3">
      <c r="B153" s="8"/>
      <c r="C153" s="8"/>
    </row>
    <row r="154" spans="2:3" x14ac:dyDescent="0.3">
      <c r="B154" s="8"/>
      <c r="C154" s="8"/>
    </row>
    <row r="155" spans="2:3" x14ac:dyDescent="0.3">
      <c r="B155" s="8"/>
      <c r="C155" s="8"/>
    </row>
    <row r="156" spans="2:3" x14ac:dyDescent="0.3">
      <c r="B156" s="8"/>
      <c r="C156" s="8"/>
    </row>
    <row r="157" spans="2:3" x14ac:dyDescent="0.3">
      <c r="B157" s="8"/>
      <c r="C157" s="8"/>
    </row>
    <row r="158" spans="2:3" x14ac:dyDescent="0.3">
      <c r="B158" s="8"/>
      <c r="C158" s="8"/>
    </row>
    <row r="159" spans="2:3" x14ac:dyDescent="0.3">
      <c r="B159" s="8"/>
      <c r="C159" s="8"/>
    </row>
    <row r="160" spans="2:3" x14ac:dyDescent="0.3">
      <c r="B160" s="8"/>
      <c r="C160" s="8"/>
    </row>
    <row r="161" spans="2:3" x14ac:dyDescent="0.3">
      <c r="B161" s="8"/>
      <c r="C161" s="8"/>
    </row>
    <row r="162" spans="2:3" x14ac:dyDescent="0.3">
      <c r="B162" s="8"/>
      <c r="C162" s="8"/>
    </row>
    <row r="163" spans="2:3" x14ac:dyDescent="0.3">
      <c r="B163" s="8"/>
      <c r="C163" s="8"/>
    </row>
    <row r="164" spans="2:3" x14ac:dyDescent="0.3">
      <c r="B164" s="8"/>
      <c r="C164" s="8"/>
    </row>
    <row r="165" spans="2:3" x14ac:dyDescent="0.3">
      <c r="B165" s="8"/>
      <c r="C165" s="8"/>
    </row>
    <row r="166" spans="2:3" x14ac:dyDescent="0.3">
      <c r="B166" s="8"/>
      <c r="C166" s="8"/>
    </row>
    <row r="167" spans="2:3" x14ac:dyDescent="0.3">
      <c r="B167" s="8"/>
      <c r="C167" s="8"/>
    </row>
    <row r="168" spans="2:3" x14ac:dyDescent="0.3">
      <c r="B168" s="8"/>
      <c r="C168" s="8"/>
    </row>
    <row r="169" spans="2:3" x14ac:dyDescent="0.3">
      <c r="B169" s="8"/>
      <c r="C169" s="8"/>
    </row>
    <row r="170" spans="2:3" x14ac:dyDescent="0.3">
      <c r="B170" s="8"/>
      <c r="C170" s="8"/>
    </row>
    <row r="171" spans="2:3" x14ac:dyDescent="0.3">
      <c r="B171" s="8"/>
      <c r="C171" s="8"/>
    </row>
    <row r="172" spans="2:3" x14ac:dyDescent="0.3">
      <c r="B172" s="8"/>
      <c r="C172" s="8"/>
    </row>
    <row r="173" spans="2:3" x14ac:dyDescent="0.3">
      <c r="B173" s="8"/>
      <c r="C173" s="8"/>
    </row>
    <row r="174" spans="2:3" x14ac:dyDescent="0.3">
      <c r="B174" s="8"/>
      <c r="C174" s="8"/>
    </row>
    <row r="175" spans="2:3" x14ac:dyDescent="0.3">
      <c r="B175" s="8"/>
      <c r="C175" s="8"/>
    </row>
    <row r="176" spans="2:3" x14ac:dyDescent="0.3">
      <c r="B176" s="8"/>
      <c r="C176" s="8"/>
    </row>
    <row r="177" spans="2:3" x14ac:dyDescent="0.3">
      <c r="B177" s="8"/>
      <c r="C177" s="8"/>
    </row>
    <row r="178" spans="2:3" x14ac:dyDescent="0.3">
      <c r="B178" s="8"/>
      <c r="C178" s="8"/>
    </row>
    <row r="179" spans="2:3" x14ac:dyDescent="0.3">
      <c r="B179" s="8"/>
      <c r="C179" s="8"/>
    </row>
    <row r="180" spans="2:3" x14ac:dyDescent="0.3">
      <c r="B180" s="8"/>
      <c r="C180" s="8"/>
    </row>
    <row r="181" spans="2:3" x14ac:dyDescent="0.3">
      <c r="B181" s="8"/>
      <c r="C181" s="8"/>
    </row>
    <row r="182" spans="2:3" x14ac:dyDescent="0.3">
      <c r="B182" s="8"/>
      <c r="C182" s="8"/>
    </row>
    <row r="183" spans="2:3" x14ac:dyDescent="0.3">
      <c r="B183" s="8"/>
      <c r="C183" s="8"/>
    </row>
    <row r="184" spans="2:3" x14ac:dyDescent="0.3">
      <c r="B184" s="8"/>
      <c r="C184" s="8"/>
    </row>
    <row r="185" spans="2:3" x14ac:dyDescent="0.3">
      <c r="B185" s="8"/>
      <c r="C185" s="8"/>
    </row>
    <row r="186" spans="2:3" x14ac:dyDescent="0.3">
      <c r="B186" s="8"/>
      <c r="C186" s="8"/>
    </row>
    <row r="187" spans="2:3" x14ac:dyDescent="0.3">
      <c r="B187" s="8"/>
      <c r="C187" s="8"/>
    </row>
    <row r="188" spans="2:3" x14ac:dyDescent="0.3">
      <c r="B188" s="8"/>
      <c r="C188" s="8"/>
    </row>
    <row r="189" spans="2:3" x14ac:dyDescent="0.3">
      <c r="B189" s="8"/>
      <c r="C189" s="8"/>
    </row>
    <row r="190" spans="2:3" x14ac:dyDescent="0.3">
      <c r="B190" s="8"/>
      <c r="C190" s="8"/>
    </row>
    <row r="191" spans="2:3" x14ac:dyDescent="0.3">
      <c r="B191" s="8"/>
      <c r="C191" s="8"/>
    </row>
    <row r="192" spans="2:3" x14ac:dyDescent="0.3">
      <c r="B192" s="8"/>
      <c r="C192" s="8"/>
    </row>
    <row r="193" spans="2:3" x14ac:dyDescent="0.3">
      <c r="B193" s="8"/>
      <c r="C193" s="8"/>
    </row>
    <row r="194" spans="2:3" x14ac:dyDescent="0.3">
      <c r="B194" s="8"/>
      <c r="C194" s="8"/>
    </row>
    <row r="195" spans="2:3" x14ac:dyDescent="0.3">
      <c r="B195" s="8"/>
      <c r="C195" s="8"/>
    </row>
    <row r="196" spans="2:3" x14ac:dyDescent="0.3">
      <c r="B196" s="8"/>
      <c r="C196" s="8"/>
    </row>
    <row r="197" spans="2:3" x14ac:dyDescent="0.3">
      <c r="B197" s="8"/>
      <c r="C197" s="8"/>
    </row>
    <row r="198" spans="2:3" x14ac:dyDescent="0.3">
      <c r="B198" s="8"/>
      <c r="C198" s="8"/>
    </row>
    <row r="199" spans="2:3" x14ac:dyDescent="0.3">
      <c r="B199" s="8"/>
      <c r="C199" s="8"/>
    </row>
    <row r="200" spans="2:3" x14ac:dyDescent="0.3">
      <c r="B200" s="8"/>
      <c r="C200" s="8"/>
    </row>
    <row r="201" spans="2:3" x14ac:dyDescent="0.3">
      <c r="B201" s="8"/>
      <c r="C201" s="8"/>
    </row>
    <row r="202" spans="2:3" x14ac:dyDescent="0.3">
      <c r="B202" s="8"/>
      <c r="C202" s="8"/>
    </row>
    <row r="203" spans="2:3" x14ac:dyDescent="0.3">
      <c r="B203" s="8"/>
      <c r="C203" s="8"/>
    </row>
    <row r="204" spans="2:3" x14ac:dyDescent="0.3">
      <c r="B204" s="8"/>
      <c r="C204" s="8"/>
    </row>
    <row r="205" spans="2:3" x14ac:dyDescent="0.3">
      <c r="B205" s="8"/>
      <c r="C205" s="8"/>
    </row>
    <row r="206" spans="2:3" x14ac:dyDescent="0.3">
      <c r="B206" s="8"/>
      <c r="C206" s="8"/>
    </row>
    <row r="207" spans="2:3" x14ac:dyDescent="0.3">
      <c r="B207" s="8"/>
      <c r="C207" s="8"/>
    </row>
    <row r="208" spans="2:3" x14ac:dyDescent="0.3">
      <c r="B208" s="8"/>
      <c r="C208" s="8"/>
    </row>
    <row r="209" spans="2:3" x14ac:dyDescent="0.3">
      <c r="B209" s="8"/>
      <c r="C209" s="8"/>
    </row>
    <row r="210" spans="2:3" x14ac:dyDescent="0.3">
      <c r="B210" s="8"/>
      <c r="C210" s="8"/>
    </row>
    <row r="211" spans="2:3" x14ac:dyDescent="0.3">
      <c r="B211" s="8"/>
      <c r="C211" s="8"/>
    </row>
    <row r="212" spans="2:3" x14ac:dyDescent="0.3">
      <c r="B212" s="8"/>
      <c r="C212" s="8"/>
    </row>
    <row r="213" spans="2:3" x14ac:dyDescent="0.3">
      <c r="B213" s="8"/>
      <c r="C213" s="8"/>
    </row>
    <row r="214" spans="2:3" x14ac:dyDescent="0.3">
      <c r="B214" s="8"/>
      <c r="C214" s="8"/>
    </row>
    <row r="215" spans="2:3" x14ac:dyDescent="0.3">
      <c r="B215" s="8"/>
      <c r="C215" s="8"/>
    </row>
    <row r="216" spans="2:3" x14ac:dyDescent="0.3">
      <c r="B216" s="8"/>
      <c r="C216" s="8"/>
    </row>
    <row r="217" spans="2:3" x14ac:dyDescent="0.3">
      <c r="B217" s="8"/>
      <c r="C217" s="8"/>
    </row>
    <row r="218" spans="2:3" x14ac:dyDescent="0.3">
      <c r="B218" s="8"/>
      <c r="C218" s="8"/>
    </row>
    <row r="219" spans="2:3" x14ac:dyDescent="0.3">
      <c r="B219" s="8"/>
      <c r="C219" s="8"/>
    </row>
    <row r="220" spans="2:3" x14ac:dyDescent="0.3">
      <c r="B220" s="8"/>
      <c r="C220" s="8"/>
    </row>
    <row r="221" spans="2:3" x14ac:dyDescent="0.3">
      <c r="B221" s="8"/>
      <c r="C221" s="8"/>
    </row>
    <row r="222" spans="2:3" x14ac:dyDescent="0.3">
      <c r="B222" s="8"/>
      <c r="C222" s="8"/>
    </row>
    <row r="223" spans="2:3" x14ac:dyDescent="0.3">
      <c r="B223" s="8"/>
      <c r="C223" s="8"/>
    </row>
    <row r="224" spans="2:3" x14ac:dyDescent="0.3">
      <c r="B224" s="8"/>
      <c r="C224" s="8"/>
    </row>
    <row r="225" spans="2:3" x14ac:dyDescent="0.3">
      <c r="B225" s="8"/>
      <c r="C225" s="8"/>
    </row>
    <row r="226" spans="2:3" x14ac:dyDescent="0.3">
      <c r="B226" s="8"/>
      <c r="C226" s="8"/>
    </row>
    <row r="227" spans="2:3" x14ac:dyDescent="0.3">
      <c r="B227" s="8"/>
      <c r="C227" s="8"/>
    </row>
    <row r="228" spans="2:3" x14ac:dyDescent="0.3">
      <c r="B228" s="8"/>
      <c r="C228" s="8"/>
    </row>
    <row r="229" spans="2:3" x14ac:dyDescent="0.3">
      <c r="B229" s="8"/>
      <c r="C229" s="8"/>
    </row>
    <row r="230" spans="2:3" x14ac:dyDescent="0.3">
      <c r="B230" s="8"/>
      <c r="C230" s="8"/>
    </row>
    <row r="231" spans="2:3" x14ac:dyDescent="0.3">
      <c r="B231" s="8"/>
      <c r="C231" s="8"/>
    </row>
    <row r="232" spans="2:3" x14ac:dyDescent="0.3">
      <c r="B232" s="8"/>
      <c r="C232" s="8"/>
    </row>
    <row r="233" spans="2:3" x14ac:dyDescent="0.3">
      <c r="B233" s="8"/>
      <c r="C233" s="8"/>
    </row>
    <row r="234" spans="2:3" x14ac:dyDescent="0.3">
      <c r="B234" s="8"/>
      <c r="C234" s="8"/>
    </row>
    <row r="235" spans="2:3" x14ac:dyDescent="0.3">
      <c r="B235" s="8"/>
      <c r="C235" s="8"/>
    </row>
    <row r="236" spans="2:3" x14ac:dyDescent="0.3">
      <c r="B236" s="8"/>
      <c r="C236" s="8"/>
    </row>
    <row r="237" spans="2:3" x14ac:dyDescent="0.3">
      <c r="B237" s="8"/>
      <c r="C237" s="8"/>
    </row>
    <row r="238" spans="2:3" x14ac:dyDescent="0.3">
      <c r="B238" s="8"/>
      <c r="C238" s="8"/>
    </row>
    <row r="239" spans="2:3" x14ac:dyDescent="0.3">
      <c r="B239" s="8"/>
      <c r="C239" s="8"/>
    </row>
    <row r="240" spans="2:3" x14ac:dyDescent="0.3">
      <c r="B240" s="8"/>
      <c r="C240" s="8"/>
    </row>
    <row r="241" spans="2:3" x14ac:dyDescent="0.3">
      <c r="B241" s="8"/>
      <c r="C241" s="8"/>
    </row>
    <row r="242" spans="2:3" x14ac:dyDescent="0.3">
      <c r="B242" s="8"/>
      <c r="C242" s="8"/>
    </row>
    <row r="243" spans="2:3" x14ac:dyDescent="0.3">
      <c r="B243" s="8"/>
      <c r="C243" s="8"/>
    </row>
    <row r="244" spans="2:3" x14ac:dyDescent="0.3">
      <c r="B244" s="8"/>
      <c r="C244" s="8"/>
    </row>
    <row r="245" spans="2:3" x14ac:dyDescent="0.3">
      <c r="B245" s="8"/>
      <c r="C245" s="8"/>
    </row>
    <row r="246" spans="2:3" x14ac:dyDescent="0.3">
      <c r="B246" s="8"/>
      <c r="C246" s="8"/>
    </row>
    <row r="247" spans="2:3" x14ac:dyDescent="0.3">
      <c r="B247" s="8"/>
      <c r="C247" s="8"/>
    </row>
    <row r="248" spans="2:3" x14ac:dyDescent="0.3">
      <c r="B248" s="8"/>
      <c r="C248" s="8"/>
    </row>
    <row r="249" spans="2:3" x14ac:dyDescent="0.3">
      <c r="B249" s="8"/>
      <c r="C249" s="8"/>
    </row>
    <row r="250" spans="2:3" x14ac:dyDescent="0.3">
      <c r="B250" s="8"/>
      <c r="C250" s="8"/>
    </row>
    <row r="251" spans="2:3" x14ac:dyDescent="0.3">
      <c r="B251" s="8"/>
      <c r="C251" s="8"/>
    </row>
    <row r="252" spans="2:3" x14ac:dyDescent="0.3">
      <c r="B252" s="8"/>
      <c r="C252" s="8"/>
    </row>
    <row r="253" spans="2:3" x14ac:dyDescent="0.3">
      <c r="B253" s="8"/>
      <c r="C253" s="8"/>
    </row>
    <row r="254" spans="2:3" x14ac:dyDescent="0.3">
      <c r="B254" s="8"/>
      <c r="C254" s="8"/>
    </row>
    <row r="255" spans="2:3" x14ac:dyDescent="0.3">
      <c r="B255" s="8"/>
      <c r="C255" s="8"/>
    </row>
    <row r="256" spans="2:3" x14ac:dyDescent="0.3">
      <c r="B256" s="8"/>
      <c r="C256" s="8"/>
    </row>
    <row r="257" spans="2:3" x14ac:dyDescent="0.3">
      <c r="B257" s="8"/>
      <c r="C257" s="8"/>
    </row>
    <row r="258" spans="2:3" x14ac:dyDescent="0.3">
      <c r="B258" s="8"/>
      <c r="C258" s="8"/>
    </row>
    <row r="259" spans="2:3" x14ac:dyDescent="0.3">
      <c r="B259" s="8"/>
      <c r="C259" s="8"/>
    </row>
    <row r="260" spans="2:3" x14ac:dyDescent="0.3">
      <c r="B260" s="8"/>
      <c r="C260" s="8"/>
    </row>
    <row r="261" spans="2:3" x14ac:dyDescent="0.3">
      <c r="B261" s="8"/>
      <c r="C261" s="8"/>
    </row>
    <row r="262" spans="2:3" x14ac:dyDescent="0.3">
      <c r="B262" s="8"/>
      <c r="C262" s="8"/>
    </row>
    <row r="263" spans="2:3" x14ac:dyDescent="0.3">
      <c r="B263" s="8"/>
      <c r="C263" s="8"/>
    </row>
    <row r="264" spans="2:3" x14ac:dyDescent="0.3">
      <c r="B264" s="8"/>
      <c r="C264" s="8"/>
    </row>
    <row r="265" spans="2:3" x14ac:dyDescent="0.3">
      <c r="B265" s="8"/>
      <c r="C265" s="8"/>
    </row>
    <row r="266" spans="2:3" x14ac:dyDescent="0.3">
      <c r="B266" s="8"/>
      <c r="C266" s="8"/>
    </row>
    <row r="267" spans="2:3" x14ac:dyDescent="0.3">
      <c r="B267" s="8"/>
      <c r="C267" s="8"/>
    </row>
    <row r="268" spans="2:3" x14ac:dyDescent="0.3">
      <c r="B268" s="8"/>
      <c r="C268" s="8"/>
    </row>
    <row r="269" spans="2:3" x14ac:dyDescent="0.3">
      <c r="B269" s="8"/>
      <c r="C269" s="8"/>
    </row>
    <row r="270" spans="2:3" x14ac:dyDescent="0.3">
      <c r="B270" s="8"/>
      <c r="C270" s="8"/>
    </row>
    <row r="271" spans="2:3" x14ac:dyDescent="0.3">
      <c r="B271" s="8"/>
      <c r="C271" s="8"/>
    </row>
    <row r="272" spans="2:3" x14ac:dyDescent="0.3">
      <c r="B272" s="8"/>
      <c r="C272" s="8"/>
    </row>
    <row r="273" spans="2:3" x14ac:dyDescent="0.3">
      <c r="B273" s="8"/>
      <c r="C273" s="8"/>
    </row>
    <row r="274" spans="2:3" x14ac:dyDescent="0.3">
      <c r="B274" s="8"/>
      <c r="C274" s="8"/>
    </row>
    <row r="275" spans="2:3" x14ac:dyDescent="0.3">
      <c r="B275" s="8"/>
      <c r="C275" s="8"/>
    </row>
    <row r="276" spans="2:3" x14ac:dyDescent="0.3">
      <c r="B276" s="8"/>
      <c r="C276" s="8"/>
    </row>
    <row r="277" spans="2:3" x14ac:dyDescent="0.3">
      <c r="B277" s="8"/>
      <c r="C277" s="8"/>
    </row>
    <row r="278" spans="2:3" x14ac:dyDescent="0.3">
      <c r="B278" s="8"/>
      <c r="C278" s="8"/>
    </row>
    <row r="279" spans="2:3" x14ac:dyDescent="0.3">
      <c r="B279" s="8"/>
      <c r="C279" s="8"/>
    </row>
    <row r="280" spans="2:3" x14ac:dyDescent="0.3">
      <c r="B280" s="8"/>
      <c r="C280" s="8"/>
    </row>
    <row r="281" spans="2:3" x14ac:dyDescent="0.3">
      <c r="B281" s="8"/>
      <c r="C281" s="8"/>
    </row>
    <row r="282" spans="2:3" x14ac:dyDescent="0.3">
      <c r="B282" s="8"/>
      <c r="C282" s="8"/>
    </row>
    <row r="283" spans="2:3" x14ac:dyDescent="0.3">
      <c r="B283" s="8"/>
      <c r="C283" s="8"/>
    </row>
    <row r="284" spans="2:3" x14ac:dyDescent="0.3">
      <c r="B284" s="8"/>
      <c r="C284" s="8"/>
    </row>
    <row r="285" spans="2:3" x14ac:dyDescent="0.3">
      <c r="B285" s="8"/>
      <c r="C285" s="8"/>
    </row>
    <row r="286" spans="2:3" x14ac:dyDescent="0.3">
      <c r="B286" s="8"/>
      <c r="C286" s="8"/>
    </row>
    <row r="287" spans="2:3" x14ac:dyDescent="0.3">
      <c r="B287" s="8"/>
      <c r="C287" s="8"/>
    </row>
    <row r="288" spans="2:3" x14ac:dyDescent="0.3">
      <c r="B288" s="8"/>
      <c r="C288" s="8"/>
    </row>
    <row r="289" spans="2:3" x14ac:dyDescent="0.3">
      <c r="B289" s="8"/>
      <c r="C289" s="8"/>
    </row>
    <row r="290" spans="2:3" x14ac:dyDescent="0.3">
      <c r="B290" s="8"/>
      <c r="C290" s="8"/>
    </row>
    <row r="291" spans="2:3" x14ac:dyDescent="0.3">
      <c r="B291" s="8"/>
      <c r="C291" s="8"/>
    </row>
    <row r="292" spans="2:3" x14ac:dyDescent="0.3">
      <c r="B292" s="8"/>
      <c r="C292" s="8"/>
    </row>
    <row r="293" spans="2:3" x14ac:dyDescent="0.3">
      <c r="B293" s="8"/>
      <c r="C293" s="8"/>
    </row>
    <row r="294" spans="2:3" x14ac:dyDescent="0.3">
      <c r="B294" s="8"/>
      <c r="C294" s="8"/>
    </row>
    <row r="295" spans="2:3" x14ac:dyDescent="0.3">
      <c r="B295" s="8"/>
      <c r="C295" s="8"/>
    </row>
    <row r="296" spans="2:3" x14ac:dyDescent="0.3">
      <c r="B296" s="8"/>
      <c r="C296" s="8"/>
    </row>
    <row r="297" spans="2:3" x14ac:dyDescent="0.3">
      <c r="B297" s="8"/>
      <c r="C297" s="8"/>
    </row>
    <row r="298" spans="2:3" x14ac:dyDescent="0.3">
      <c r="B298" s="8"/>
      <c r="C298" s="8"/>
    </row>
    <row r="299" spans="2:3" x14ac:dyDescent="0.3">
      <c r="B299" s="8"/>
      <c r="C299" s="8"/>
    </row>
    <row r="300" spans="2:3" x14ac:dyDescent="0.3">
      <c r="B300" s="8"/>
      <c r="C300" s="8"/>
    </row>
    <row r="301" spans="2:3" x14ac:dyDescent="0.3">
      <c r="B301" s="8"/>
      <c r="C301" s="8"/>
    </row>
    <row r="302" spans="2:3" x14ac:dyDescent="0.3">
      <c r="B302" s="8"/>
      <c r="C302" s="8"/>
    </row>
    <row r="303" spans="2:3" x14ac:dyDescent="0.3">
      <c r="B303" s="8"/>
      <c r="C303" s="8"/>
    </row>
    <row r="304" spans="2:3" x14ac:dyDescent="0.3">
      <c r="B304" s="8"/>
      <c r="C304" s="8"/>
    </row>
    <row r="305" spans="2:3" x14ac:dyDescent="0.3">
      <c r="B305" s="8"/>
      <c r="C305" s="8"/>
    </row>
    <row r="306" spans="2:3" x14ac:dyDescent="0.3">
      <c r="B306" s="8"/>
      <c r="C306" s="8"/>
    </row>
    <row r="307" spans="2:3" x14ac:dyDescent="0.3">
      <c r="B307" s="8"/>
      <c r="C307" s="8"/>
    </row>
    <row r="308" spans="2:3" x14ac:dyDescent="0.3">
      <c r="B308" s="8"/>
      <c r="C308" s="8"/>
    </row>
    <row r="309" spans="2:3" x14ac:dyDescent="0.3">
      <c r="B309" s="8"/>
      <c r="C309" s="8"/>
    </row>
    <row r="310" spans="2:3" x14ac:dyDescent="0.3">
      <c r="B310" s="8"/>
      <c r="C310" s="8"/>
    </row>
    <row r="311" spans="2:3" x14ac:dyDescent="0.3">
      <c r="B311" s="8"/>
      <c r="C311" s="8"/>
    </row>
    <row r="312" spans="2:3" x14ac:dyDescent="0.3">
      <c r="B312" s="8"/>
      <c r="C312" s="8"/>
    </row>
    <row r="313" spans="2:3" x14ac:dyDescent="0.3">
      <c r="B313" s="8"/>
      <c r="C313" s="8"/>
    </row>
    <row r="314" spans="2:3" x14ac:dyDescent="0.3">
      <c r="B314" s="8"/>
      <c r="C314" s="8"/>
    </row>
    <row r="315" spans="2:3" x14ac:dyDescent="0.3">
      <c r="B315" s="8"/>
      <c r="C315" s="8"/>
    </row>
    <row r="316" spans="2:3" x14ac:dyDescent="0.3">
      <c r="B316" s="8"/>
      <c r="C316" s="8"/>
    </row>
    <row r="317" spans="2:3" x14ac:dyDescent="0.3">
      <c r="B317" s="8"/>
      <c r="C317" s="8"/>
    </row>
    <row r="318" spans="2:3" x14ac:dyDescent="0.3">
      <c r="B318" s="8"/>
      <c r="C318" s="8"/>
    </row>
    <row r="319" spans="2:3" x14ac:dyDescent="0.3">
      <c r="B319" s="8"/>
      <c r="C319" s="8"/>
    </row>
    <row r="320" spans="2:3" x14ac:dyDescent="0.3">
      <c r="B320" s="8"/>
      <c r="C320" s="8"/>
    </row>
    <row r="321" spans="2:3" x14ac:dyDescent="0.3">
      <c r="B321" s="8"/>
      <c r="C321" s="8"/>
    </row>
    <row r="322" spans="2:3" x14ac:dyDescent="0.3">
      <c r="B322" s="8"/>
      <c r="C322" s="8"/>
    </row>
    <row r="323" spans="2:3" x14ac:dyDescent="0.3">
      <c r="B323" s="8"/>
      <c r="C323" s="8"/>
    </row>
    <row r="324" spans="2:3" x14ac:dyDescent="0.3">
      <c r="B324" s="8"/>
      <c r="C324" s="8"/>
    </row>
    <row r="325" spans="2:3" x14ac:dyDescent="0.3">
      <c r="B325" s="8"/>
      <c r="C325" s="8"/>
    </row>
    <row r="326" spans="2:3" x14ac:dyDescent="0.3">
      <c r="B326" s="8"/>
      <c r="C326" s="8"/>
    </row>
    <row r="327" spans="2:3" x14ac:dyDescent="0.3">
      <c r="B327" s="8"/>
      <c r="C327" s="8"/>
    </row>
    <row r="328" spans="2:3" x14ac:dyDescent="0.3">
      <c r="B328" s="8"/>
      <c r="C328" s="8"/>
    </row>
    <row r="329" spans="2:3" x14ac:dyDescent="0.3">
      <c r="B329" s="8"/>
      <c r="C329" s="8"/>
    </row>
    <row r="330" spans="2:3" x14ac:dyDescent="0.3">
      <c r="B330" s="8"/>
      <c r="C330" s="8"/>
    </row>
    <row r="331" spans="2:3" x14ac:dyDescent="0.3">
      <c r="B331" s="8"/>
      <c r="C33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123D-C0F3-4D83-9344-8A218D920263}">
  <dimension ref="B2:F670"/>
  <sheetViews>
    <sheetView workbookViewId="0">
      <selection activeCell="C26" sqref="C26"/>
    </sheetView>
  </sheetViews>
  <sheetFormatPr defaultRowHeight="14.4" x14ac:dyDescent="0.3"/>
  <cols>
    <col min="2" max="2" width="19.77734375" bestFit="1" customWidth="1"/>
    <col min="3" max="3" width="29.5546875" bestFit="1" customWidth="1"/>
    <col min="4" max="4" width="12.88671875" bestFit="1" customWidth="1"/>
    <col min="5" max="5" width="30" bestFit="1" customWidth="1"/>
    <col min="6" max="6" width="12.5546875" bestFit="1" customWidth="1"/>
  </cols>
  <sheetData>
    <row r="2" spans="2:6" x14ac:dyDescent="0.3">
      <c r="B2" t="s">
        <v>500</v>
      </c>
      <c r="C2" t="s">
        <v>501</v>
      </c>
      <c r="D2" t="s">
        <v>1230</v>
      </c>
      <c r="E2" t="s">
        <v>502</v>
      </c>
      <c r="F2" t="s">
        <v>1231</v>
      </c>
    </row>
    <row r="3" spans="2:6" x14ac:dyDescent="0.3">
      <c r="B3" t="s">
        <v>503</v>
      </c>
      <c r="C3" t="s">
        <v>504</v>
      </c>
      <c r="D3">
        <v>27</v>
      </c>
      <c r="E3" t="s">
        <v>505</v>
      </c>
      <c r="F3">
        <v>27</v>
      </c>
    </row>
    <row r="4" spans="2:6" x14ac:dyDescent="0.3">
      <c r="B4" t="s">
        <v>506</v>
      </c>
      <c r="C4" t="s">
        <v>504</v>
      </c>
      <c r="D4">
        <v>24</v>
      </c>
      <c r="E4" t="s">
        <v>505</v>
      </c>
      <c r="F4">
        <v>24</v>
      </c>
    </row>
    <row r="5" spans="2:6" x14ac:dyDescent="0.3">
      <c r="B5" t="s">
        <v>507</v>
      </c>
      <c r="C5" t="s">
        <v>504</v>
      </c>
      <c r="D5">
        <v>27</v>
      </c>
      <c r="E5" t="s">
        <v>505</v>
      </c>
      <c r="F5">
        <v>27</v>
      </c>
    </row>
    <row r="6" spans="2:6" x14ac:dyDescent="0.3">
      <c r="B6" t="s">
        <v>508</v>
      </c>
      <c r="C6" t="s">
        <v>509</v>
      </c>
      <c r="D6">
        <v>30</v>
      </c>
      <c r="E6" t="s">
        <v>505</v>
      </c>
      <c r="F6">
        <v>33</v>
      </c>
    </row>
    <row r="7" spans="2:6" x14ac:dyDescent="0.3">
      <c r="B7" t="s">
        <v>510</v>
      </c>
      <c r="C7" t="s">
        <v>511</v>
      </c>
      <c r="D7">
        <v>27</v>
      </c>
      <c r="E7" t="s">
        <v>505</v>
      </c>
      <c r="F7">
        <v>30</v>
      </c>
    </row>
    <row r="8" spans="2:6" x14ac:dyDescent="0.3">
      <c r="B8" t="s">
        <v>512</v>
      </c>
      <c r="C8" t="s">
        <v>509</v>
      </c>
      <c r="D8">
        <v>30</v>
      </c>
      <c r="E8" t="s">
        <v>505</v>
      </c>
      <c r="F8">
        <v>33</v>
      </c>
    </row>
    <row r="9" spans="2:6" x14ac:dyDescent="0.3">
      <c r="B9" t="s">
        <v>513</v>
      </c>
      <c r="C9" t="s">
        <v>509</v>
      </c>
      <c r="D9">
        <v>36</v>
      </c>
      <c r="E9" t="s">
        <v>514</v>
      </c>
      <c r="F9">
        <v>36</v>
      </c>
    </row>
    <row r="10" spans="2:6" x14ac:dyDescent="0.3">
      <c r="B10" t="s">
        <v>515</v>
      </c>
      <c r="C10" t="s">
        <v>509</v>
      </c>
      <c r="D10">
        <v>39</v>
      </c>
      <c r="E10" t="s">
        <v>514</v>
      </c>
      <c r="F10">
        <v>36</v>
      </c>
    </row>
    <row r="11" spans="2:6" x14ac:dyDescent="0.3">
      <c r="B11" t="s">
        <v>516</v>
      </c>
      <c r="C11" t="s">
        <v>509</v>
      </c>
      <c r="D11">
        <v>39</v>
      </c>
      <c r="E11" t="s">
        <v>514</v>
      </c>
      <c r="F11">
        <v>36</v>
      </c>
    </row>
    <row r="12" spans="2:6" x14ac:dyDescent="0.3">
      <c r="B12" t="s">
        <v>517</v>
      </c>
      <c r="C12" t="s">
        <v>511</v>
      </c>
      <c r="D12">
        <v>39</v>
      </c>
      <c r="E12" t="s">
        <v>505</v>
      </c>
      <c r="F12">
        <v>42</v>
      </c>
    </row>
    <row r="13" spans="2:6" x14ac:dyDescent="0.3">
      <c r="B13" t="s">
        <v>518</v>
      </c>
      <c r="C13" t="s">
        <v>511</v>
      </c>
      <c r="D13">
        <v>33</v>
      </c>
      <c r="E13" t="s">
        <v>505</v>
      </c>
      <c r="F13">
        <v>36</v>
      </c>
    </row>
    <row r="14" spans="2:6" x14ac:dyDescent="0.3">
      <c r="B14" t="s">
        <v>519</v>
      </c>
      <c r="C14" t="s">
        <v>511</v>
      </c>
      <c r="D14">
        <v>36</v>
      </c>
      <c r="E14" t="s">
        <v>505</v>
      </c>
      <c r="F14">
        <v>39</v>
      </c>
    </row>
    <row r="15" spans="2:6" x14ac:dyDescent="0.3">
      <c r="B15" t="s">
        <v>520</v>
      </c>
      <c r="C15" t="s">
        <v>511</v>
      </c>
      <c r="D15">
        <v>39</v>
      </c>
      <c r="E15" t="s">
        <v>505</v>
      </c>
      <c r="F15">
        <v>42</v>
      </c>
    </row>
    <row r="16" spans="2:6" x14ac:dyDescent="0.3">
      <c r="B16" t="s">
        <v>521</v>
      </c>
      <c r="C16" t="s">
        <v>509</v>
      </c>
      <c r="D16">
        <v>45</v>
      </c>
      <c r="E16" t="s">
        <v>514</v>
      </c>
      <c r="F16">
        <v>45</v>
      </c>
    </row>
    <row r="17" spans="2:6" x14ac:dyDescent="0.3">
      <c r="B17" t="s">
        <v>522</v>
      </c>
      <c r="C17" t="s">
        <v>509</v>
      </c>
      <c r="D17">
        <v>48</v>
      </c>
      <c r="E17" t="s">
        <v>514</v>
      </c>
      <c r="F17">
        <v>45</v>
      </c>
    </row>
    <row r="18" spans="2:6" x14ac:dyDescent="0.3">
      <c r="B18" t="s">
        <v>523</v>
      </c>
      <c r="C18" t="s">
        <v>509</v>
      </c>
      <c r="D18">
        <v>48</v>
      </c>
      <c r="E18" t="s">
        <v>514</v>
      </c>
      <c r="F18">
        <v>45</v>
      </c>
    </row>
    <row r="19" spans="2:6" x14ac:dyDescent="0.3">
      <c r="B19" t="s">
        <v>524</v>
      </c>
      <c r="C19" t="s">
        <v>509</v>
      </c>
      <c r="D19">
        <v>48</v>
      </c>
      <c r="E19" t="s">
        <v>514</v>
      </c>
      <c r="F19">
        <v>45</v>
      </c>
    </row>
    <row r="20" spans="2:6" x14ac:dyDescent="0.3">
      <c r="B20" t="s">
        <v>525</v>
      </c>
      <c r="C20" t="s">
        <v>511</v>
      </c>
      <c r="D20">
        <v>45</v>
      </c>
      <c r="E20" t="s">
        <v>505</v>
      </c>
      <c r="F20">
        <v>48</v>
      </c>
    </row>
    <row r="21" spans="2:6" x14ac:dyDescent="0.3">
      <c r="B21" t="s">
        <v>526</v>
      </c>
      <c r="C21" t="s">
        <v>511</v>
      </c>
      <c r="D21">
        <v>42</v>
      </c>
      <c r="E21" t="s">
        <v>505</v>
      </c>
      <c r="F21">
        <v>45</v>
      </c>
    </row>
    <row r="22" spans="2:6" x14ac:dyDescent="0.3">
      <c r="B22" t="s">
        <v>527</v>
      </c>
      <c r="C22" t="s">
        <v>511</v>
      </c>
      <c r="D22">
        <v>45</v>
      </c>
      <c r="E22" t="s">
        <v>505</v>
      </c>
      <c r="F22">
        <v>48</v>
      </c>
    </row>
    <row r="23" spans="2:6" x14ac:dyDescent="0.3">
      <c r="B23" t="s">
        <v>528</v>
      </c>
      <c r="C23" t="s">
        <v>511</v>
      </c>
      <c r="D23">
        <v>51</v>
      </c>
      <c r="E23" t="s">
        <v>505</v>
      </c>
      <c r="F23">
        <v>54</v>
      </c>
    </row>
    <row r="24" spans="2:6" x14ac:dyDescent="0.3">
      <c r="B24" t="s">
        <v>529</v>
      </c>
      <c r="C24" t="s">
        <v>509</v>
      </c>
      <c r="D24">
        <v>54</v>
      </c>
      <c r="E24" t="s">
        <v>514</v>
      </c>
      <c r="F24">
        <v>57</v>
      </c>
    </row>
    <row r="25" spans="2:6" x14ac:dyDescent="0.3">
      <c r="B25" t="s">
        <v>530</v>
      </c>
      <c r="C25" t="s">
        <v>511</v>
      </c>
      <c r="D25">
        <v>54</v>
      </c>
      <c r="E25" t="s">
        <v>505</v>
      </c>
      <c r="F25">
        <v>57</v>
      </c>
    </row>
    <row r="26" spans="2:6" x14ac:dyDescent="0.3">
      <c r="B26" t="s">
        <v>531</v>
      </c>
      <c r="C26" t="s">
        <v>509</v>
      </c>
      <c r="D26">
        <v>63</v>
      </c>
      <c r="E26" t="s">
        <v>514</v>
      </c>
      <c r="F26">
        <v>60</v>
      </c>
    </row>
    <row r="27" spans="2:6" x14ac:dyDescent="0.3">
      <c r="B27" t="s">
        <v>532</v>
      </c>
      <c r="C27" t="s">
        <v>509</v>
      </c>
      <c r="D27">
        <v>63</v>
      </c>
      <c r="E27" t="s">
        <v>514</v>
      </c>
      <c r="F27">
        <v>60</v>
      </c>
    </row>
    <row r="28" spans="2:6" x14ac:dyDescent="0.3">
      <c r="B28" t="s">
        <v>533</v>
      </c>
      <c r="C28" t="s">
        <v>534</v>
      </c>
      <c r="D28">
        <v>9</v>
      </c>
      <c r="E28" t="s">
        <v>535</v>
      </c>
      <c r="F28">
        <v>12</v>
      </c>
    </row>
    <row r="29" spans="2:6" x14ac:dyDescent="0.3">
      <c r="B29" t="s">
        <v>536</v>
      </c>
      <c r="C29" t="s">
        <v>534</v>
      </c>
      <c r="D29">
        <v>12</v>
      </c>
      <c r="E29" t="s">
        <v>535</v>
      </c>
      <c r="F29">
        <v>15</v>
      </c>
    </row>
    <row r="30" spans="2:6" x14ac:dyDescent="0.3">
      <c r="B30" t="s">
        <v>537</v>
      </c>
      <c r="C30" t="s">
        <v>534</v>
      </c>
      <c r="D30">
        <v>9</v>
      </c>
      <c r="E30" t="s">
        <v>535</v>
      </c>
      <c r="F30">
        <v>12</v>
      </c>
    </row>
    <row r="31" spans="2:6" x14ac:dyDescent="0.3">
      <c r="B31" t="s">
        <v>538</v>
      </c>
      <c r="C31" t="s">
        <v>534</v>
      </c>
      <c r="D31">
        <v>12</v>
      </c>
      <c r="E31" t="s">
        <v>535</v>
      </c>
      <c r="F31">
        <v>15</v>
      </c>
    </row>
    <row r="32" spans="2:6" x14ac:dyDescent="0.3">
      <c r="B32" t="s">
        <v>539</v>
      </c>
      <c r="C32" t="s">
        <v>534</v>
      </c>
      <c r="D32">
        <v>15</v>
      </c>
      <c r="E32" t="s">
        <v>535</v>
      </c>
      <c r="F32">
        <v>15</v>
      </c>
    </row>
    <row r="33" spans="2:6" x14ac:dyDescent="0.3">
      <c r="B33" t="s">
        <v>540</v>
      </c>
      <c r="C33" t="s">
        <v>534</v>
      </c>
      <c r="D33">
        <v>9</v>
      </c>
      <c r="E33" t="s">
        <v>535</v>
      </c>
      <c r="F33">
        <v>12</v>
      </c>
    </row>
    <row r="34" spans="2:6" x14ac:dyDescent="0.3">
      <c r="B34" t="s">
        <v>541</v>
      </c>
      <c r="C34" t="s">
        <v>534</v>
      </c>
      <c r="D34">
        <v>12</v>
      </c>
      <c r="E34" t="s">
        <v>535</v>
      </c>
      <c r="F34">
        <v>15</v>
      </c>
    </row>
    <row r="35" spans="2:6" x14ac:dyDescent="0.3">
      <c r="B35" t="s">
        <v>542</v>
      </c>
      <c r="C35" t="s">
        <v>534</v>
      </c>
      <c r="D35">
        <v>9</v>
      </c>
      <c r="E35" t="s">
        <v>535</v>
      </c>
      <c r="F35">
        <v>12</v>
      </c>
    </row>
    <row r="36" spans="2:6" x14ac:dyDescent="0.3">
      <c r="B36" t="s">
        <v>543</v>
      </c>
      <c r="C36" t="s">
        <v>534</v>
      </c>
      <c r="D36">
        <v>12</v>
      </c>
      <c r="E36" t="s">
        <v>535</v>
      </c>
      <c r="F36">
        <v>15</v>
      </c>
    </row>
    <row r="37" spans="2:6" x14ac:dyDescent="0.3">
      <c r="B37" t="s">
        <v>544</v>
      </c>
      <c r="C37" t="s">
        <v>534</v>
      </c>
      <c r="D37">
        <v>15</v>
      </c>
      <c r="E37" t="s">
        <v>535</v>
      </c>
      <c r="F37">
        <v>15</v>
      </c>
    </row>
    <row r="38" spans="2:6" x14ac:dyDescent="0.3">
      <c r="B38" t="s">
        <v>545</v>
      </c>
      <c r="C38" t="s">
        <v>534</v>
      </c>
      <c r="D38">
        <v>12</v>
      </c>
      <c r="E38" t="s">
        <v>535</v>
      </c>
      <c r="F38">
        <v>15</v>
      </c>
    </row>
    <row r="39" spans="2:6" x14ac:dyDescent="0.3">
      <c r="B39" t="s">
        <v>546</v>
      </c>
      <c r="C39" t="s">
        <v>534</v>
      </c>
      <c r="D39">
        <v>15</v>
      </c>
      <c r="E39" t="s">
        <v>535</v>
      </c>
      <c r="F39">
        <v>18</v>
      </c>
    </row>
    <row r="40" spans="2:6" x14ac:dyDescent="0.3">
      <c r="B40" t="s">
        <v>547</v>
      </c>
      <c r="C40" t="s">
        <v>534</v>
      </c>
      <c r="D40">
        <v>21</v>
      </c>
      <c r="E40" t="s">
        <v>535</v>
      </c>
      <c r="F40">
        <v>18</v>
      </c>
    </row>
    <row r="41" spans="2:6" x14ac:dyDescent="0.3">
      <c r="B41" t="s">
        <v>548</v>
      </c>
      <c r="C41" t="s">
        <v>534</v>
      </c>
      <c r="D41">
        <v>12</v>
      </c>
      <c r="E41" t="s">
        <v>535</v>
      </c>
      <c r="F41">
        <v>15</v>
      </c>
    </row>
    <row r="42" spans="2:6" x14ac:dyDescent="0.3">
      <c r="B42" t="s">
        <v>549</v>
      </c>
      <c r="C42" t="s">
        <v>534</v>
      </c>
      <c r="D42">
        <v>15</v>
      </c>
      <c r="E42" t="s">
        <v>535</v>
      </c>
      <c r="F42">
        <v>18</v>
      </c>
    </row>
    <row r="43" spans="2:6" x14ac:dyDescent="0.3">
      <c r="B43" t="s">
        <v>550</v>
      </c>
      <c r="C43" t="s">
        <v>534</v>
      </c>
      <c r="D43">
        <v>21</v>
      </c>
      <c r="E43" t="s">
        <v>535</v>
      </c>
      <c r="F43">
        <v>18</v>
      </c>
    </row>
    <row r="44" spans="2:6" x14ac:dyDescent="0.3">
      <c r="B44" t="s">
        <v>551</v>
      </c>
      <c r="C44" t="s">
        <v>534</v>
      </c>
      <c r="D44">
        <v>12</v>
      </c>
      <c r="E44" t="s">
        <v>535</v>
      </c>
      <c r="F44">
        <v>15</v>
      </c>
    </row>
    <row r="45" spans="2:6" x14ac:dyDescent="0.3">
      <c r="B45" t="s">
        <v>552</v>
      </c>
      <c r="C45" t="s">
        <v>534</v>
      </c>
      <c r="D45">
        <v>15</v>
      </c>
      <c r="E45" t="s">
        <v>535</v>
      </c>
      <c r="F45">
        <v>15</v>
      </c>
    </row>
    <row r="46" spans="2:6" x14ac:dyDescent="0.3">
      <c r="B46" t="s">
        <v>553</v>
      </c>
      <c r="C46" t="s">
        <v>534</v>
      </c>
      <c r="D46">
        <v>12</v>
      </c>
      <c r="E46" t="s">
        <v>535</v>
      </c>
      <c r="F46">
        <v>15</v>
      </c>
    </row>
    <row r="47" spans="2:6" x14ac:dyDescent="0.3">
      <c r="B47" t="s">
        <v>554</v>
      </c>
      <c r="C47" t="s">
        <v>534</v>
      </c>
      <c r="D47">
        <v>15</v>
      </c>
      <c r="E47" t="s">
        <v>535</v>
      </c>
      <c r="F47">
        <v>15</v>
      </c>
    </row>
    <row r="48" spans="2:6" x14ac:dyDescent="0.3">
      <c r="B48" t="s">
        <v>555</v>
      </c>
      <c r="C48" t="s">
        <v>534</v>
      </c>
      <c r="D48">
        <v>15</v>
      </c>
      <c r="E48" t="s">
        <v>535</v>
      </c>
      <c r="F48">
        <v>18</v>
      </c>
    </row>
    <row r="49" spans="2:6" x14ac:dyDescent="0.3">
      <c r="B49" t="s">
        <v>556</v>
      </c>
      <c r="C49" t="s">
        <v>534</v>
      </c>
      <c r="D49">
        <v>18</v>
      </c>
      <c r="E49" t="s">
        <v>535</v>
      </c>
      <c r="F49">
        <v>18</v>
      </c>
    </row>
    <row r="50" spans="2:6" x14ac:dyDescent="0.3">
      <c r="B50" t="s">
        <v>557</v>
      </c>
      <c r="C50" t="s">
        <v>534</v>
      </c>
      <c r="D50">
        <v>12</v>
      </c>
      <c r="E50" t="s">
        <v>535</v>
      </c>
      <c r="F50">
        <v>15</v>
      </c>
    </row>
    <row r="51" spans="2:6" x14ac:dyDescent="0.3">
      <c r="B51" t="s">
        <v>558</v>
      </c>
      <c r="C51" t="s">
        <v>534</v>
      </c>
      <c r="D51">
        <v>15</v>
      </c>
      <c r="E51" t="s">
        <v>535</v>
      </c>
      <c r="F51">
        <v>15</v>
      </c>
    </row>
    <row r="52" spans="2:6" x14ac:dyDescent="0.3">
      <c r="B52" t="s">
        <v>559</v>
      </c>
      <c r="C52" t="s">
        <v>534</v>
      </c>
      <c r="D52">
        <v>12</v>
      </c>
      <c r="E52" t="s">
        <v>535</v>
      </c>
      <c r="F52">
        <v>15</v>
      </c>
    </row>
    <row r="53" spans="2:6" x14ac:dyDescent="0.3">
      <c r="B53" t="s">
        <v>560</v>
      </c>
      <c r="C53" t="s">
        <v>534</v>
      </c>
      <c r="D53">
        <v>15</v>
      </c>
      <c r="E53" t="s">
        <v>535</v>
      </c>
      <c r="F53">
        <v>15</v>
      </c>
    </row>
    <row r="54" spans="2:6" x14ac:dyDescent="0.3">
      <c r="B54" t="s">
        <v>561</v>
      </c>
      <c r="C54" t="s">
        <v>534</v>
      </c>
      <c r="D54">
        <v>15</v>
      </c>
      <c r="E54" t="s">
        <v>535</v>
      </c>
      <c r="F54">
        <v>18</v>
      </c>
    </row>
    <row r="55" spans="2:6" x14ac:dyDescent="0.3">
      <c r="B55" t="s">
        <v>562</v>
      </c>
      <c r="C55" t="s">
        <v>534</v>
      </c>
      <c r="D55">
        <v>18</v>
      </c>
      <c r="E55" t="s">
        <v>535</v>
      </c>
      <c r="F55">
        <v>18</v>
      </c>
    </row>
    <row r="56" spans="2:6" x14ac:dyDescent="0.3">
      <c r="B56" t="s">
        <v>563</v>
      </c>
      <c r="C56" t="s">
        <v>534</v>
      </c>
      <c r="D56">
        <v>18</v>
      </c>
      <c r="E56" t="s">
        <v>535</v>
      </c>
      <c r="F56">
        <v>15</v>
      </c>
    </row>
    <row r="57" spans="2:6" x14ac:dyDescent="0.3">
      <c r="B57" t="s">
        <v>564</v>
      </c>
      <c r="C57" t="s">
        <v>534</v>
      </c>
      <c r="D57">
        <v>15</v>
      </c>
      <c r="E57" t="s">
        <v>535</v>
      </c>
      <c r="F57">
        <v>18</v>
      </c>
    </row>
    <row r="58" spans="2:6" x14ac:dyDescent="0.3">
      <c r="B58" t="s">
        <v>565</v>
      </c>
      <c r="C58" t="s">
        <v>534</v>
      </c>
      <c r="D58">
        <v>18</v>
      </c>
      <c r="E58" t="s">
        <v>535</v>
      </c>
      <c r="F58">
        <v>18</v>
      </c>
    </row>
    <row r="59" spans="2:6" x14ac:dyDescent="0.3">
      <c r="B59" t="s">
        <v>566</v>
      </c>
      <c r="C59" t="s">
        <v>534</v>
      </c>
      <c r="D59">
        <v>18</v>
      </c>
      <c r="E59" t="s">
        <v>535</v>
      </c>
      <c r="F59">
        <v>15</v>
      </c>
    </row>
    <row r="60" spans="2:6" x14ac:dyDescent="0.3">
      <c r="B60" t="s">
        <v>567</v>
      </c>
      <c r="C60" t="s">
        <v>534</v>
      </c>
      <c r="D60">
        <v>15</v>
      </c>
      <c r="E60" t="s">
        <v>535</v>
      </c>
      <c r="F60">
        <v>18</v>
      </c>
    </row>
    <row r="61" spans="2:6" x14ac:dyDescent="0.3">
      <c r="B61" t="s">
        <v>568</v>
      </c>
      <c r="C61" t="s">
        <v>534</v>
      </c>
      <c r="D61">
        <v>18</v>
      </c>
      <c r="E61" t="s">
        <v>535</v>
      </c>
      <c r="F61">
        <v>18</v>
      </c>
    </row>
    <row r="62" spans="2:6" x14ac:dyDescent="0.3">
      <c r="B62" t="s">
        <v>569</v>
      </c>
      <c r="C62" t="s">
        <v>534</v>
      </c>
      <c r="D62">
        <v>24</v>
      </c>
      <c r="E62" t="s">
        <v>535</v>
      </c>
      <c r="F62">
        <v>21</v>
      </c>
    </row>
    <row r="63" spans="2:6" x14ac:dyDescent="0.3">
      <c r="B63" t="s">
        <v>570</v>
      </c>
      <c r="C63" t="s">
        <v>534</v>
      </c>
      <c r="D63">
        <v>18</v>
      </c>
      <c r="E63" t="s">
        <v>535</v>
      </c>
      <c r="F63">
        <v>15</v>
      </c>
    </row>
    <row r="64" spans="2:6" x14ac:dyDescent="0.3">
      <c r="B64" t="s">
        <v>571</v>
      </c>
      <c r="C64" t="s">
        <v>534</v>
      </c>
      <c r="D64">
        <v>15</v>
      </c>
      <c r="E64" t="s">
        <v>535</v>
      </c>
      <c r="F64">
        <v>18</v>
      </c>
    </row>
    <row r="65" spans="2:6" x14ac:dyDescent="0.3">
      <c r="B65" t="s">
        <v>572</v>
      </c>
      <c r="C65" t="s">
        <v>534</v>
      </c>
      <c r="D65">
        <v>18</v>
      </c>
      <c r="E65" t="s">
        <v>535</v>
      </c>
      <c r="F65">
        <v>18</v>
      </c>
    </row>
    <row r="66" spans="2:6" x14ac:dyDescent="0.3">
      <c r="B66" t="s">
        <v>573</v>
      </c>
      <c r="C66" t="s">
        <v>534</v>
      </c>
      <c r="D66">
        <v>18</v>
      </c>
      <c r="E66" t="s">
        <v>535</v>
      </c>
      <c r="F66">
        <v>15</v>
      </c>
    </row>
    <row r="67" spans="2:6" x14ac:dyDescent="0.3">
      <c r="B67" t="s">
        <v>574</v>
      </c>
      <c r="C67" t="s">
        <v>534</v>
      </c>
      <c r="D67">
        <v>15</v>
      </c>
      <c r="E67" t="s">
        <v>535</v>
      </c>
      <c r="F67">
        <v>18</v>
      </c>
    </row>
    <row r="68" spans="2:6" x14ac:dyDescent="0.3">
      <c r="B68" t="s">
        <v>575</v>
      </c>
      <c r="C68" t="s">
        <v>534</v>
      </c>
      <c r="D68">
        <v>18</v>
      </c>
      <c r="E68" t="s">
        <v>535</v>
      </c>
      <c r="F68">
        <v>18</v>
      </c>
    </row>
    <row r="69" spans="2:6" x14ac:dyDescent="0.3">
      <c r="B69" t="s">
        <v>576</v>
      </c>
      <c r="C69" t="s">
        <v>534</v>
      </c>
      <c r="D69">
        <v>24</v>
      </c>
      <c r="E69" t="s">
        <v>535</v>
      </c>
      <c r="F69">
        <v>21</v>
      </c>
    </row>
    <row r="70" spans="2:6" x14ac:dyDescent="0.3">
      <c r="B70" t="s">
        <v>577</v>
      </c>
      <c r="C70" t="s">
        <v>509</v>
      </c>
      <c r="D70">
        <v>9</v>
      </c>
      <c r="E70" t="s">
        <v>505</v>
      </c>
      <c r="F70">
        <v>12</v>
      </c>
    </row>
    <row r="71" spans="2:6" x14ac:dyDescent="0.3">
      <c r="B71" t="s">
        <v>578</v>
      </c>
      <c r="C71" t="s">
        <v>509</v>
      </c>
      <c r="D71">
        <v>12</v>
      </c>
      <c r="E71" t="s">
        <v>505</v>
      </c>
      <c r="F71">
        <v>15</v>
      </c>
    </row>
    <row r="72" spans="2:6" x14ac:dyDescent="0.3">
      <c r="B72" t="s">
        <v>579</v>
      </c>
      <c r="C72" t="s">
        <v>509</v>
      </c>
      <c r="D72">
        <v>15</v>
      </c>
      <c r="E72" t="s">
        <v>505</v>
      </c>
      <c r="F72">
        <v>18</v>
      </c>
    </row>
    <row r="73" spans="2:6" x14ac:dyDescent="0.3">
      <c r="B73" t="s">
        <v>580</v>
      </c>
      <c r="C73" t="s">
        <v>511</v>
      </c>
      <c r="D73">
        <v>18</v>
      </c>
      <c r="E73" t="s">
        <v>514</v>
      </c>
      <c r="F73">
        <v>18</v>
      </c>
    </row>
    <row r="74" spans="2:6" x14ac:dyDescent="0.3">
      <c r="B74" t="s">
        <v>581</v>
      </c>
      <c r="C74" t="s">
        <v>509</v>
      </c>
      <c r="D74">
        <v>9</v>
      </c>
      <c r="E74" t="s">
        <v>505</v>
      </c>
      <c r="F74">
        <v>12</v>
      </c>
    </row>
    <row r="75" spans="2:6" x14ac:dyDescent="0.3">
      <c r="B75" t="s">
        <v>582</v>
      </c>
      <c r="C75" t="s">
        <v>509</v>
      </c>
      <c r="D75">
        <v>12</v>
      </c>
      <c r="E75" t="s">
        <v>505</v>
      </c>
      <c r="F75">
        <v>15</v>
      </c>
    </row>
    <row r="76" spans="2:6" x14ac:dyDescent="0.3">
      <c r="B76" t="s">
        <v>583</v>
      </c>
      <c r="C76" t="s">
        <v>509</v>
      </c>
      <c r="D76">
        <v>15</v>
      </c>
      <c r="E76" t="s">
        <v>505</v>
      </c>
      <c r="F76">
        <v>18</v>
      </c>
    </row>
    <row r="77" spans="2:6" x14ac:dyDescent="0.3">
      <c r="B77" t="s">
        <v>584</v>
      </c>
      <c r="C77" t="s">
        <v>511</v>
      </c>
      <c r="D77">
        <v>18</v>
      </c>
      <c r="E77" t="s">
        <v>514</v>
      </c>
      <c r="F77">
        <v>18</v>
      </c>
    </row>
    <row r="78" spans="2:6" x14ac:dyDescent="0.3">
      <c r="B78" t="s">
        <v>585</v>
      </c>
      <c r="C78" t="s">
        <v>586</v>
      </c>
      <c r="D78">
        <v>15</v>
      </c>
      <c r="E78" t="s">
        <v>587</v>
      </c>
      <c r="F78">
        <v>18</v>
      </c>
    </row>
    <row r="79" spans="2:6" x14ac:dyDescent="0.3">
      <c r="B79" t="s">
        <v>588</v>
      </c>
      <c r="C79" t="s">
        <v>511</v>
      </c>
      <c r="D79">
        <v>12</v>
      </c>
      <c r="E79" t="s">
        <v>505</v>
      </c>
      <c r="F79">
        <v>15</v>
      </c>
    </row>
    <row r="80" spans="2:6" x14ac:dyDescent="0.3">
      <c r="B80" t="s">
        <v>589</v>
      </c>
      <c r="C80" t="s">
        <v>511</v>
      </c>
      <c r="D80">
        <v>15</v>
      </c>
      <c r="E80" t="s">
        <v>505</v>
      </c>
      <c r="F80">
        <v>18</v>
      </c>
    </row>
    <row r="81" spans="2:6" x14ac:dyDescent="0.3">
      <c r="B81" t="s">
        <v>590</v>
      </c>
      <c r="C81" t="s">
        <v>511</v>
      </c>
      <c r="D81">
        <v>12</v>
      </c>
      <c r="E81" t="s">
        <v>505</v>
      </c>
      <c r="F81">
        <v>15</v>
      </c>
    </row>
    <row r="82" spans="2:6" x14ac:dyDescent="0.3">
      <c r="B82" t="s">
        <v>591</v>
      </c>
      <c r="C82" t="s">
        <v>511</v>
      </c>
      <c r="D82">
        <v>15</v>
      </c>
      <c r="E82" t="s">
        <v>505</v>
      </c>
      <c r="F82">
        <v>18</v>
      </c>
    </row>
    <row r="83" spans="2:6" x14ac:dyDescent="0.3">
      <c r="B83" t="s">
        <v>592</v>
      </c>
      <c r="C83" t="s">
        <v>509</v>
      </c>
      <c r="D83">
        <v>12</v>
      </c>
      <c r="E83" t="s">
        <v>514</v>
      </c>
      <c r="F83">
        <v>15</v>
      </c>
    </row>
    <row r="84" spans="2:6" x14ac:dyDescent="0.3">
      <c r="B84" t="s">
        <v>593</v>
      </c>
      <c r="C84" t="s">
        <v>509</v>
      </c>
      <c r="D84">
        <v>15</v>
      </c>
      <c r="E84" t="s">
        <v>514</v>
      </c>
      <c r="F84">
        <v>15</v>
      </c>
    </row>
    <row r="85" spans="2:6" x14ac:dyDescent="0.3">
      <c r="B85" t="s">
        <v>594</v>
      </c>
      <c r="C85" t="s">
        <v>509</v>
      </c>
      <c r="D85">
        <v>18</v>
      </c>
      <c r="E85" t="s">
        <v>505</v>
      </c>
      <c r="F85">
        <v>18</v>
      </c>
    </row>
    <row r="86" spans="2:6" x14ac:dyDescent="0.3">
      <c r="B86" t="s">
        <v>595</v>
      </c>
      <c r="C86" t="s">
        <v>509</v>
      </c>
      <c r="D86">
        <v>12</v>
      </c>
      <c r="E86" t="s">
        <v>514</v>
      </c>
      <c r="F86">
        <v>15</v>
      </c>
    </row>
    <row r="87" spans="2:6" x14ac:dyDescent="0.3">
      <c r="B87" t="s">
        <v>596</v>
      </c>
      <c r="C87" t="s">
        <v>509</v>
      </c>
      <c r="D87">
        <v>15</v>
      </c>
      <c r="E87" t="s">
        <v>514</v>
      </c>
      <c r="F87">
        <v>15</v>
      </c>
    </row>
    <row r="88" spans="2:6" x14ac:dyDescent="0.3">
      <c r="B88" t="s">
        <v>597</v>
      </c>
      <c r="C88" t="s">
        <v>509</v>
      </c>
      <c r="D88">
        <v>18</v>
      </c>
      <c r="E88" t="s">
        <v>505</v>
      </c>
      <c r="F88">
        <v>18</v>
      </c>
    </row>
    <row r="89" spans="2:6" x14ac:dyDescent="0.3">
      <c r="B89" t="s">
        <v>598</v>
      </c>
      <c r="C89" t="s">
        <v>509</v>
      </c>
      <c r="D89">
        <v>12</v>
      </c>
      <c r="E89" t="s">
        <v>505</v>
      </c>
      <c r="F89">
        <v>15</v>
      </c>
    </row>
    <row r="90" spans="2:6" x14ac:dyDescent="0.3">
      <c r="B90" t="s">
        <v>599</v>
      </c>
      <c r="C90" t="s">
        <v>509</v>
      </c>
      <c r="D90">
        <v>15</v>
      </c>
      <c r="E90" t="s">
        <v>505</v>
      </c>
      <c r="F90">
        <v>18</v>
      </c>
    </row>
    <row r="91" spans="2:6" x14ac:dyDescent="0.3">
      <c r="B91" t="s">
        <v>600</v>
      </c>
      <c r="C91" t="s">
        <v>509</v>
      </c>
      <c r="D91">
        <v>18</v>
      </c>
      <c r="E91" t="s">
        <v>514</v>
      </c>
      <c r="F91">
        <v>18</v>
      </c>
    </row>
    <row r="92" spans="2:6" x14ac:dyDescent="0.3">
      <c r="B92" t="s">
        <v>601</v>
      </c>
      <c r="C92" t="s">
        <v>509</v>
      </c>
      <c r="D92">
        <v>12</v>
      </c>
      <c r="E92" t="s">
        <v>505</v>
      </c>
      <c r="F92">
        <v>15</v>
      </c>
    </row>
    <row r="93" spans="2:6" x14ac:dyDescent="0.3">
      <c r="B93" t="s">
        <v>602</v>
      </c>
      <c r="C93" t="s">
        <v>509</v>
      </c>
      <c r="D93">
        <v>15</v>
      </c>
      <c r="E93" t="s">
        <v>505</v>
      </c>
      <c r="F93">
        <v>18</v>
      </c>
    </row>
    <row r="94" spans="2:6" x14ac:dyDescent="0.3">
      <c r="B94" t="s">
        <v>603</v>
      </c>
      <c r="C94" t="s">
        <v>509</v>
      </c>
      <c r="D94">
        <v>18</v>
      </c>
      <c r="E94" t="s">
        <v>514</v>
      </c>
      <c r="F94">
        <v>18</v>
      </c>
    </row>
    <row r="95" spans="2:6" x14ac:dyDescent="0.3">
      <c r="B95" t="s">
        <v>604</v>
      </c>
      <c r="C95" t="s">
        <v>509</v>
      </c>
      <c r="D95">
        <v>18</v>
      </c>
      <c r="E95" t="s">
        <v>514</v>
      </c>
      <c r="F95">
        <v>18</v>
      </c>
    </row>
    <row r="96" spans="2:6" x14ac:dyDescent="0.3">
      <c r="B96" t="s">
        <v>605</v>
      </c>
      <c r="C96" t="s">
        <v>504</v>
      </c>
      <c r="D96">
        <v>21</v>
      </c>
      <c r="E96" t="s">
        <v>505</v>
      </c>
      <c r="F96">
        <v>18</v>
      </c>
    </row>
    <row r="97" spans="2:6" x14ac:dyDescent="0.3">
      <c r="B97" t="s">
        <v>606</v>
      </c>
      <c r="C97" t="s">
        <v>511</v>
      </c>
      <c r="D97">
        <v>18</v>
      </c>
      <c r="E97" t="s">
        <v>505</v>
      </c>
      <c r="F97">
        <v>21</v>
      </c>
    </row>
    <row r="98" spans="2:6" x14ac:dyDescent="0.3">
      <c r="B98" t="s">
        <v>607</v>
      </c>
      <c r="C98" t="s">
        <v>511</v>
      </c>
      <c r="D98">
        <v>21</v>
      </c>
      <c r="E98" t="s">
        <v>505</v>
      </c>
      <c r="F98">
        <v>24</v>
      </c>
    </row>
    <row r="99" spans="2:6" x14ac:dyDescent="0.3">
      <c r="B99" t="s">
        <v>608</v>
      </c>
      <c r="C99" t="s">
        <v>509</v>
      </c>
      <c r="D99">
        <v>21</v>
      </c>
      <c r="E99" t="s">
        <v>505</v>
      </c>
      <c r="F99">
        <v>24</v>
      </c>
    </row>
    <row r="100" spans="2:6" x14ac:dyDescent="0.3">
      <c r="B100" t="s">
        <v>609</v>
      </c>
      <c r="C100" t="s">
        <v>511</v>
      </c>
      <c r="D100">
        <v>21</v>
      </c>
      <c r="E100" t="s">
        <v>505</v>
      </c>
      <c r="F100">
        <v>24</v>
      </c>
    </row>
    <row r="101" spans="2:6" x14ac:dyDescent="0.3">
      <c r="B101" t="s">
        <v>610</v>
      </c>
      <c r="C101" t="s">
        <v>511</v>
      </c>
      <c r="D101">
        <v>24</v>
      </c>
      <c r="E101" t="s">
        <v>505</v>
      </c>
      <c r="F101">
        <v>27</v>
      </c>
    </row>
    <row r="102" spans="2:6" x14ac:dyDescent="0.3">
      <c r="B102" t="s">
        <v>611</v>
      </c>
      <c r="C102" t="s">
        <v>509</v>
      </c>
      <c r="D102">
        <v>48</v>
      </c>
      <c r="E102" t="s">
        <v>514</v>
      </c>
      <c r="F102">
        <v>45</v>
      </c>
    </row>
    <row r="103" spans="2:6" x14ac:dyDescent="0.3">
      <c r="B103" t="s">
        <v>612</v>
      </c>
      <c r="C103" t="s">
        <v>511</v>
      </c>
      <c r="D103">
        <v>15</v>
      </c>
      <c r="E103" t="s">
        <v>505</v>
      </c>
      <c r="F103">
        <v>18</v>
      </c>
    </row>
    <row r="104" spans="2:6" x14ac:dyDescent="0.3">
      <c r="B104" t="s">
        <v>613</v>
      </c>
      <c r="C104" t="s">
        <v>511</v>
      </c>
      <c r="D104">
        <v>18</v>
      </c>
      <c r="E104" t="s">
        <v>505</v>
      </c>
      <c r="F104">
        <v>18</v>
      </c>
    </row>
    <row r="105" spans="2:6" x14ac:dyDescent="0.3">
      <c r="B105" t="s">
        <v>614</v>
      </c>
      <c r="C105" t="s">
        <v>509</v>
      </c>
      <c r="D105">
        <v>21</v>
      </c>
      <c r="E105" t="s">
        <v>514</v>
      </c>
      <c r="F105">
        <v>21</v>
      </c>
    </row>
    <row r="106" spans="2:6" x14ac:dyDescent="0.3">
      <c r="B106" t="s">
        <v>615</v>
      </c>
      <c r="C106" t="s">
        <v>511</v>
      </c>
      <c r="D106">
        <v>15</v>
      </c>
      <c r="E106" t="s">
        <v>505</v>
      </c>
      <c r="F106">
        <v>18</v>
      </c>
    </row>
    <row r="107" spans="2:6" x14ac:dyDescent="0.3">
      <c r="B107" t="s">
        <v>616</v>
      </c>
      <c r="C107" t="s">
        <v>511</v>
      </c>
      <c r="D107">
        <v>18</v>
      </c>
      <c r="E107" t="s">
        <v>505</v>
      </c>
      <c r="F107">
        <v>18</v>
      </c>
    </row>
    <row r="108" spans="2:6" x14ac:dyDescent="0.3">
      <c r="B108" t="s">
        <v>617</v>
      </c>
      <c r="C108" t="s">
        <v>509</v>
      </c>
      <c r="D108">
        <v>21</v>
      </c>
      <c r="E108" t="s">
        <v>514</v>
      </c>
      <c r="F108">
        <v>21</v>
      </c>
    </row>
    <row r="109" spans="2:6" x14ac:dyDescent="0.3">
      <c r="B109" t="s">
        <v>618</v>
      </c>
      <c r="C109" t="s">
        <v>511</v>
      </c>
      <c r="D109">
        <v>15</v>
      </c>
      <c r="E109" t="s">
        <v>505</v>
      </c>
      <c r="F109">
        <v>18</v>
      </c>
    </row>
    <row r="110" spans="2:6" x14ac:dyDescent="0.3">
      <c r="B110" t="s">
        <v>619</v>
      </c>
      <c r="C110" t="s">
        <v>511</v>
      </c>
      <c r="D110">
        <v>18</v>
      </c>
      <c r="E110" t="s">
        <v>505</v>
      </c>
      <c r="F110">
        <v>21</v>
      </c>
    </row>
    <row r="111" spans="2:6" x14ac:dyDescent="0.3">
      <c r="B111" t="s">
        <v>620</v>
      </c>
      <c r="C111" t="s">
        <v>511</v>
      </c>
      <c r="D111">
        <v>24</v>
      </c>
      <c r="E111" t="s">
        <v>514</v>
      </c>
      <c r="F111">
        <v>21</v>
      </c>
    </row>
    <row r="112" spans="2:6" x14ac:dyDescent="0.3">
      <c r="B112" t="s">
        <v>621</v>
      </c>
      <c r="C112" t="s">
        <v>511</v>
      </c>
      <c r="D112">
        <v>15</v>
      </c>
      <c r="E112" t="s">
        <v>505</v>
      </c>
      <c r="F112">
        <v>18</v>
      </c>
    </row>
    <row r="113" spans="2:6" x14ac:dyDescent="0.3">
      <c r="B113" t="s">
        <v>622</v>
      </c>
      <c r="C113" t="s">
        <v>511</v>
      </c>
      <c r="D113">
        <v>18</v>
      </c>
      <c r="E113" t="s">
        <v>505</v>
      </c>
      <c r="F113">
        <v>21</v>
      </c>
    </row>
    <row r="114" spans="2:6" x14ac:dyDescent="0.3">
      <c r="B114" t="s">
        <v>623</v>
      </c>
      <c r="C114" t="s">
        <v>511</v>
      </c>
      <c r="D114">
        <v>24</v>
      </c>
      <c r="E114" t="s">
        <v>514</v>
      </c>
      <c r="F114">
        <v>21</v>
      </c>
    </row>
    <row r="115" spans="2:6" x14ac:dyDescent="0.3">
      <c r="B115" t="s">
        <v>624</v>
      </c>
      <c r="C115" t="s">
        <v>511</v>
      </c>
      <c r="D115">
        <v>24</v>
      </c>
      <c r="E115" t="s">
        <v>514</v>
      </c>
      <c r="F115">
        <v>21</v>
      </c>
    </row>
    <row r="116" spans="2:6" x14ac:dyDescent="0.3">
      <c r="B116" t="s">
        <v>625</v>
      </c>
      <c r="C116" t="s">
        <v>509</v>
      </c>
      <c r="D116">
        <v>54</v>
      </c>
      <c r="E116" t="s">
        <v>514</v>
      </c>
      <c r="F116">
        <v>51</v>
      </c>
    </row>
    <row r="117" spans="2:6" x14ac:dyDescent="0.3">
      <c r="B117" t="s">
        <v>626</v>
      </c>
      <c r="C117" t="s">
        <v>509</v>
      </c>
      <c r="D117">
        <v>63</v>
      </c>
      <c r="E117" t="s">
        <v>514</v>
      </c>
      <c r="F117">
        <v>60</v>
      </c>
    </row>
    <row r="118" spans="2:6" x14ac:dyDescent="0.3">
      <c r="B118" t="s">
        <v>627</v>
      </c>
      <c r="C118" t="s">
        <v>511</v>
      </c>
      <c r="D118">
        <v>18</v>
      </c>
      <c r="E118" t="s">
        <v>505</v>
      </c>
      <c r="F118">
        <v>21</v>
      </c>
    </row>
    <row r="119" spans="2:6" x14ac:dyDescent="0.3">
      <c r="B119" t="s">
        <v>628</v>
      </c>
      <c r="C119" t="s">
        <v>511</v>
      </c>
      <c r="D119">
        <v>21</v>
      </c>
      <c r="E119" t="s">
        <v>505</v>
      </c>
      <c r="F119">
        <v>21</v>
      </c>
    </row>
    <row r="120" spans="2:6" x14ac:dyDescent="0.3">
      <c r="B120" t="s">
        <v>629</v>
      </c>
      <c r="C120" t="s">
        <v>509</v>
      </c>
      <c r="D120">
        <v>24</v>
      </c>
      <c r="E120" t="s">
        <v>514</v>
      </c>
      <c r="F120">
        <v>24</v>
      </c>
    </row>
    <row r="121" spans="2:6" x14ac:dyDescent="0.3">
      <c r="B121" t="s">
        <v>630</v>
      </c>
      <c r="C121" t="s">
        <v>509</v>
      </c>
      <c r="D121">
        <v>24</v>
      </c>
      <c r="E121" t="s">
        <v>514</v>
      </c>
      <c r="F121">
        <v>24</v>
      </c>
    </row>
    <row r="122" spans="2:6" x14ac:dyDescent="0.3">
      <c r="B122" t="s">
        <v>631</v>
      </c>
      <c r="C122" t="s">
        <v>511</v>
      </c>
      <c r="D122">
        <v>18</v>
      </c>
      <c r="E122" t="s">
        <v>505</v>
      </c>
      <c r="F122">
        <v>21</v>
      </c>
    </row>
    <row r="123" spans="2:6" x14ac:dyDescent="0.3">
      <c r="B123" t="s">
        <v>632</v>
      </c>
      <c r="C123" t="s">
        <v>511</v>
      </c>
      <c r="D123">
        <v>21</v>
      </c>
      <c r="E123" t="s">
        <v>505</v>
      </c>
      <c r="F123">
        <v>21</v>
      </c>
    </row>
    <row r="124" spans="2:6" x14ac:dyDescent="0.3">
      <c r="B124" t="s">
        <v>633</v>
      </c>
      <c r="C124" t="s">
        <v>509</v>
      </c>
      <c r="D124">
        <v>24</v>
      </c>
      <c r="E124" t="s">
        <v>514</v>
      </c>
      <c r="F124">
        <v>24</v>
      </c>
    </row>
    <row r="125" spans="2:6" x14ac:dyDescent="0.3">
      <c r="B125" t="s">
        <v>634</v>
      </c>
      <c r="C125" t="s">
        <v>509</v>
      </c>
      <c r="D125">
        <v>18</v>
      </c>
      <c r="E125" t="s">
        <v>514</v>
      </c>
      <c r="F125">
        <v>18</v>
      </c>
    </row>
    <row r="126" spans="2:6" x14ac:dyDescent="0.3">
      <c r="B126" t="s">
        <v>635</v>
      </c>
      <c r="C126" t="s">
        <v>509</v>
      </c>
      <c r="D126">
        <v>21</v>
      </c>
      <c r="E126" t="s">
        <v>514</v>
      </c>
      <c r="F126">
        <v>21</v>
      </c>
    </row>
    <row r="127" spans="2:6" x14ac:dyDescent="0.3">
      <c r="B127" t="s">
        <v>636</v>
      </c>
      <c r="C127" t="s">
        <v>511</v>
      </c>
      <c r="D127">
        <v>21</v>
      </c>
      <c r="E127" t="s">
        <v>505</v>
      </c>
      <c r="F127">
        <v>21</v>
      </c>
    </row>
    <row r="128" spans="2:6" x14ac:dyDescent="0.3">
      <c r="B128" t="s">
        <v>637</v>
      </c>
      <c r="C128" t="s">
        <v>509</v>
      </c>
      <c r="D128">
        <v>24</v>
      </c>
      <c r="E128" t="s">
        <v>514</v>
      </c>
      <c r="F128">
        <v>21</v>
      </c>
    </row>
    <row r="129" spans="2:6" x14ac:dyDescent="0.3">
      <c r="B129" t="s">
        <v>638</v>
      </c>
      <c r="C129" t="s">
        <v>509</v>
      </c>
      <c r="D129">
        <v>18</v>
      </c>
      <c r="E129" t="s">
        <v>514</v>
      </c>
      <c r="F129">
        <v>18</v>
      </c>
    </row>
    <row r="130" spans="2:6" x14ac:dyDescent="0.3">
      <c r="B130" t="s">
        <v>639</v>
      </c>
      <c r="C130" t="s">
        <v>511</v>
      </c>
      <c r="D130">
        <v>21</v>
      </c>
      <c r="E130" t="s">
        <v>505</v>
      </c>
      <c r="F130">
        <v>21</v>
      </c>
    </row>
    <row r="131" spans="2:6" x14ac:dyDescent="0.3">
      <c r="B131" t="s">
        <v>640</v>
      </c>
      <c r="C131" t="s">
        <v>504</v>
      </c>
      <c r="D131">
        <v>24</v>
      </c>
      <c r="E131" t="s">
        <v>514</v>
      </c>
      <c r="F131">
        <v>21</v>
      </c>
    </row>
    <row r="132" spans="2:6" x14ac:dyDescent="0.3">
      <c r="B132" t="s">
        <v>641</v>
      </c>
      <c r="C132" t="s">
        <v>504</v>
      </c>
      <c r="D132">
        <v>27</v>
      </c>
      <c r="E132" t="s">
        <v>514</v>
      </c>
      <c r="F132">
        <v>24</v>
      </c>
    </row>
    <row r="133" spans="2:6" x14ac:dyDescent="0.3">
      <c r="B133" t="s">
        <v>642</v>
      </c>
      <c r="C133" t="s">
        <v>509</v>
      </c>
      <c r="D133">
        <v>27</v>
      </c>
      <c r="E133" t="s">
        <v>514</v>
      </c>
      <c r="F133">
        <v>27</v>
      </c>
    </row>
    <row r="134" spans="2:6" x14ac:dyDescent="0.3">
      <c r="B134" t="s">
        <v>643</v>
      </c>
      <c r="C134" t="s">
        <v>504</v>
      </c>
      <c r="D134">
        <v>24</v>
      </c>
      <c r="E134" t="s">
        <v>514</v>
      </c>
      <c r="F134">
        <v>21</v>
      </c>
    </row>
    <row r="135" spans="2:6" x14ac:dyDescent="0.3">
      <c r="B135" t="s">
        <v>644</v>
      </c>
      <c r="C135" t="s">
        <v>504</v>
      </c>
      <c r="D135">
        <v>27</v>
      </c>
      <c r="E135" t="s">
        <v>514</v>
      </c>
      <c r="F135">
        <v>24</v>
      </c>
    </row>
    <row r="136" spans="2:6" x14ac:dyDescent="0.3">
      <c r="B136" t="s">
        <v>645</v>
      </c>
      <c r="C136" t="s">
        <v>509</v>
      </c>
      <c r="D136">
        <v>27</v>
      </c>
      <c r="E136" t="s">
        <v>514</v>
      </c>
      <c r="F136">
        <v>27</v>
      </c>
    </row>
    <row r="137" spans="2:6" x14ac:dyDescent="0.3">
      <c r="B137" t="s">
        <v>646</v>
      </c>
      <c r="C137" t="s">
        <v>509</v>
      </c>
      <c r="D137">
        <v>21</v>
      </c>
      <c r="E137" t="s">
        <v>505</v>
      </c>
      <c r="F137">
        <v>24</v>
      </c>
    </row>
    <row r="138" spans="2:6" x14ac:dyDescent="0.3">
      <c r="B138" t="s">
        <v>647</v>
      </c>
      <c r="C138" t="s">
        <v>509</v>
      </c>
      <c r="D138">
        <v>24</v>
      </c>
      <c r="E138" t="s">
        <v>505</v>
      </c>
      <c r="F138">
        <v>27</v>
      </c>
    </row>
    <row r="139" spans="2:6" x14ac:dyDescent="0.3">
      <c r="B139" t="s">
        <v>648</v>
      </c>
      <c r="C139" t="s">
        <v>509</v>
      </c>
      <c r="D139">
        <v>21</v>
      </c>
      <c r="E139" t="s">
        <v>505</v>
      </c>
      <c r="F139">
        <v>24</v>
      </c>
    </row>
    <row r="140" spans="2:6" x14ac:dyDescent="0.3">
      <c r="B140" t="s">
        <v>649</v>
      </c>
      <c r="C140" t="s">
        <v>509</v>
      </c>
      <c r="D140">
        <v>24</v>
      </c>
      <c r="E140" t="s">
        <v>505</v>
      </c>
      <c r="F140">
        <v>27</v>
      </c>
    </row>
    <row r="141" spans="2:6" x14ac:dyDescent="0.3">
      <c r="B141" t="s">
        <v>650</v>
      </c>
      <c r="C141" t="s">
        <v>509</v>
      </c>
      <c r="D141">
        <v>30</v>
      </c>
      <c r="E141" t="s">
        <v>514</v>
      </c>
      <c r="F141">
        <v>30</v>
      </c>
    </row>
    <row r="142" spans="2:6" x14ac:dyDescent="0.3">
      <c r="B142" t="s">
        <v>651</v>
      </c>
      <c r="C142" t="s">
        <v>509</v>
      </c>
      <c r="D142">
        <v>33</v>
      </c>
      <c r="E142" t="s">
        <v>514</v>
      </c>
      <c r="F142">
        <v>30</v>
      </c>
    </row>
    <row r="143" spans="2:6" x14ac:dyDescent="0.3">
      <c r="B143" t="s">
        <v>652</v>
      </c>
      <c r="C143" t="s">
        <v>586</v>
      </c>
      <c r="D143">
        <v>12</v>
      </c>
      <c r="E143" t="s">
        <v>587</v>
      </c>
      <c r="F143">
        <v>10.5</v>
      </c>
    </row>
    <row r="144" spans="2:6" x14ac:dyDescent="0.3">
      <c r="B144" t="s">
        <v>653</v>
      </c>
      <c r="C144" t="s">
        <v>654</v>
      </c>
      <c r="D144">
        <v>30</v>
      </c>
      <c r="E144" t="s">
        <v>655</v>
      </c>
      <c r="F144">
        <v>27</v>
      </c>
    </row>
    <row r="145" spans="2:6" x14ac:dyDescent="0.3">
      <c r="B145" t="s">
        <v>656</v>
      </c>
      <c r="C145" t="s">
        <v>654</v>
      </c>
      <c r="D145">
        <v>30</v>
      </c>
      <c r="E145" t="s">
        <v>655</v>
      </c>
      <c r="F145">
        <v>27</v>
      </c>
    </row>
    <row r="146" spans="2:6" x14ac:dyDescent="0.3">
      <c r="B146" t="s">
        <v>657</v>
      </c>
      <c r="C146" t="s">
        <v>509</v>
      </c>
      <c r="D146">
        <v>13.5</v>
      </c>
      <c r="E146" t="s">
        <v>514</v>
      </c>
      <c r="F146">
        <v>15</v>
      </c>
    </row>
    <row r="147" spans="2:6" x14ac:dyDescent="0.3">
      <c r="B147" t="s">
        <v>658</v>
      </c>
      <c r="C147" t="s">
        <v>654</v>
      </c>
      <c r="D147">
        <v>45</v>
      </c>
      <c r="E147" t="s">
        <v>655</v>
      </c>
      <c r="F147">
        <v>42</v>
      </c>
    </row>
    <row r="148" spans="2:6" x14ac:dyDescent="0.3">
      <c r="B148" t="s">
        <v>659</v>
      </c>
      <c r="C148" t="s">
        <v>654</v>
      </c>
      <c r="D148">
        <v>45</v>
      </c>
      <c r="E148" t="s">
        <v>655</v>
      </c>
      <c r="F148">
        <v>42</v>
      </c>
    </row>
    <row r="149" spans="2:6" x14ac:dyDescent="0.3">
      <c r="B149" t="s">
        <v>660</v>
      </c>
      <c r="C149" t="s">
        <v>654</v>
      </c>
      <c r="D149">
        <v>57</v>
      </c>
      <c r="E149" t="s">
        <v>655</v>
      </c>
      <c r="F149">
        <v>54</v>
      </c>
    </row>
    <row r="150" spans="2:6" x14ac:dyDescent="0.3">
      <c r="B150" t="s">
        <v>661</v>
      </c>
      <c r="C150" t="s">
        <v>654</v>
      </c>
      <c r="D150">
        <v>57</v>
      </c>
      <c r="E150" t="s">
        <v>655</v>
      </c>
      <c r="F150">
        <v>54</v>
      </c>
    </row>
    <row r="151" spans="2:6" x14ac:dyDescent="0.3">
      <c r="B151" t="s">
        <v>662</v>
      </c>
      <c r="C151" t="s">
        <v>654</v>
      </c>
      <c r="D151">
        <v>24</v>
      </c>
      <c r="E151" t="s">
        <v>655</v>
      </c>
      <c r="F151">
        <v>21</v>
      </c>
    </row>
    <row r="152" spans="2:6" x14ac:dyDescent="0.3">
      <c r="B152" t="s">
        <v>663</v>
      </c>
      <c r="C152" t="s">
        <v>654</v>
      </c>
      <c r="D152">
        <v>24</v>
      </c>
      <c r="E152" t="s">
        <v>655</v>
      </c>
      <c r="F152">
        <v>21</v>
      </c>
    </row>
    <row r="153" spans="2:6" x14ac:dyDescent="0.3">
      <c r="B153" t="s">
        <v>664</v>
      </c>
      <c r="C153" t="s">
        <v>665</v>
      </c>
      <c r="D153">
        <v>24</v>
      </c>
      <c r="E153" t="s">
        <v>666</v>
      </c>
      <c r="F153">
        <v>27</v>
      </c>
    </row>
    <row r="154" spans="2:6" x14ac:dyDescent="0.3">
      <c r="B154" t="s">
        <v>667</v>
      </c>
      <c r="C154" t="s">
        <v>665</v>
      </c>
      <c r="D154">
        <v>27</v>
      </c>
      <c r="E154" t="s">
        <v>666</v>
      </c>
      <c r="F154">
        <v>30</v>
      </c>
    </row>
    <row r="155" spans="2:6" x14ac:dyDescent="0.3">
      <c r="B155" t="s">
        <v>668</v>
      </c>
      <c r="C155" t="s">
        <v>669</v>
      </c>
      <c r="D155">
        <v>27</v>
      </c>
      <c r="E155" t="s">
        <v>670</v>
      </c>
      <c r="F155">
        <v>27</v>
      </c>
    </row>
    <row r="156" spans="2:6" x14ac:dyDescent="0.3">
      <c r="B156" t="s">
        <v>671</v>
      </c>
      <c r="C156" t="s">
        <v>669</v>
      </c>
      <c r="D156">
        <v>27</v>
      </c>
      <c r="E156" t="s">
        <v>670</v>
      </c>
      <c r="F156">
        <v>27</v>
      </c>
    </row>
    <row r="157" spans="2:6" x14ac:dyDescent="0.3">
      <c r="B157" t="s">
        <v>672</v>
      </c>
      <c r="C157" t="s">
        <v>673</v>
      </c>
      <c r="D157">
        <v>27</v>
      </c>
      <c r="E157" t="s">
        <v>670</v>
      </c>
      <c r="F157">
        <v>30</v>
      </c>
    </row>
    <row r="158" spans="2:6" x14ac:dyDescent="0.3">
      <c r="B158" t="s">
        <v>674</v>
      </c>
      <c r="C158" t="s">
        <v>675</v>
      </c>
      <c r="D158">
        <v>30</v>
      </c>
      <c r="E158" t="s">
        <v>670</v>
      </c>
      <c r="F158">
        <v>33</v>
      </c>
    </row>
    <row r="159" spans="2:6" x14ac:dyDescent="0.3">
      <c r="B159" t="s">
        <v>676</v>
      </c>
      <c r="C159" t="s">
        <v>673</v>
      </c>
      <c r="D159">
        <v>39</v>
      </c>
      <c r="E159" t="s">
        <v>670</v>
      </c>
      <c r="F159">
        <v>42</v>
      </c>
    </row>
    <row r="160" spans="2:6" x14ac:dyDescent="0.3">
      <c r="B160" t="s">
        <v>677</v>
      </c>
      <c r="C160" t="s">
        <v>673</v>
      </c>
      <c r="D160">
        <v>33</v>
      </c>
      <c r="E160" t="s">
        <v>670</v>
      </c>
      <c r="F160">
        <v>36</v>
      </c>
    </row>
    <row r="161" spans="2:6" x14ac:dyDescent="0.3">
      <c r="B161" t="s">
        <v>678</v>
      </c>
      <c r="C161" t="s">
        <v>673</v>
      </c>
      <c r="D161">
        <v>36</v>
      </c>
      <c r="E161" t="s">
        <v>670</v>
      </c>
      <c r="F161">
        <v>39</v>
      </c>
    </row>
    <row r="162" spans="2:6" x14ac:dyDescent="0.3">
      <c r="B162" t="s">
        <v>679</v>
      </c>
      <c r="C162" t="s">
        <v>673</v>
      </c>
      <c r="D162">
        <v>39</v>
      </c>
      <c r="E162" t="s">
        <v>670</v>
      </c>
      <c r="F162">
        <v>42</v>
      </c>
    </row>
    <row r="163" spans="2:6" x14ac:dyDescent="0.3">
      <c r="B163" t="s">
        <v>680</v>
      </c>
      <c r="C163" t="s">
        <v>673</v>
      </c>
      <c r="D163">
        <v>42</v>
      </c>
      <c r="E163" t="s">
        <v>670</v>
      </c>
      <c r="F163">
        <v>45</v>
      </c>
    </row>
    <row r="164" spans="2:6" x14ac:dyDescent="0.3">
      <c r="B164" t="s">
        <v>681</v>
      </c>
      <c r="C164" t="s">
        <v>673</v>
      </c>
      <c r="D164">
        <v>45</v>
      </c>
      <c r="E164" t="s">
        <v>670</v>
      </c>
      <c r="F164">
        <v>48</v>
      </c>
    </row>
    <row r="165" spans="2:6" x14ac:dyDescent="0.3">
      <c r="B165" t="s">
        <v>682</v>
      </c>
      <c r="C165" t="s">
        <v>673</v>
      </c>
      <c r="D165">
        <v>48</v>
      </c>
      <c r="E165" t="s">
        <v>670</v>
      </c>
      <c r="F165">
        <v>51</v>
      </c>
    </row>
    <row r="166" spans="2:6" x14ac:dyDescent="0.3">
      <c r="B166" t="s">
        <v>683</v>
      </c>
      <c r="C166" t="s">
        <v>673</v>
      </c>
      <c r="D166">
        <v>54</v>
      </c>
      <c r="E166" t="s">
        <v>670</v>
      </c>
      <c r="F166">
        <v>57</v>
      </c>
    </row>
    <row r="167" spans="2:6" x14ac:dyDescent="0.3">
      <c r="B167" t="s">
        <v>684</v>
      </c>
      <c r="C167" t="s">
        <v>685</v>
      </c>
      <c r="D167">
        <v>9</v>
      </c>
      <c r="E167" t="s">
        <v>686</v>
      </c>
      <c r="F167">
        <v>12</v>
      </c>
    </row>
    <row r="168" spans="2:6" x14ac:dyDescent="0.3">
      <c r="B168" t="s">
        <v>687</v>
      </c>
      <c r="C168" t="s">
        <v>685</v>
      </c>
      <c r="D168">
        <v>12</v>
      </c>
      <c r="E168" t="s">
        <v>686</v>
      </c>
      <c r="F168">
        <v>15</v>
      </c>
    </row>
    <row r="169" spans="2:6" x14ac:dyDescent="0.3">
      <c r="B169" t="s">
        <v>688</v>
      </c>
      <c r="C169" t="s">
        <v>685</v>
      </c>
      <c r="D169">
        <v>12</v>
      </c>
      <c r="E169" t="s">
        <v>686</v>
      </c>
      <c r="F169">
        <v>15</v>
      </c>
    </row>
    <row r="170" spans="2:6" x14ac:dyDescent="0.3">
      <c r="B170" t="s">
        <v>689</v>
      </c>
      <c r="C170" t="s">
        <v>685</v>
      </c>
      <c r="D170">
        <v>9</v>
      </c>
      <c r="E170" t="s">
        <v>686</v>
      </c>
      <c r="F170">
        <v>12</v>
      </c>
    </row>
    <row r="171" spans="2:6" x14ac:dyDescent="0.3">
      <c r="B171" t="s">
        <v>690</v>
      </c>
      <c r="C171" t="s">
        <v>685</v>
      </c>
      <c r="D171">
        <v>12</v>
      </c>
      <c r="E171" t="s">
        <v>686</v>
      </c>
      <c r="F171">
        <v>15</v>
      </c>
    </row>
    <row r="172" spans="2:6" x14ac:dyDescent="0.3">
      <c r="B172" t="s">
        <v>691</v>
      </c>
      <c r="C172" t="s">
        <v>685</v>
      </c>
      <c r="D172">
        <v>12</v>
      </c>
      <c r="E172" t="s">
        <v>686</v>
      </c>
      <c r="F172">
        <v>15</v>
      </c>
    </row>
    <row r="173" spans="2:6" x14ac:dyDescent="0.3">
      <c r="B173" t="s">
        <v>692</v>
      </c>
      <c r="C173" t="s">
        <v>685</v>
      </c>
      <c r="D173">
        <v>15</v>
      </c>
      <c r="E173" t="s">
        <v>686</v>
      </c>
      <c r="F173">
        <v>18</v>
      </c>
    </row>
    <row r="174" spans="2:6" x14ac:dyDescent="0.3">
      <c r="B174" t="s">
        <v>693</v>
      </c>
      <c r="C174" t="s">
        <v>685</v>
      </c>
      <c r="D174">
        <v>12</v>
      </c>
      <c r="E174" t="s">
        <v>686</v>
      </c>
      <c r="F174">
        <v>15</v>
      </c>
    </row>
    <row r="175" spans="2:6" x14ac:dyDescent="0.3">
      <c r="B175" t="s">
        <v>694</v>
      </c>
      <c r="C175" t="s">
        <v>685</v>
      </c>
      <c r="D175">
        <v>15</v>
      </c>
      <c r="E175" t="s">
        <v>686</v>
      </c>
      <c r="F175">
        <v>18</v>
      </c>
    </row>
    <row r="176" spans="2:6" x14ac:dyDescent="0.3">
      <c r="B176" t="s">
        <v>695</v>
      </c>
      <c r="C176" t="s">
        <v>685</v>
      </c>
      <c r="D176">
        <v>12</v>
      </c>
      <c r="E176" t="s">
        <v>686</v>
      </c>
      <c r="F176">
        <v>15</v>
      </c>
    </row>
    <row r="177" spans="2:6" x14ac:dyDescent="0.3">
      <c r="B177" t="s">
        <v>696</v>
      </c>
      <c r="C177" t="s">
        <v>685</v>
      </c>
      <c r="D177">
        <v>15</v>
      </c>
      <c r="E177" t="s">
        <v>686</v>
      </c>
      <c r="F177">
        <v>15</v>
      </c>
    </row>
    <row r="178" spans="2:6" x14ac:dyDescent="0.3">
      <c r="B178" t="s">
        <v>697</v>
      </c>
      <c r="C178" t="s">
        <v>685</v>
      </c>
      <c r="D178">
        <v>9</v>
      </c>
      <c r="E178" t="s">
        <v>686</v>
      </c>
      <c r="F178">
        <v>12</v>
      </c>
    </row>
    <row r="179" spans="2:6" x14ac:dyDescent="0.3">
      <c r="B179" t="s">
        <v>698</v>
      </c>
      <c r="C179" t="s">
        <v>685</v>
      </c>
      <c r="D179">
        <v>12</v>
      </c>
      <c r="E179" t="s">
        <v>686</v>
      </c>
      <c r="F179">
        <v>15</v>
      </c>
    </row>
    <row r="180" spans="2:6" x14ac:dyDescent="0.3">
      <c r="B180" t="s">
        <v>699</v>
      </c>
      <c r="C180" t="s">
        <v>685</v>
      </c>
      <c r="D180">
        <v>15</v>
      </c>
      <c r="E180" t="s">
        <v>686</v>
      </c>
      <c r="F180">
        <v>15</v>
      </c>
    </row>
    <row r="181" spans="2:6" x14ac:dyDescent="0.3">
      <c r="B181" t="s">
        <v>700</v>
      </c>
      <c r="C181" t="s">
        <v>685</v>
      </c>
      <c r="D181">
        <v>9</v>
      </c>
      <c r="E181" t="s">
        <v>686</v>
      </c>
      <c r="F181">
        <v>12</v>
      </c>
    </row>
    <row r="182" spans="2:6" x14ac:dyDescent="0.3">
      <c r="B182" t="s">
        <v>701</v>
      </c>
      <c r="C182" t="s">
        <v>685</v>
      </c>
      <c r="D182">
        <v>12</v>
      </c>
      <c r="E182" t="s">
        <v>686</v>
      </c>
      <c r="F182">
        <v>15</v>
      </c>
    </row>
    <row r="183" spans="2:6" x14ac:dyDescent="0.3">
      <c r="B183" t="s">
        <v>702</v>
      </c>
      <c r="C183" t="s">
        <v>685</v>
      </c>
      <c r="D183">
        <v>15</v>
      </c>
      <c r="E183" t="s">
        <v>686</v>
      </c>
      <c r="F183">
        <v>15</v>
      </c>
    </row>
    <row r="184" spans="2:6" x14ac:dyDescent="0.3">
      <c r="B184" t="s">
        <v>703</v>
      </c>
      <c r="C184" t="s">
        <v>685</v>
      </c>
      <c r="D184">
        <v>12</v>
      </c>
      <c r="E184" t="s">
        <v>686</v>
      </c>
      <c r="F184">
        <v>15</v>
      </c>
    </row>
    <row r="185" spans="2:6" x14ac:dyDescent="0.3">
      <c r="B185" t="s">
        <v>704</v>
      </c>
      <c r="C185" t="s">
        <v>685</v>
      </c>
      <c r="D185">
        <v>15</v>
      </c>
      <c r="E185" t="s">
        <v>686</v>
      </c>
      <c r="F185">
        <v>18</v>
      </c>
    </row>
    <row r="186" spans="2:6" x14ac:dyDescent="0.3">
      <c r="B186" t="s">
        <v>705</v>
      </c>
      <c r="C186" t="s">
        <v>685</v>
      </c>
      <c r="D186">
        <v>18</v>
      </c>
      <c r="E186" t="s">
        <v>686</v>
      </c>
      <c r="F186">
        <v>18</v>
      </c>
    </row>
    <row r="187" spans="2:6" x14ac:dyDescent="0.3">
      <c r="B187" t="s">
        <v>706</v>
      </c>
      <c r="C187" t="s">
        <v>685</v>
      </c>
      <c r="D187">
        <v>12</v>
      </c>
      <c r="E187" t="s">
        <v>686</v>
      </c>
      <c r="F187">
        <v>15</v>
      </c>
    </row>
    <row r="188" spans="2:6" x14ac:dyDescent="0.3">
      <c r="B188" t="s">
        <v>707</v>
      </c>
      <c r="C188" t="s">
        <v>685</v>
      </c>
      <c r="D188">
        <v>15</v>
      </c>
      <c r="E188" t="s">
        <v>686</v>
      </c>
      <c r="F188">
        <v>18</v>
      </c>
    </row>
    <row r="189" spans="2:6" x14ac:dyDescent="0.3">
      <c r="B189" t="s">
        <v>708</v>
      </c>
      <c r="C189" t="s">
        <v>685</v>
      </c>
      <c r="D189">
        <v>18</v>
      </c>
      <c r="E189" t="s">
        <v>686</v>
      </c>
      <c r="F189">
        <v>18</v>
      </c>
    </row>
    <row r="190" spans="2:6" x14ac:dyDescent="0.3">
      <c r="B190" t="s">
        <v>709</v>
      </c>
      <c r="C190" t="s">
        <v>685</v>
      </c>
      <c r="D190">
        <v>12</v>
      </c>
      <c r="E190" t="s">
        <v>686</v>
      </c>
      <c r="F190">
        <v>15</v>
      </c>
    </row>
    <row r="191" spans="2:6" x14ac:dyDescent="0.3">
      <c r="B191" t="s">
        <v>710</v>
      </c>
      <c r="C191" t="s">
        <v>685</v>
      </c>
      <c r="D191">
        <v>15</v>
      </c>
      <c r="E191" t="s">
        <v>686</v>
      </c>
      <c r="F191">
        <v>18</v>
      </c>
    </row>
    <row r="192" spans="2:6" x14ac:dyDescent="0.3">
      <c r="B192" t="s">
        <v>711</v>
      </c>
      <c r="C192" t="s">
        <v>685</v>
      </c>
      <c r="D192">
        <v>18</v>
      </c>
      <c r="E192" t="s">
        <v>686</v>
      </c>
      <c r="F192">
        <v>18</v>
      </c>
    </row>
    <row r="193" spans="2:6" x14ac:dyDescent="0.3">
      <c r="B193" t="s">
        <v>712</v>
      </c>
      <c r="C193" t="s">
        <v>685</v>
      </c>
      <c r="D193">
        <v>12</v>
      </c>
      <c r="E193" t="s">
        <v>686</v>
      </c>
      <c r="F193">
        <v>15</v>
      </c>
    </row>
    <row r="194" spans="2:6" x14ac:dyDescent="0.3">
      <c r="B194" t="s">
        <v>713</v>
      </c>
      <c r="C194" t="s">
        <v>685</v>
      </c>
      <c r="D194">
        <v>15</v>
      </c>
      <c r="E194" t="s">
        <v>686</v>
      </c>
      <c r="F194">
        <v>18</v>
      </c>
    </row>
    <row r="195" spans="2:6" x14ac:dyDescent="0.3">
      <c r="B195" t="s">
        <v>714</v>
      </c>
      <c r="C195" t="s">
        <v>685</v>
      </c>
      <c r="D195">
        <v>18</v>
      </c>
      <c r="E195" t="s">
        <v>686</v>
      </c>
      <c r="F195">
        <v>18</v>
      </c>
    </row>
    <row r="196" spans="2:6" x14ac:dyDescent="0.3">
      <c r="B196" t="s">
        <v>715</v>
      </c>
      <c r="C196" t="s">
        <v>675</v>
      </c>
      <c r="D196">
        <v>12</v>
      </c>
      <c r="E196" t="s">
        <v>670</v>
      </c>
      <c r="F196">
        <v>15</v>
      </c>
    </row>
    <row r="197" spans="2:6" x14ac:dyDescent="0.3">
      <c r="B197" t="s">
        <v>716</v>
      </c>
      <c r="C197" t="s">
        <v>673</v>
      </c>
      <c r="D197">
        <v>12</v>
      </c>
      <c r="E197" t="s">
        <v>670</v>
      </c>
      <c r="F197">
        <v>15</v>
      </c>
    </row>
    <row r="198" spans="2:6" x14ac:dyDescent="0.3">
      <c r="B198" t="s">
        <v>717</v>
      </c>
      <c r="C198" t="s">
        <v>673</v>
      </c>
      <c r="D198">
        <v>12</v>
      </c>
      <c r="E198" t="s">
        <v>670</v>
      </c>
      <c r="F198">
        <v>15</v>
      </c>
    </row>
    <row r="199" spans="2:6" x14ac:dyDescent="0.3">
      <c r="B199" t="s">
        <v>718</v>
      </c>
      <c r="C199" t="s">
        <v>673</v>
      </c>
      <c r="D199">
        <v>15</v>
      </c>
      <c r="E199" t="s">
        <v>670</v>
      </c>
      <c r="F199">
        <v>18</v>
      </c>
    </row>
    <row r="200" spans="2:6" x14ac:dyDescent="0.3">
      <c r="B200" t="s">
        <v>719</v>
      </c>
      <c r="C200" t="s">
        <v>673</v>
      </c>
      <c r="D200">
        <v>12</v>
      </c>
      <c r="E200" t="s">
        <v>670</v>
      </c>
      <c r="F200">
        <v>15</v>
      </c>
    </row>
    <row r="201" spans="2:6" x14ac:dyDescent="0.3">
      <c r="B201" t="s">
        <v>720</v>
      </c>
      <c r="C201" t="s">
        <v>673</v>
      </c>
      <c r="D201">
        <v>15</v>
      </c>
      <c r="E201" t="s">
        <v>670</v>
      </c>
      <c r="F201">
        <v>18</v>
      </c>
    </row>
    <row r="202" spans="2:6" x14ac:dyDescent="0.3">
      <c r="B202" t="s">
        <v>721</v>
      </c>
      <c r="C202" t="s">
        <v>675</v>
      </c>
      <c r="D202">
        <v>12</v>
      </c>
      <c r="E202" t="s">
        <v>722</v>
      </c>
      <c r="F202">
        <v>15</v>
      </c>
    </row>
    <row r="203" spans="2:6" x14ac:dyDescent="0.3">
      <c r="B203" t="s">
        <v>723</v>
      </c>
      <c r="C203" t="s">
        <v>675</v>
      </c>
      <c r="D203">
        <v>15</v>
      </c>
      <c r="E203" t="s">
        <v>722</v>
      </c>
      <c r="F203">
        <v>15</v>
      </c>
    </row>
    <row r="204" spans="2:6" x14ac:dyDescent="0.3">
      <c r="B204" t="s">
        <v>724</v>
      </c>
      <c r="C204" t="s">
        <v>675</v>
      </c>
      <c r="D204">
        <v>15</v>
      </c>
      <c r="E204" t="s">
        <v>722</v>
      </c>
      <c r="F204">
        <v>15</v>
      </c>
    </row>
    <row r="205" spans="2:6" x14ac:dyDescent="0.3">
      <c r="B205" t="s">
        <v>725</v>
      </c>
      <c r="C205" t="s">
        <v>675</v>
      </c>
      <c r="D205">
        <v>12</v>
      </c>
      <c r="E205" t="s">
        <v>670</v>
      </c>
      <c r="F205">
        <v>15</v>
      </c>
    </row>
    <row r="206" spans="2:6" x14ac:dyDescent="0.3">
      <c r="B206" t="s">
        <v>726</v>
      </c>
      <c r="C206" t="s">
        <v>675</v>
      </c>
      <c r="D206">
        <v>12</v>
      </c>
      <c r="E206" t="s">
        <v>670</v>
      </c>
      <c r="F206">
        <v>15</v>
      </c>
    </row>
    <row r="207" spans="2:6" x14ac:dyDescent="0.3">
      <c r="B207" t="s">
        <v>727</v>
      </c>
      <c r="C207" t="s">
        <v>673</v>
      </c>
      <c r="D207">
        <v>18</v>
      </c>
      <c r="E207" t="s">
        <v>670</v>
      </c>
      <c r="F207">
        <v>21</v>
      </c>
    </row>
    <row r="208" spans="2:6" x14ac:dyDescent="0.3">
      <c r="B208" t="s">
        <v>728</v>
      </c>
      <c r="C208" t="s">
        <v>675</v>
      </c>
      <c r="D208">
        <v>21</v>
      </c>
      <c r="E208" t="s">
        <v>670</v>
      </c>
      <c r="F208">
        <v>24</v>
      </c>
    </row>
    <row r="209" spans="2:6" x14ac:dyDescent="0.3">
      <c r="B209" t="s">
        <v>729</v>
      </c>
      <c r="C209" t="s">
        <v>675</v>
      </c>
      <c r="D209">
        <v>48</v>
      </c>
      <c r="E209" t="s">
        <v>722</v>
      </c>
      <c r="F209">
        <v>45</v>
      </c>
    </row>
    <row r="210" spans="2:6" x14ac:dyDescent="0.3">
      <c r="B210" t="s">
        <v>730</v>
      </c>
      <c r="C210" t="s">
        <v>675</v>
      </c>
      <c r="D210">
        <v>12</v>
      </c>
      <c r="E210" t="s">
        <v>670</v>
      </c>
      <c r="F210">
        <v>15</v>
      </c>
    </row>
    <row r="211" spans="2:6" x14ac:dyDescent="0.3">
      <c r="B211" t="s">
        <v>731</v>
      </c>
      <c r="C211" t="s">
        <v>673</v>
      </c>
      <c r="D211">
        <v>15</v>
      </c>
      <c r="E211" t="s">
        <v>670</v>
      </c>
      <c r="F211">
        <v>18</v>
      </c>
    </row>
    <row r="212" spans="2:6" x14ac:dyDescent="0.3">
      <c r="B212" t="s">
        <v>732</v>
      </c>
      <c r="C212" t="s">
        <v>673</v>
      </c>
      <c r="D212">
        <v>18</v>
      </c>
      <c r="E212" t="s">
        <v>670</v>
      </c>
      <c r="F212">
        <v>18</v>
      </c>
    </row>
    <row r="213" spans="2:6" x14ac:dyDescent="0.3">
      <c r="B213" t="s">
        <v>733</v>
      </c>
      <c r="C213" t="s">
        <v>673</v>
      </c>
      <c r="D213">
        <v>18</v>
      </c>
      <c r="E213" t="s">
        <v>670</v>
      </c>
      <c r="F213">
        <v>21</v>
      </c>
    </row>
    <row r="214" spans="2:6" x14ac:dyDescent="0.3">
      <c r="B214" t="s">
        <v>734</v>
      </c>
      <c r="C214" t="s">
        <v>675</v>
      </c>
      <c r="D214">
        <v>12</v>
      </c>
      <c r="E214" t="s">
        <v>670</v>
      </c>
      <c r="F214">
        <v>15</v>
      </c>
    </row>
    <row r="215" spans="2:6" x14ac:dyDescent="0.3">
      <c r="B215" t="s">
        <v>735</v>
      </c>
      <c r="C215" t="s">
        <v>673</v>
      </c>
      <c r="D215">
        <v>15</v>
      </c>
      <c r="E215" t="s">
        <v>670</v>
      </c>
      <c r="F215">
        <v>18</v>
      </c>
    </row>
    <row r="216" spans="2:6" x14ac:dyDescent="0.3">
      <c r="B216" t="s">
        <v>736</v>
      </c>
      <c r="C216" t="s">
        <v>673</v>
      </c>
      <c r="D216">
        <v>18</v>
      </c>
      <c r="E216" t="s">
        <v>670</v>
      </c>
      <c r="F216">
        <v>18</v>
      </c>
    </row>
    <row r="217" spans="2:6" x14ac:dyDescent="0.3">
      <c r="B217" t="s">
        <v>737</v>
      </c>
      <c r="C217" t="s">
        <v>673</v>
      </c>
      <c r="D217">
        <v>18</v>
      </c>
      <c r="E217" t="s">
        <v>670</v>
      </c>
      <c r="F217">
        <v>21</v>
      </c>
    </row>
    <row r="218" spans="2:6" x14ac:dyDescent="0.3">
      <c r="B218" t="s">
        <v>738</v>
      </c>
      <c r="C218" t="s">
        <v>673</v>
      </c>
      <c r="D218">
        <v>15</v>
      </c>
      <c r="E218" t="s">
        <v>670</v>
      </c>
      <c r="F218">
        <v>18</v>
      </c>
    </row>
    <row r="219" spans="2:6" x14ac:dyDescent="0.3">
      <c r="B219" t="s">
        <v>739</v>
      </c>
      <c r="C219" t="s">
        <v>673</v>
      </c>
      <c r="D219">
        <v>18</v>
      </c>
      <c r="E219" t="s">
        <v>670</v>
      </c>
      <c r="F219">
        <v>21</v>
      </c>
    </row>
    <row r="220" spans="2:6" x14ac:dyDescent="0.3">
      <c r="B220" t="s">
        <v>740</v>
      </c>
      <c r="C220" t="s">
        <v>673</v>
      </c>
      <c r="D220">
        <v>15</v>
      </c>
      <c r="E220" t="s">
        <v>670</v>
      </c>
      <c r="F220">
        <v>18</v>
      </c>
    </row>
    <row r="221" spans="2:6" x14ac:dyDescent="0.3">
      <c r="B221" t="s">
        <v>741</v>
      </c>
      <c r="C221" t="s">
        <v>673</v>
      </c>
      <c r="D221">
        <v>18</v>
      </c>
      <c r="E221" t="s">
        <v>670</v>
      </c>
      <c r="F221">
        <v>21</v>
      </c>
    </row>
    <row r="222" spans="2:6" x14ac:dyDescent="0.3">
      <c r="B222" t="s">
        <v>742</v>
      </c>
      <c r="C222" t="s">
        <v>675</v>
      </c>
      <c r="D222">
        <v>54</v>
      </c>
      <c r="E222" t="s">
        <v>722</v>
      </c>
      <c r="F222">
        <v>51</v>
      </c>
    </row>
    <row r="223" spans="2:6" x14ac:dyDescent="0.3">
      <c r="B223" t="s">
        <v>743</v>
      </c>
      <c r="C223" t="s">
        <v>675</v>
      </c>
      <c r="D223">
        <v>63</v>
      </c>
      <c r="E223" t="s">
        <v>722</v>
      </c>
      <c r="F223">
        <v>60</v>
      </c>
    </row>
    <row r="224" spans="2:6" x14ac:dyDescent="0.3">
      <c r="B224" t="s">
        <v>744</v>
      </c>
      <c r="C224" t="s">
        <v>673</v>
      </c>
      <c r="D224">
        <v>18</v>
      </c>
      <c r="E224" t="s">
        <v>670</v>
      </c>
      <c r="F224">
        <v>21</v>
      </c>
    </row>
    <row r="225" spans="2:6" x14ac:dyDescent="0.3">
      <c r="B225" t="s">
        <v>745</v>
      </c>
      <c r="C225" t="s">
        <v>673</v>
      </c>
      <c r="D225">
        <v>21</v>
      </c>
      <c r="E225" t="s">
        <v>670</v>
      </c>
      <c r="F225">
        <v>21</v>
      </c>
    </row>
    <row r="226" spans="2:6" x14ac:dyDescent="0.3">
      <c r="B226" t="s">
        <v>746</v>
      </c>
      <c r="C226" t="s">
        <v>673</v>
      </c>
      <c r="D226">
        <v>21</v>
      </c>
      <c r="E226" t="s">
        <v>670</v>
      </c>
      <c r="F226">
        <v>24</v>
      </c>
    </row>
    <row r="227" spans="2:6" x14ac:dyDescent="0.3">
      <c r="B227" t="s">
        <v>747</v>
      </c>
      <c r="C227" t="s">
        <v>673</v>
      </c>
      <c r="D227">
        <v>18</v>
      </c>
      <c r="E227" t="s">
        <v>670</v>
      </c>
      <c r="F227">
        <v>21</v>
      </c>
    </row>
    <row r="228" spans="2:6" x14ac:dyDescent="0.3">
      <c r="B228" t="s">
        <v>748</v>
      </c>
      <c r="C228" t="s">
        <v>673</v>
      </c>
      <c r="D228">
        <v>21</v>
      </c>
      <c r="E228" t="s">
        <v>670</v>
      </c>
      <c r="F228">
        <v>21</v>
      </c>
    </row>
    <row r="229" spans="2:6" x14ac:dyDescent="0.3">
      <c r="B229" t="s">
        <v>749</v>
      </c>
      <c r="C229" t="s">
        <v>673</v>
      </c>
      <c r="D229">
        <v>21</v>
      </c>
      <c r="E229" t="s">
        <v>670</v>
      </c>
      <c r="F229">
        <v>24</v>
      </c>
    </row>
    <row r="230" spans="2:6" x14ac:dyDescent="0.3">
      <c r="B230" t="s">
        <v>750</v>
      </c>
      <c r="C230" t="s">
        <v>673</v>
      </c>
      <c r="D230">
        <v>21</v>
      </c>
      <c r="E230" t="s">
        <v>670</v>
      </c>
      <c r="F230">
        <v>21</v>
      </c>
    </row>
    <row r="231" spans="2:6" x14ac:dyDescent="0.3">
      <c r="B231" t="s">
        <v>751</v>
      </c>
      <c r="C231" t="s">
        <v>673</v>
      </c>
      <c r="D231">
        <v>21</v>
      </c>
      <c r="E231" t="s">
        <v>670</v>
      </c>
      <c r="F231">
        <v>21</v>
      </c>
    </row>
    <row r="232" spans="2:6" x14ac:dyDescent="0.3">
      <c r="B232" t="s">
        <v>752</v>
      </c>
      <c r="C232" t="s">
        <v>673</v>
      </c>
      <c r="D232">
        <v>18</v>
      </c>
      <c r="E232" t="s">
        <v>670</v>
      </c>
      <c r="F232">
        <v>21</v>
      </c>
    </row>
    <row r="233" spans="2:6" x14ac:dyDescent="0.3">
      <c r="B233" t="s">
        <v>753</v>
      </c>
      <c r="C233" t="s">
        <v>669</v>
      </c>
      <c r="D233">
        <v>24</v>
      </c>
      <c r="E233" t="s">
        <v>722</v>
      </c>
      <c r="F233">
        <v>21</v>
      </c>
    </row>
    <row r="234" spans="2:6" x14ac:dyDescent="0.3">
      <c r="B234" t="s">
        <v>754</v>
      </c>
      <c r="C234" t="s">
        <v>669</v>
      </c>
      <c r="D234">
        <v>27</v>
      </c>
      <c r="E234" t="s">
        <v>722</v>
      </c>
      <c r="F234">
        <v>24</v>
      </c>
    </row>
    <row r="235" spans="2:6" x14ac:dyDescent="0.3">
      <c r="B235" t="s">
        <v>755</v>
      </c>
      <c r="C235" t="s">
        <v>673</v>
      </c>
      <c r="D235">
        <v>18</v>
      </c>
      <c r="E235" t="s">
        <v>670</v>
      </c>
      <c r="F235">
        <v>21</v>
      </c>
    </row>
    <row r="236" spans="2:6" x14ac:dyDescent="0.3">
      <c r="B236" t="s">
        <v>756</v>
      </c>
      <c r="C236" t="s">
        <v>669</v>
      </c>
      <c r="D236">
        <v>24</v>
      </c>
      <c r="E236" t="s">
        <v>722</v>
      </c>
      <c r="F236">
        <v>21</v>
      </c>
    </row>
    <row r="237" spans="2:6" x14ac:dyDescent="0.3">
      <c r="B237" t="s">
        <v>757</v>
      </c>
      <c r="C237" t="s">
        <v>669</v>
      </c>
      <c r="D237">
        <v>27</v>
      </c>
      <c r="E237" t="s">
        <v>722</v>
      </c>
      <c r="F237">
        <v>24</v>
      </c>
    </row>
    <row r="238" spans="2:6" x14ac:dyDescent="0.3">
      <c r="B238" t="s">
        <v>758</v>
      </c>
      <c r="C238" t="s">
        <v>675</v>
      </c>
      <c r="D238">
        <v>21</v>
      </c>
      <c r="E238" t="s">
        <v>670</v>
      </c>
      <c r="F238">
        <v>24</v>
      </c>
    </row>
    <row r="239" spans="2:6" x14ac:dyDescent="0.3">
      <c r="B239" t="s">
        <v>759</v>
      </c>
      <c r="C239" t="s">
        <v>675</v>
      </c>
      <c r="D239">
        <v>24</v>
      </c>
      <c r="E239" t="s">
        <v>670</v>
      </c>
      <c r="F239">
        <v>27</v>
      </c>
    </row>
    <row r="240" spans="2:6" x14ac:dyDescent="0.3">
      <c r="B240" t="s">
        <v>760</v>
      </c>
      <c r="C240" t="s">
        <v>675</v>
      </c>
      <c r="D240">
        <v>21</v>
      </c>
      <c r="E240" t="s">
        <v>670</v>
      </c>
      <c r="F240">
        <v>24</v>
      </c>
    </row>
    <row r="241" spans="2:6" x14ac:dyDescent="0.3">
      <c r="B241" t="s">
        <v>761</v>
      </c>
      <c r="C241" t="s">
        <v>675</v>
      </c>
      <c r="D241">
        <v>24</v>
      </c>
      <c r="E241" t="s">
        <v>670</v>
      </c>
      <c r="F241">
        <v>27</v>
      </c>
    </row>
    <row r="242" spans="2:6" x14ac:dyDescent="0.3">
      <c r="B242" t="s">
        <v>762</v>
      </c>
      <c r="C242" t="s">
        <v>673</v>
      </c>
      <c r="D242">
        <v>27</v>
      </c>
      <c r="E242" t="s">
        <v>670</v>
      </c>
      <c r="F242">
        <v>30</v>
      </c>
    </row>
    <row r="243" spans="2:6" x14ac:dyDescent="0.3">
      <c r="B243" t="s">
        <v>763</v>
      </c>
      <c r="C243" t="s">
        <v>673</v>
      </c>
      <c r="D243">
        <v>33</v>
      </c>
      <c r="E243" t="s">
        <v>670</v>
      </c>
      <c r="F243">
        <v>36</v>
      </c>
    </row>
    <row r="244" spans="2:6" x14ac:dyDescent="0.3">
      <c r="B244" t="s">
        <v>764</v>
      </c>
      <c r="C244" t="s">
        <v>673</v>
      </c>
      <c r="D244">
        <v>45</v>
      </c>
      <c r="E244" t="s">
        <v>670</v>
      </c>
      <c r="F244">
        <v>48</v>
      </c>
    </row>
    <row r="245" spans="2:6" x14ac:dyDescent="0.3">
      <c r="B245" t="s">
        <v>765</v>
      </c>
      <c r="C245" t="s">
        <v>685</v>
      </c>
      <c r="D245">
        <v>9</v>
      </c>
      <c r="E245" t="s">
        <v>686</v>
      </c>
      <c r="F245">
        <v>12</v>
      </c>
    </row>
    <row r="246" spans="2:6" x14ac:dyDescent="0.3">
      <c r="B246" t="s">
        <v>766</v>
      </c>
      <c r="C246" t="s">
        <v>685</v>
      </c>
      <c r="D246">
        <v>12</v>
      </c>
      <c r="E246" t="s">
        <v>686</v>
      </c>
      <c r="F246">
        <v>15</v>
      </c>
    </row>
    <row r="247" spans="2:6" x14ac:dyDescent="0.3">
      <c r="B247" t="s">
        <v>767</v>
      </c>
      <c r="C247" t="s">
        <v>685</v>
      </c>
      <c r="D247">
        <v>12</v>
      </c>
      <c r="E247" t="s">
        <v>686</v>
      </c>
      <c r="F247">
        <v>15</v>
      </c>
    </row>
    <row r="248" spans="2:6" x14ac:dyDescent="0.3">
      <c r="B248" t="s">
        <v>768</v>
      </c>
      <c r="C248" t="s">
        <v>685</v>
      </c>
      <c r="D248">
        <v>15</v>
      </c>
      <c r="E248" t="s">
        <v>686</v>
      </c>
      <c r="F248">
        <v>18</v>
      </c>
    </row>
    <row r="249" spans="2:6" x14ac:dyDescent="0.3">
      <c r="B249" t="s">
        <v>769</v>
      </c>
      <c r="C249" t="s">
        <v>685</v>
      </c>
      <c r="D249">
        <v>15</v>
      </c>
      <c r="E249" t="s">
        <v>686</v>
      </c>
      <c r="F249">
        <v>18</v>
      </c>
    </row>
    <row r="250" spans="2:6" x14ac:dyDescent="0.3">
      <c r="B250" t="s">
        <v>770</v>
      </c>
      <c r="C250" t="s">
        <v>685</v>
      </c>
      <c r="D250">
        <v>12</v>
      </c>
      <c r="E250" t="s">
        <v>686</v>
      </c>
      <c r="F250">
        <v>15</v>
      </c>
    </row>
    <row r="251" spans="2:6" x14ac:dyDescent="0.3">
      <c r="B251" t="s">
        <v>771</v>
      </c>
      <c r="C251" t="s">
        <v>685</v>
      </c>
      <c r="D251">
        <v>15</v>
      </c>
      <c r="E251" t="s">
        <v>686</v>
      </c>
      <c r="F251">
        <v>18</v>
      </c>
    </row>
    <row r="252" spans="2:6" x14ac:dyDescent="0.3">
      <c r="B252" t="s">
        <v>772</v>
      </c>
      <c r="C252" t="s">
        <v>673</v>
      </c>
      <c r="D252">
        <v>15</v>
      </c>
      <c r="E252" t="s">
        <v>670</v>
      </c>
      <c r="F252">
        <v>18</v>
      </c>
    </row>
    <row r="253" spans="2:6" x14ac:dyDescent="0.3">
      <c r="B253" t="s">
        <v>773</v>
      </c>
      <c r="C253" t="s">
        <v>673</v>
      </c>
      <c r="D253">
        <v>15</v>
      </c>
      <c r="E253" t="s">
        <v>670</v>
      </c>
      <c r="F253">
        <v>18</v>
      </c>
    </row>
    <row r="254" spans="2:6" x14ac:dyDescent="0.3">
      <c r="B254" t="s">
        <v>774</v>
      </c>
      <c r="C254" t="s">
        <v>669</v>
      </c>
      <c r="D254">
        <v>24</v>
      </c>
      <c r="E254" t="s">
        <v>722</v>
      </c>
      <c r="F254">
        <v>21</v>
      </c>
    </row>
    <row r="255" spans="2:6" x14ac:dyDescent="0.3">
      <c r="B255" t="s">
        <v>775</v>
      </c>
      <c r="C255" t="s">
        <v>669</v>
      </c>
      <c r="D255">
        <v>24</v>
      </c>
      <c r="E255" t="s">
        <v>722</v>
      </c>
      <c r="F255">
        <v>21</v>
      </c>
    </row>
    <row r="256" spans="2:6" x14ac:dyDescent="0.3">
      <c r="B256" t="s">
        <v>776</v>
      </c>
      <c r="C256" t="s">
        <v>675</v>
      </c>
      <c r="D256">
        <v>21</v>
      </c>
      <c r="E256" t="s">
        <v>670</v>
      </c>
      <c r="F256">
        <v>24</v>
      </c>
    </row>
    <row r="257" spans="2:6" x14ac:dyDescent="0.3">
      <c r="B257" t="s">
        <v>777</v>
      </c>
      <c r="C257" t="s">
        <v>675</v>
      </c>
      <c r="D257">
        <v>21</v>
      </c>
      <c r="E257" t="s">
        <v>670</v>
      </c>
      <c r="F257">
        <v>24</v>
      </c>
    </row>
    <row r="258" spans="2:6" x14ac:dyDescent="0.3">
      <c r="B258" t="s">
        <v>778</v>
      </c>
      <c r="C258" t="s">
        <v>665</v>
      </c>
      <c r="D258">
        <v>24</v>
      </c>
      <c r="E258" t="s">
        <v>666</v>
      </c>
      <c r="F258">
        <v>27</v>
      </c>
    </row>
    <row r="259" spans="2:6" x14ac:dyDescent="0.3">
      <c r="B259" t="s">
        <v>779</v>
      </c>
      <c r="C259" t="s">
        <v>780</v>
      </c>
      <c r="D259">
        <v>27</v>
      </c>
      <c r="E259" t="s">
        <v>781</v>
      </c>
      <c r="F259">
        <v>30</v>
      </c>
    </row>
    <row r="260" spans="2:6" x14ac:dyDescent="0.3">
      <c r="B260" t="s">
        <v>782</v>
      </c>
      <c r="C260" t="s">
        <v>780</v>
      </c>
      <c r="D260">
        <v>28</v>
      </c>
      <c r="E260" t="s">
        <v>781</v>
      </c>
      <c r="F260">
        <v>28</v>
      </c>
    </row>
    <row r="261" spans="2:6" x14ac:dyDescent="0.3">
      <c r="B261" t="s">
        <v>783</v>
      </c>
      <c r="C261" t="s">
        <v>685</v>
      </c>
      <c r="D261">
        <v>12</v>
      </c>
      <c r="E261" t="s">
        <v>784</v>
      </c>
      <c r="F261">
        <v>12</v>
      </c>
    </row>
    <row r="262" spans="2:6" x14ac:dyDescent="0.3">
      <c r="B262" t="s">
        <v>785</v>
      </c>
      <c r="C262" t="s">
        <v>685</v>
      </c>
      <c r="D262">
        <v>12</v>
      </c>
      <c r="E262" t="s">
        <v>784</v>
      </c>
      <c r="F262">
        <v>12</v>
      </c>
    </row>
    <row r="263" spans="2:6" x14ac:dyDescent="0.3">
      <c r="B263" t="s">
        <v>786</v>
      </c>
      <c r="C263" t="s">
        <v>685</v>
      </c>
      <c r="D263">
        <v>12</v>
      </c>
      <c r="E263" t="s">
        <v>787</v>
      </c>
      <c r="F263">
        <v>12</v>
      </c>
    </row>
    <row r="264" spans="2:6" x14ac:dyDescent="0.3">
      <c r="B264" t="s">
        <v>788</v>
      </c>
      <c r="C264" t="s">
        <v>685</v>
      </c>
      <c r="D264">
        <v>12</v>
      </c>
      <c r="E264" t="s">
        <v>784</v>
      </c>
      <c r="F264">
        <v>12</v>
      </c>
    </row>
    <row r="265" spans="2:6" x14ac:dyDescent="0.3">
      <c r="B265" t="s">
        <v>789</v>
      </c>
      <c r="C265" t="s">
        <v>685</v>
      </c>
      <c r="D265">
        <v>12</v>
      </c>
      <c r="E265" t="s">
        <v>784</v>
      </c>
      <c r="F265">
        <v>12</v>
      </c>
    </row>
    <row r="266" spans="2:6" x14ac:dyDescent="0.3">
      <c r="B266" t="s">
        <v>790</v>
      </c>
      <c r="C266" t="s">
        <v>685</v>
      </c>
      <c r="D266">
        <v>12</v>
      </c>
      <c r="E266" t="s">
        <v>787</v>
      </c>
      <c r="F266">
        <v>12</v>
      </c>
    </row>
    <row r="267" spans="2:6" x14ac:dyDescent="0.3">
      <c r="B267" t="s">
        <v>791</v>
      </c>
      <c r="C267" t="s">
        <v>685</v>
      </c>
      <c r="D267">
        <v>15</v>
      </c>
      <c r="E267" t="s">
        <v>784</v>
      </c>
      <c r="F267">
        <v>15</v>
      </c>
    </row>
    <row r="268" spans="2:6" x14ac:dyDescent="0.3">
      <c r="B268" t="s">
        <v>792</v>
      </c>
      <c r="C268" t="s">
        <v>685</v>
      </c>
      <c r="D268">
        <v>15</v>
      </c>
      <c r="E268" t="s">
        <v>787</v>
      </c>
      <c r="F268">
        <v>15</v>
      </c>
    </row>
    <row r="269" spans="2:6" x14ac:dyDescent="0.3">
      <c r="B269" t="s">
        <v>793</v>
      </c>
      <c r="C269" t="s">
        <v>685</v>
      </c>
      <c r="D269">
        <v>15</v>
      </c>
      <c r="E269" t="s">
        <v>784</v>
      </c>
      <c r="F269">
        <v>15</v>
      </c>
    </row>
    <row r="270" spans="2:6" x14ac:dyDescent="0.3">
      <c r="B270" t="s">
        <v>794</v>
      </c>
      <c r="C270" t="s">
        <v>685</v>
      </c>
      <c r="D270">
        <v>15</v>
      </c>
      <c r="E270" t="s">
        <v>784</v>
      </c>
      <c r="F270">
        <v>15</v>
      </c>
    </row>
    <row r="271" spans="2:6" x14ac:dyDescent="0.3">
      <c r="B271" t="s">
        <v>795</v>
      </c>
      <c r="C271" t="s">
        <v>685</v>
      </c>
      <c r="D271">
        <v>15</v>
      </c>
      <c r="E271" t="s">
        <v>784</v>
      </c>
      <c r="F271">
        <v>15</v>
      </c>
    </row>
    <row r="272" spans="2:6" x14ac:dyDescent="0.3">
      <c r="B272" t="s">
        <v>796</v>
      </c>
      <c r="C272" t="s">
        <v>685</v>
      </c>
      <c r="D272">
        <v>15</v>
      </c>
      <c r="E272" t="s">
        <v>787</v>
      </c>
      <c r="F272">
        <v>15</v>
      </c>
    </row>
    <row r="273" spans="2:6" x14ac:dyDescent="0.3">
      <c r="B273" t="s">
        <v>797</v>
      </c>
      <c r="C273" t="s">
        <v>685</v>
      </c>
      <c r="D273">
        <v>15</v>
      </c>
      <c r="E273" t="s">
        <v>787</v>
      </c>
      <c r="F273">
        <v>18</v>
      </c>
    </row>
    <row r="274" spans="2:6" x14ac:dyDescent="0.3">
      <c r="B274" t="s">
        <v>798</v>
      </c>
      <c r="C274" t="s">
        <v>685</v>
      </c>
      <c r="D274">
        <v>15</v>
      </c>
      <c r="E274" t="s">
        <v>784</v>
      </c>
      <c r="F274">
        <v>15</v>
      </c>
    </row>
    <row r="275" spans="2:6" x14ac:dyDescent="0.3">
      <c r="B275" t="s">
        <v>799</v>
      </c>
      <c r="C275" t="s">
        <v>685</v>
      </c>
      <c r="D275">
        <v>15</v>
      </c>
      <c r="E275" t="s">
        <v>787</v>
      </c>
      <c r="F275">
        <v>15</v>
      </c>
    </row>
    <row r="276" spans="2:6" x14ac:dyDescent="0.3">
      <c r="B276" t="s">
        <v>800</v>
      </c>
      <c r="C276" t="s">
        <v>685</v>
      </c>
      <c r="D276">
        <v>15</v>
      </c>
      <c r="E276" t="s">
        <v>787</v>
      </c>
      <c r="F276">
        <v>18</v>
      </c>
    </row>
    <row r="277" spans="2:6" x14ac:dyDescent="0.3">
      <c r="B277" t="s">
        <v>801</v>
      </c>
      <c r="C277" t="s">
        <v>685</v>
      </c>
      <c r="D277">
        <v>18</v>
      </c>
      <c r="E277" t="s">
        <v>784</v>
      </c>
      <c r="F277">
        <v>15</v>
      </c>
    </row>
    <row r="278" spans="2:6" x14ac:dyDescent="0.3">
      <c r="B278" t="s">
        <v>802</v>
      </c>
      <c r="C278" t="s">
        <v>685</v>
      </c>
      <c r="D278">
        <v>18</v>
      </c>
      <c r="E278" t="s">
        <v>784</v>
      </c>
      <c r="F278">
        <v>15</v>
      </c>
    </row>
    <row r="279" spans="2:6" x14ac:dyDescent="0.3">
      <c r="B279" t="s">
        <v>803</v>
      </c>
      <c r="C279" t="s">
        <v>685</v>
      </c>
      <c r="D279">
        <v>18</v>
      </c>
      <c r="E279" t="s">
        <v>787</v>
      </c>
      <c r="F279">
        <v>18</v>
      </c>
    </row>
    <row r="280" spans="2:6" x14ac:dyDescent="0.3">
      <c r="B280" t="s">
        <v>804</v>
      </c>
      <c r="C280" t="s">
        <v>685</v>
      </c>
      <c r="D280">
        <v>18</v>
      </c>
      <c r="E280" t="s">
        <v>784</v>
      </c>
      <c r="F280">
        <v>15</v>
      </c>
    </row>
    <row r="281" spans="2:6" x14ac:dyDescent="0.3">
      <c r="B281" t="s">
        <v>805</v>
      </c>
      <c r="C281" t="s">
        <v>685</v>
      </c>
      <c r="D281">
        <v>18</v>
      </c>
      <c r="E281" t="s">
        <v>784</v>
      </c>
      <c r="F281">
        <v>15</v>
      </c>
    </row>
    <row r="282" spans="2:6" x14ac:dyDescent="0.3">
      <c r="B282" t="s">
        <v>806</v>
      </c>
      <c r="C282" t="s">
        <v>685</v>
      </c>
      <c r="D282">
        <v>18</v>
      </c>
      <c r="E282" t="s">
        <v>787</v>
      </c>
      <c r="F282">
        <v>18</v>
      </c>
    </row>
    <row r="283" spans="2:6" x14ac:dyDescent="0.3">
      <c r="B283" t="s">
        <v>807</v>
      </c>
      <c r="C283" t="s">
        <v>808</v>
      </c>
      <c r="D283">
        <v>12</v>
      </c>
      <c r="E283" t="s">
        <v>809</v>
      </c>
      <c r="F283">
        <v>12</v>
      </c>
    </row>
    <row r="284" spans="2:6" x14ac:dyDescent="0.3">
      <c r="B284" t="s">
        <v>810</v>
      </c>
      <c r="C284" t="s">
        <v>808</v>
      </c>
      <c r="D284">
        <v>12</v>
      </c>
      <c r="E284" t="s">
        <v>809</v>
      </c>
      <c r="F284">
        <v>12</v>
      </c>
    </row>
    <row r="285" spans="2:6" x14ac:dyDescent="0.3">
      <c r="B285" t="s">
        <v>811</v>
      </c>
      <c r="C285" t="s">
        <v>808</v>
      </c>
      <c r="D285">
        <v>15</v>
      </c>
      <c r="E285" t="s">
        <v>809</v>
      </c>
      <c r="F285">
        <v>15</v>
      </c>
    </row>
    <row r="286" spans="2:6" x14ac:dyDescent="0.3">
      <c r="B286" t="s">
        <v>812</v>
      </c>
      <c r="C286" t="s">
        <v>808</v>
      </c>
      <c r="D286">
        <v>15</v>
      </c>
      <c r="E286" t="s">
        <v>809</v>
      </c>
      <c r="F286">
        <v>15</v>
      </c>
    </row>
    <row r="287" spans="2:6" x14ac:dyDescent="0.3">
      <c r="B287" t="s">
        <v>813</v>
      </c>
      <c r="C287" t="s">
        <v>808</v>
      </c>
      <c r="D287">
        <v>15</v>
      </c>
      <c r="E287" t="s">
        <v>809</v>
      </c>
      <c r="F287">
        <v>15</v>
      </c>
    </row>
    <row r="288" spans="2:6" x14ac:dyDescent="0.3">
      <c r="B288" t="s">
        <v>814</v>
      </c>
      <c r="C288" t="s">
        <v>808</v>
      </c>
      <c r="D288">
        <v>15</v>
      </c>
      <c r="E288" t="s">
        <v>809</v>
      </c>
      <c r="F288">
        <v>15</v>
      </c>
    </row>
    <row r="289" spans="2:6" x14ac:dyDescent="0.3">
      <c r="B289" t="s">
        <v>815</v>
      </c>
      <c r="C289" t="s">
        <v>808</v>
      </c>
      <c r="D289">
        <v>18</v>
      </c>
      <c r="E289" t="s">
        <v>809</v>
      </c>
      <c r="F289">
        <v>18</v>
      </c>
    </row>
    <row r="290" spans="2:6" x14ac:dyDescent="0.3">
      <c r="B290" t="s">
        <v>816</v>
      </c>
      <c r="C290" t="s">
        <v>808</v>
      </c>
      <c r="D290">
        <v>18</v>
      </c>
      <c r="E290" t="s">
        <v>809</v>
      </c>
      <c r="F290">
        <v>18</v>
      </c>
    </row>
    <row r="291" spans="2:6" x14ac:dyDescent="0.3">
      <c r="B291" t="s">
        <v>817</v>
      </c>
      <c r="C291" t="s">
        <v>808</v>
      </c>
      <c r="D291">
        <v>18</v>
      </c>
      <c r="E291" t="s">
        <v>809</v>
      </c>
      <c r="F291">
        <v>18</v>
      </c>
    </row>
    <row r="292" spans="2:6" x14ac:dyDescent="0.3">
      <c r="B292" t="s">
        <v>818</v>
      </c>
      <c r="C292" t="s">
        <v>808</v>
      </c>
      <c r="D292">
        <v>18</v>
      </c>
      <c r="E292" t="s">
        <v>809</v>
      </c>
      <c r="F292">
        <v>18</v>
      </c>
    </row>
    <row r="293" spans="2:6" x14ac:dyDescent="0.3">
      <c r="B293" t="s">
        <v>819</v>
      </c>
      <c r="C293" t="s">
        <v>808</v>
      </c>
      <c r="D293">
        <v>21</v>
      </c>
      <c r="E293" t="s">
        <v>809</v>
      </c>
      <c r="F293">
        <v>21</v>
      </c>
    </row>
    <row r="294" spans="2:6" x14ac:dyDescent="0.3">
      <c r="B294" t="s">
        <v>820</v>
      </c>
      <c r="C294" t="s">
        <v>808</v>
      </c>
      <c r="D294">
        <v>21</v>
      </c>
      <c r="E294" t="s">
        <v>809</v>
      </c>
      <c r="F294">
        <v>21</v>
      </c>
    </row>
    <row r="295" spans="2:6" x14ac:dyDescent="0.3">
      <c r="B295" t="s">
        <v>821</v>
      </c>
      <c r="C295" t="s">
        <v>808</v>
      </c>
      <c r="D295">
        <v>21</v>
      </c>
      <c r="E295" t="s">
        <v>809</v>
      </c>
      <c r="F295">
        <v>18</v>
      </c>
    </row>
    <row r="296" spans="2:6" x14ac:dyDescent="0.3">
      <c r="B296" t="s">
        <v>822</v>
      </c>
      <c r="C296" t="s">
        <v>808</v>
      </c>
      <c r="D296">
        <v>21</v>
      </c>
      <c r="E296" t="s">
        <v>809</v>
      </c>
      <c r="F296">
        <v>18</v>
      </c>
    </row>
    <row r="297" spans="2:6" x14ac:dyDescent="0.3">
      <c r="B297" t="s">
        <v>823</v>
      </c>
      <c r="C297" t="s">
        <v>808</v>
      </c>
      <c r="D297">
        <v>24</v>
      </c>
      <c r="E297" t="s">
        <v>809</v>
      </c>
      <c r="F297">
        <v>24</v>
      </c>
    </row>
    <row r="298" spans="2:6" x14ac:dyDescent="0.3">
      <c r="B298" t="s">
        <v>824</v>
      </c>
      <c r="C298" t="s">
        <v>808</v>
      </c>
      <c r="D298">
        <v>24</v>
      </c>
      <c r="E298" t="s">
        <v>809</v>
      </c>
      <c r="F298">
        <v>24</v>
      </c>
    </row>
    <row r="299" spans="2:6" x14ac:dyDescent="0.3">
      <c r="B299" t="s">
        <v>825</v>
      </c>
      <c r="C299" t="s">
        <v>826</v>
      </c>
      <c r="D299">
        <v>2.25</v>
      </c>
      <c r="E299" t="s">
        <v>827</v>
      </c>
      <c r="F299">
        <v>3</v>
      </c>
    </row>
    <row r="300" spans="2:6" x14ac:dyDescent="0.3">
      <c r="B300" t="s">
        <v>828</v>
      </c>
      <c r="C300" t="s">
        <v>829</v>
      </c>
      <c r="D300">
        <v>3.0005999999999999</v>
      </c>
      <c r="E300" t="s">
        <v>830</v>
      </c>
      <c r="F300">
        <v>4.0007999999999999</v>
      </c>
    </row>
    <row r="301" spans="2:6" x14ac:dyDescent="0.3">
      <c r="B301" t="s">
        <v>831</v>
      </c>
      <c r="C301" t="s">
        <v>832</v>
      </c>
      <c r="D301">
        <v>21</v>
      </c>
      <c r="E301" t="s">
        <v>809</v>
      </c>
      <c r="F301">
        <v>21</v>
      </c>
    </row>
    <row r="302" spans="2:6" x14ac:dyDescent="0.3">
      <c r="B302" t="s">
        <v>833</v>
      </c>
      <c r="C302" t="s">
        <v>832</v>
      </c>
      <c r="D302">
        <v>21</v>
      </c>
      <c r="E302" t="s">
        <v>809</v>
      </c>
      <c r="F302">
        <v>21</v>
      </c>
    </row>
    <row r="303" spans="2:6" x14ac:dyDescent="0.3">
      <c r="B303" t="s">
        <v>834</v>
      </c>
      <c r="C303" t="s">
        <v>832</v>
      </c>
      <c r="D303">
        <v>24</v>
      </c>
      <c r="E303" t="s">
        <v>809</v>
      </c>
      <c r="F303">
        <v>24</v>
      </c>
    </row>
    <row r="304" spans="2:6" x14ac:dyDescent="0.3">
      <c r="B304" t="s">
        <v>835</v>
      </c>
      <c r="C304" t="s">
        <v>832</v>
      </c>
      <c r="D304">
        <v>24</v>
      </c>
      <c r="E304" t="s">
        <v>809</v>
      </c>
      <c r="F304">
        <v>24</v>
      </c>
    </row>
    <row r="305" spans="2:6" x14ac:dyDescent="0.3">
      <c r="B305" t="s">
        <v>836</v>
      </c>
      <c r="C305" t="s">
        <v>832</v>
      </c>
      <c r="D305">
        <v>21</v>
      </c>
      <c r="E305" t="s">
        <v>809</v>
      </c>
      <c r="F305">
        <v>18</v>
      </c>
    </row>
    <row r="306" spans="2:6" x14ac:dyDescent="0.3">
      <c r="B306" t="s">
        <v>837</v>
      </c>
      <c r="C306" t="s">
        <v>832</v>
      </c>
      <c r="D306">
        <v>21</v>
      </c>
      <c r="E306" t="s">
        <v>809</v>
      </c>
      <c r="F306">
        <v>18</v>
      </c>
    </row>
    <row r="307" spans="2:6" x14ac:dyDescent="0.3">
      <c r="B307" t="s">
        <v>838</v>
      </c>
      <c r="C307" t="s">
        <v>832</v>
      </c>
      <c r="D307">
        <v>21</v>
      </c>
      <c r="E307" t="s">
        <v>809</v>
      </c>
      <c r="F307">
        <v>21</v>
      </c>
    </row>
    <row r="308" spans="2:6" x14ac:dyDescent="0.3">
      <c r="B308" t="s">
        <v>839</v>
      </c>
      <c r="C308" t="s">
        <v>832</v>
      </c>
      <c r="D308">
        <v>27</v>
      </c>
      <c r="E308" t="s">
        <v>809</v>
      </c>
      <c r="F308">
        <v>27</v>
      </c>
    </row>
    <row r="309" spans="2:6" x14ac:dyDescent="0.3">
      <c r="B309" t="s">
        <v>840</v>
      </c>
      <c r="C309" t="s">
        <v>832</v>
      </c>
      <c r="D309">
        <v>21</v>
      </c>
      <c r="E309" t="s">
        <v>809</v>
      </c>
      <c r="F309">
        <v>21</v>
      </c>
    </row>
    <row r="310" spans="2:6" x14ac:dyDescent="0.3">
      <c r="B310" t="s">
        <v>841</v>
      </c>
      <c r="C310" t="s">
        <v>832</v>
      </c>
      <c r="D310">
        <v>27</v>
      </c>
      <c r="E310" t="s">
        <v>809</v>
      </c>
      <c r="F310">
        <v>27</v>
      </c>
    </row>
    <row r="311" spans="2:6" x14ac:dyDescent="0.3">
      <c r="B311" t="s">
        <v>842</v>
      </c>
      <c r="C311" t="s">
        <v>843</v>
      </c>
      <c r="D311">
        <v>24</v>
      </c>
      <c r="E311" t="s">
        <v>844</v>
      </c>
      <c r="F311">
        <v>27</v>
      </c>
    </row>
    <row r="312" spans="2:6" x14ac:dyDescent="0.3">
      <c r="B312" t="s">
        <v>845</v>
      </c>
      <c r="C312" t="s">
        <v>843</v>
      </c>
      <c r="D312">
        <v>27</v>
      </c>
      <c r="E312" t="s">
        <v>844</v>
      </c>
      <c r="F312">
        <v>30</v>
      </c>
    </row>
    <row r="313" spans="2:6" x14ac:dyDescent="0.3">
      <c r="B313" t="s">
        <v>846</v>
      </c>
      <c r="C313" t="s">
        <v>843</v>
      </c>
      <c r="D313">
        <v>30</v>
      </c>
      <c r="E313" t="s">
        <v>844</v>
      </c>
      <c r="F313">
        <v>33</v>
      </c>
    </row>
    <row r="314" spans="2:6" x14ac:dyDescent="0.3">
      <c r="B314" t="s">
        <v>847</v>
      </c>
      <c r="C314" t="s">
        <v>832</v>
      </c>
      <c r="D314">
        <v>27</v>
      </c>
      <c r="E314" t="s">
        <v>809</v>
      </c>
      <c r="F314">
        <v>27</v>
      </c>
    </row>
    <row r="315" spans="2:6" x14ac:dyDescent="0.3">
      <c r="B315" t="s">
        <v>848</v>
      </c>
      <c r="C315" t="s">
        <v>832</v>
      </c>
      <c r="D315">
        <v>27</v>
      </c>
      <c r="E315" t="s">
        <v>809</v>
      </c>
      <c r="F315">
        <v>27</v>
      </c>
    </row>
    <row r="316" spans="2:6" x14ac:dyDescent="0.3">
      <c r="B316" t="s">
        <v>849</v>
      </c>
      <c r="C316" t="s">
        <v>832</v>
      </c>
      <c r="D316">
        <v>24</v>
      </c>
      <c r="E316" t="s">
        <v>809</v>
      </c>
      <c r="F316">
        <v>24</v>
      </c>
    </row>
    <row r="317" spans="2:6" x14ac:dyDescent="0.3">
      <c r="B317" t="s">
        <v>850</v>
      </c>
      <c r="C317" t="s">
        <v>832</v>
      </c>
      <c r="D317">
        <v>24</v>
      </c>
      <c r="E317" t="s">
        <v>809</v>
      </c>
      <c r="F317">
        <v>24</v>
      </c>
    </row>
    <row r="318" spans="2:6" x14ac:dyDescent="0.3">
      <c r="B318" t="s">
        <v>851</v>
      </c>
      <c r="C318" t="s">
        <v>843</v>
      </c>
      <c r="D318">
        <v>30</v>
      </c>
      <c r="E318" t="s">
        <v>844</v>
      </c>
      <c r="F318">
        <v>33</v>
      </c>
    </row>
    <row r="319" spans="2:6" x14ac:dyDescent="0.3">
      <c r="B319" t="s">
        <v>852</v>
      </c>
      <c r="C319" t="s">
        <v>853</v>
      </c>
      <c r="D319">
        <v>39</v>
      </c>
      <c r="E319" t="s">
        <v>844</v>
      </c>
      <c r="F319">
        <v>36</v>
      </c>
    </row>
    <row r="320" spans="2:6" x14ac:dyDescent="0.3">
      <c r="B320" t="s">
        <v>854</v>
      </c>
      <c r="C320" t="s">
        <v>853</v>
      </c>
      <c r="D320">
        <v>42</v>
      </c>
      <c r="E320" t="s">
        <v>844</v>
      </c>
      <c r="F320">
        <v>39</v>
      </c>
    </row>
    <row r="321" spans="2:6" x14ac:dyDescent="0.3">
      <c r="B321" t="s">
        <v>855</v>
      </c>
      <c r="C321" t="s">
        <v>853</v>
      </c>
      <c r="D321">
        <v>42</v>
      </c>
      <c r="E321" t="s">
        <v>844</v>
      </c>
      <c r="F321">
        <v>39</v>
      </c>
    </row>
    <row r="322" spans="2:6" x14ac:dyDescent="0.3">
      <c r="B322" t="s">
        <v>856</v>
      </c>
      <c r="C322" t="s">
        <v>832</v>
      </c>
      <c r="D322">
        <v>51</v>
      </c>
      <c r="E322" t="s">
        <v>809</v>
      </c>
      <c r="F322">
        <v>51</v>
      </c>
    </row>
    <row r="323" spans="2:6" x14ac:dyDescent="0.3">
      <c r="B323" t="s">
        <v>857</v>
      </c>
      <c r="C323" t="s">
        <v>853</v>
      </c>
      <c r="D323">
        <v>54</v>
      </c>
      <c r="E323" t="s">
        <v>844</v>
      </c>
      <c r="F323">
        <v>51</v>
      </c>
    </row>
    <row r="324" spans="2:6" x14ac:dyDescent="0.3">
      <c r="B324" t="s">
        <v>858</v>
      </c>
      <c r="C324" t="s">
        <v>853</v>
      </c>
      <c r="D324">
        <v>57</v>
      </c>
      <c r="E324" t="s">
        <v>844</v>
      </c>
      <c r="F324">
        <v>54</v>
      </c>
    </row>
    <row r="325" spans="2:6" x14ac:dyDescent="0.3">
      <c r="B325" t="s">
        <v>859</v>
      </c>
      <c r="C325" t="s">
        <v>832</v>
      </c>
      <c r="D325">
        <v>51</v>
      </c>
      <c r="E325" t="s">
        <v>809</v>
      </c>
      <c r="F325">
        <v>51</v>
      </c>
    </row>
    <row r="326" spans="2:6" x14ac:dyDescent="0.3">
      <c r="B326" t="s">
        <v>860</v>
      </c>
      <c r="C326" t="s">
        <v>853</v>
      </c>
      <c r="D326">
        <v>57</v>
      </c>
      <c r="E326" t="s">
        <v>844</v>
      </c>
      <c r="F326">
        <v>54</v>
      </c>
    </row>
    <row r="327" spans="2:6" x14ac:dyDescent="0.3">
      <c r="B327" t="s">
        <v>861</v>
      </c>
      <c r="C327" t="s">
        <v>862</v>
      </c>
      <c r="D327">
        <v>12</v>
      </c>
      <c r="E327" t="s">
        <v>863</v>
      </c>
      <c r="F327">
        <v>15</v>
      </c>
    </row>
    <row r="328" spans="2:6" x14ac:dyDescent="0.3">
      <c r="B328" t="s">
        <v>864</v>
      </c>
      <c r="C328" t="s">
        <v>865</v>
      </c>
      <c r="D328">
        <v>12</v>
      </c>
      <c r="E328" t="s">
        <v>784</v>
      </c>
      <c r="F328">
        <v>9</v>
      </c>
    </row>
    <row r="329" spans="2:6" x14ac:dyDescent="0.3">
      <c r="B329" t="s">
        <v>866</v>
      </c>
      <c r="C329" t="s">
        <v>865</v>
      </c>
      <c r="D329">
        <v>12</v>
      </c>
      <c r="E329" t="s">
        <v>784</v>
      </c>
      <c r="F329">
        <v>9</v>
      </c>
    </row>
    <row r="330" spans="2:6" x14ac:dyDescent="0.3">
      <c r="B330" t="s">
        <v>867</v>
      </c>
      <c r="C330" t="s">
        <v>865</v>
      </c>
      <c r="D330">
        <v>15</v>
      </c>
      <c r="E330" t="s">
        <v>784</v>
      </c>
      <c r="F330">
        <v>12</v>
      </c>
    </row>
    <row r="331" spans="2:6" x14ac:dyDescent="0.3">
      <c r="B331" t="s">
        <v>868</v>
      </c>
      <c r="C331" t="s">
        <v>865</v>
      </c>
      <c r="D331">
        <v>15</v>
      </c>
      <c r="E331" t="s">
        <v>784</v>
      </c>
      <c r="F331">
        <v>12</v>
      </c>
    </row>
    <row r="332" spans="2:6" x14ac:dyDescent="0.3">
      <c r="B332" t="s">
        <v>869</v>
      </c>
      <c r="C332" t="s">
        <v>865</v>
      </c>
      <c r="D332">
        <v>15</v>
      </c>
      <c r="E332" t="s">
        <v>784</v>
      </c>
      <c r="F332">
        <v>12</v>
      </c>
    </row>
    <row r="333" spans="2:6" x14ac:dyDescent="0.3">
      <c r="B333" t="s">
        <v>870</v>
      </c>
      <c r="C333" t="s">
        <v>865</v>
      </c>
      <c r="D333">
        <v>12</v>
      </c>
      <c r="E333" t="s">
        <v>784</v>
      </c>
      <c r="F333">
        <v>9</v>
      </c>
    </row>
    <row r="334" spans="2:6" x14ac:dyDescent="0.3">
      <c r="B334" t="s">
        <v>871</v>
      </c>
      <c r="C334" t="s">
        <v>865</v>
      </c>
      <c r="D334">
        <v>12</v>
      </c>
      <c r="E334" t="s">
        <v>784</v>
      </c>
      <c r="F334">
        <v>12</v>
      </c>
    </row>
    <row r="335" spans="2:6" x14ac:dyDescent="0.3">
      <c r="B335" t="s">
        <v>872</v>
      </c>
      <c r="C335" t="s">
        <v>865</v>
      </c>
      <c r="D335">
        <v>12</v>
      </c>
      <c r="E335" t="s">
        <v>784</v>
      </c>
      <c r="F335">
        <v>15</v>
      </c>
    </row>
    <row r="336" spans="2:6" x14ac:dyDescent="0.3">
      <c r="B336" t="s">
        <v>873</v>
      </c>
      <c r="C336" t="s">
        <v>865</v>
      </c>
      <c r="D336">
        <v>15</v>
      </c>
      <c r="E336" t="s">
        <v>784</v>
      </c>
      <c r="F336">
        <v>15</v>
      </c>
    </row>
    <row r="337" spans="2:6" x14ac:dyDescent="0.3">
      <c r="B337" t="s">
        <v>874</v>
      </c>
      <c r="C337" t="s">
        <v>865</v>
      </c>
      <c r="D337">
        <v>12</v>
      </c>
      <c r="E337" t="s">
        <v>784</v>
      </c>
      <c r="F337">
        <v>9</v>
      </c>
    </row>
    <row r="338" spans="2:6" x14ac:dyDescent="0.3">
      <c r="B338" t="s">
        <v>875</v>
      </c>
      <c r="C338" t="s">
        <v>865</v>
      </c>
      <c r="D338">
        <v>12</v>
      </c>
      <c r="E338" t="s">
        <v>784</v>
      </c>
      <c r="F338">
        <v>12</v>
      </c>
    </row>
    <row r="339" spans="2:6" x14ac:dyDescent="0.3">
      <c r="B339" t="s">
        <v>876</v>
      </c>
      <c r="C339" t="s">
        <v>865</v>
      </c>
      <c r="D339">
        <v>15</v>
      </c>
      <c r="E339" t="s">
        <v>784</v>
      </c>
      <c r="F339">
        <v>12</v>
      </c>
    </row>
    <row r="340" spans="2:6" x14ac:dyDescent="0.3">
      <c r="B340" t="s">
        <v>877</v>
      </c>
      <c r="C340" t="s">
        <v>865</v>
      </c>
      <c r="D340">
        <v>15</v>
      </c>
      <c r="E340" t="s">
        <v>784</v>
      </c>
      <c r="F340">
        <v>12</v>
      </c>
    </row>
    <row r="341" spans="2:6" x14ac:dyDescent="0.3">
      <c r="B341" t="s">
        <v>878</v>
      </c>
      <c r="C341" t="s">
        <v>865</v>
      </c>
      <c r="D341">
        <v>15</v>
      </c>
      <c r="E341" t="s">
        <v>784</v>
      </c>
      <c r="F341">
        <v>15</v>
      </c>
    </row>
    <row r="342" spans="2:6" x14ac:dyDescent="0.3">
      <c r="B342" t="s">
        <v>879</v>
      </c>
      <c r="C342" t="s">
        <v>865</v>
      </c>
      <c r="D342">
        <v>15</v>
      </c>
      <c r="E342" t="s">
        <v>784</v>
      </c>
      <c r="F342">
        <v>15</v>
      </c>
    </row>
    <row r="343" spans="2:6" x14ac:dyDescent="0.3">
      <c r="B343" t="s">
        <v>880</v>
      </c>
      <c r="C343" t="s">
        <v>865</v>
      </c>
      <c r="D343">
        <v>15</v>
      </c>
      <c r="E343" t="s">
        <v>784</v>
      </c>
      <c r="F343">
        <v>15</v>
      </c>
    </row>
    <row r="344" spans="2:6" x14ac:dyDescent="0.3">
      <c r="B344" t="s">
        <v>881</v>
      </c>
      <c r="C344" t="s">
        <v>865</v>
      </c>
      <c r="D344">
        <v>15</v>
      </c>
      <c r="E344" t="s">
        <v>784</v>
      </c>
      <c r="F344">
        <v>15</v>
      </c>
    </row>
    <row r="345" spans="2:6" x14ac:dyDescent="0.3">
      <c r="B345" t="s">
        <v>882</v>
      </c>
      <c r="C345" t="s">
        <v>865</v>
      </c>
      <c r="D345">
        <v>15</v>
      </c>
      <c r="E345" t="s">
        <v>784</v>
      </c>
      <c r="F345">
        <v>12</v>
      </c>
    </row>
    <row r="346" spans="2:6" x14ac:dyDescent="0.3">
      <c r="B346" t="s">
        <v>883</v>
      </c>
      <c r="C346" t="s">
        <v>865</v>
      </c>
      <c r="D346">
        <v>15</v>
      </c>
      <c r="E346" t="s">
        <v>784</v>
      </c>
      <c r="F346">
        <v>15</v>
      </c>
    </row>
    <row r="347" spans="2:6" x14ac:dyDescent="0.3">
      <c r="B347" t="s">
        <v>884</v>
      </c>
      <c r="C347" t="s">
        <v>865</v>
      </c>
      <c r="D347">
        <v>18</v>
      </c>
      <c r="E347" t="s">
        <v>784</v>
      </c>
      <c r="F347">
        <v>15</v>
      </c>
    </row>
    <row r="348" spans="2:6" x14ac:dyDescent="0.3">
      <c r="B348" t="s">
        <v>885</v>
      </c>
      <c r="C348" t="s">
        <v>865</v>
      </c>
      <c r="D348">
        <v>15</v>
      </c>
      <c r="E348" t="s">
        <v>784</v>
      </c>
      <c r="F348">
        <v>12</v>
      </c>
    </row>
    <row r="349" spans="2:6" x14ac:dyDescent="0.3">
      <c r="B349" t="s">
        <v>886</v>
      </c>
      <c r="C349" t="s">
        <v>865</v>
      </c>
      <c r="D349">
        <v>15</v>
      </c>
      <c r="E349" t="s">
        <v>784</v>
      </c>
      <c r="F349">
        <v>15</v>
      </c>
    </row>
    <row r="350" spans="2:6" x14ac:dyDescent="0.3">
      <c r="B350" t="s">
        <v>887</v>
      </c>
      <c r="C350" t="s">
        <v>865</v>
      </c>
      <c r="D350">
        <v>18</v>
      </c>
      <c r="E350" t="s">
        <v>784</v>
      </c>
      <c r="F350">
        <v>15</v>
      </c>
    </row>
    <row r="351" spans="2:6" x14ac:dyDescent="0.3">
      <c r="B351" t="s">
        <v>888</v>
      </c>
      <c r="C351" t="s">
        <v>865</v>
      </c>
      <c r="D351">
        <v>15</v>
      </c>
      <c r="E351" t="s">
        <v>784</v>
      </c>
      <c r="F351">
        <v>12</v>
      </c>
    </row>
    <row r="352" spans="2:6" x14ac:dyDescent="0.3">
      <c r="B352" t="s">
        <v>889</v>
      </c>
      <c r="C352" t="s">
        <v>865</v>
      </c>
      <c r="D352">
        <v>15</v>
      </c>
      <c r="E352" t="s">
        <v>784</v>
      </c>
      <c r="F352">
        <v>15</v>
      </c>
    </row>
    <row r="353" spans="2:6" x14ac:dyDescent="0.3">
      <c r="B353" t="s">
        <v>890</v>
      </c>
      <c r="C353" t="s">
        <v>865</v>
      </c>
      <c r="D353">
        <v>15</v>
      </c>
      <c r="E353" t="s">
        <v>784</v>
      </c>
      <c r="F353">
        <v>12</v>
      </c>
    </row>
    <row r="354" spans="2:6" x14ac:dyDescent="0.3">
      <c r="B354" t="s">
        <v>891</v>
      </c>
      <c r="C354" t="s">
        <v>865</v>
      </c>
      <c r="D354">
        <v>15</v>
      </c>
      <c r="E354" t="s">
        <v>784</v>
      </c>
      <c r="F354">
        <v>15</v>
      </c>
    </row>
    <row r="355" spans="2:6" x14ac:dyDescent="0.3">
      <c r="B355" t="s">
        <v>892</v>
      </c>
      <c r="C355" t="s">
        <v>865</v>
      </c>
      <c r="D355">
        <v>18</v>
      </c>
      <c r="E355" t="s">
        <v>784</v>
      </c>
      <c r="F355">
        <v>15</v>
      </c>
    </row>
    <row r="356" spans="2:6" x14ac:dyDescent="0.3">
      <c r="B356" t="s">
        <v>893</v>
      </c>
      <c r="C356" t="s">
        <v>865</v>
      </c>
      <c r="D356">
        <v>18</v>
      </c>
      <c r="E356" t="s">
        <v>784</v>
      </c>
      <c r="F356">
        <v>15</v>
      </c>
    </row>
    <row r="357" spans="2:6" x14ac:dyDescent="0.3">
      <c r="B357" t="s">
        <v>894</v>
      </c>
      <c r="C357" t="s">
        <v>865</v>
      </c>
      <c r="D357">
        <v>18</v>
      </c>
      <c r="E357" t="s">
        <v>784</v>
      </c>
      <c r="F357">
        <v>15</v>
      </c>
    </row>
    <row r="358" spans="2:6" x14ac:dyDescent="0.3">
      <c r="B358" t="s">
        <v>895</v>
      </c>
      <c r="C358" t="s">
        <v>865</v>
      </c>
      <c r="D358">
        <v>18</v>
      </c>
      <c r="E358" t="s">
        <v>784</v>
      </c>
      <c r="F358">
        <v>15</v>
      </c>
    </row>
    <row r="359" spans="2:6" x14ac:dyDescent="0.3">
      <c r="B359" t="s">
        <v>896</v>
      </c>
      <c r="C359" t="s">
        <v>865</v>
      </c>
      <c r="D359">
        <v>18</v>
      </c>
      <c r="E359" t="s">
        <v>784</v>
      </c>
      <c r="F359">
        <v>15</v>
      </c>
    </row>
    <row r="360" spans="2:6" x14ac:dyDescent="0.3">
      <c r="B360" t="s">
        <v>897</v>
      </c>
      <c r="C360" t="s">
        <v>898</v>
      </c>
      <c r="D360">
        <v>18</v>
      </c>
      <c r="E360" t="s">
        <v>899</v>
      </c>
      <c r="F360">
        <v>15</v>
      </c>
    </row>
    <row r="361" spans="2:6" x14ac:dyDescent="0.3">
      <c r="B361" t="s">
        <v>900</v>
      </c>
      <c r="C361" t="s">
        <v>901</v>
      </c>
      <c r="D361">
        <v>15</v>
      </c>
      <c r="E361" t="s">
        <v>844</v>
      </c>
      <c r="F361">
        <v>15</v>
      </c>
    </row>
    <row r="362" spans="2:6" x14ac:dyDescent="0.3">
      <c r="B362" t="s">
        <v>902</v>
      </c>
      <c r="C362" t="s">
        <v>843</v>
      </c>
      <c r="D362">
        <v>18</v>
      </c>
      <c r="E362" t="s">
        <v>844</v>
      </c>
      <c r="F362">
        <v>18</v>
      </c>
    </row>
    <row r="363" spans="2:6" x14ac:dyDescent="0.3">
      <c r="B363" t="s">
        <v>903</v>
      </c>
      <c r="C363" t="s">
        <v>901</v>
      </c>
      <c r="D363">
        <v>15</v>
      </c>
      <c r="E363" t="s">
        <v>844</v>
      </c>
      <c r="F363">
        <v>15</v>
      </c>
    </row>
    <row r="364" spans="2:6" x14ac:dyDescent="0.3">
      <c r="B364" t="s">
        <v>904</v>
      </c>
      <c r="C364" t="s">
        <v>843</v>
      </c>
      <c r="D364">
        <v>18</v>
      </c>
      <c r="E364" t="s">
        <v>844</v>
      </c>
      <c r="F364">
        <v>18</v>
      </c>
    </row>
    <row r="365" spans="2:6" x14ac:dyDescent="0.3">
      <c r="B365" t="s">
        <v>905</v>
      </c>
      <c r="C365" t="s">
        <v>832</v>
      </c>
      <c r="D365">
        <v>12</v>
      </c>
      <c r="E365" t="s">
        <v>809</v>
      </c>
      <c r="F365">
        <v>15</v>
      </c>
    </row>
    <row r="366" spans="2:6" x14ac:dyDescent="0.3">
      <c r="B366" t="s">
        <v>906</v>
      </c>
      <c r="C366" t="s">
        <v>832</v>
      </c>
      <c r="D366">
        <v>15</v>
      </c>
      <c r="E366" t="s">
        <v>809</v>
      </c>
      <c r="F366">
        <v>15</v>
      </c>
    </row>
    <row r="367" spans="2:6" x14ac:dyDescent="0.3">
      <c r="B367" t="s">
        <v>907</v>
      </c>
      <c r="C367" t="s">
        <v>832</v>
      </c>
      <c r="D367">
        <v>15</v>
      </c>
      <c r="E367" t="s">
        <v>809</v>
      </c>
      <c r="F367">
        <v>15</v>
      </c>
    </row>
    <row r="368" spans="2:6" x14ac:dyDescent="0.3">
      <c r="B368" t="s">
        <v>908</v>
      </c>
      <c r="C368" t="s">
        <v>832</v>
      </c>
      <c r="D368">
        <v>15</v>
      </c>
      <c r="E368" t="s">
        <v>809</v>
      </c>
      <c r="F368">
        <v>15</v>
      </c>
    </row>
    <row r="369" spans="2:6" x14ac:dyDescent="0.3">
      <c r="B369" t="s">
        <v>909</v>
      </c>
      <c r="C369" t="s">
        <v>901</v>
      </c>
      <c r="D369">
        <v>18</v>
      </c>
      <c r="E369" t="s">
        <v>844</v>
      </c>
      <c r="F369">
        <v>18</v>
      </c>
    </row>
    <row r="370" spans="2:6" x14ac:dyDescent="0.3">
      <c r="B370" t="s">
        <v>910</v>
      </c>
      <c r="C370" t="s">
        <v>898</v>
      </c>
      <c r="D370">
        <v>24</v>
      </c>
      <c r="E370" t="s">
        <v>899</v>
      </c>
      <c r="F370">
        <v>21</v>
      </c>
    </row>
    <row r="371" spans="2:6" x14ac:dyDescent="0.3">
      <c r="B371" t="s">
        <v>911</v>
      </c>
      <c r="C371" t="s">
        <v>912</v>
      </c>
      <c r="D371">
        <v>21</v>
      </c>
      <c r="E371" t="s">
        <v>844</v>
      </c>
      <c r="F371">
        <v>21</v>
      </c>
    </row>
    <row r="372" spans="2:6" x14ac:dyDescent="0.3">
      <c r="B372" t="s">
        <v>913</v>
      </c>
      <c r="C372" t="s">
        <v>912</v>
      </c>
      <c r="D372">
        <v>21</v>
      </c>
      <c r="E372" t="s">
        <v>844</v>
      </c>
      <c r="F372">
        <v>21</v>
      </c>
    </row>
    <row r="373" spans="2:6" x14ac:dyDescent="0.3">
      <c r="B373" t="s">
        <v>914</v>
      </c>
      <c r="C373" t="s">
        <v>912</v>
      </c>
      <c r="D373">
        <v>21</v>
      </c>
      <c r="E373" t="s">
        <v>844</v>
      </c>
      <c r="F373">
        <v>21</v>
      </c>
    </row>
    <row r="374" spans="2:6" x14ac:dyDescent="0.3">
      <c r="B374" t="s">
        <v>915</v>
      </c>
      <c r="C374" t="s">
        <v>898</v>
      </c>
      <c r="D374">
        <v>27</v>
      </c>
      <c r="E374" t="s">
        <v>899</v>
      </c>
      <c r="F374">
        <v>24</v>
      </c>
    </row>
    <row r="375" spans="2:6" x14ac:dyDescent="0.3">
      <c r="B375" t="s">
        <v>916</v>
      </c>
      <c r="C375" t="s">
        <v>912</v>
      </c>
      <c r="D375">
        <v>21</v>
      </c>
      <c r="E375" t="s">
        <v>844</v>
      </c>
      <c r="F375">
        <v>21</v>
      </c>
    </row>
    <row r="376" spans="2:6" x14ac:dyDescent="0.3">
      <c r="B376" t="s">
        <v>917</v>
      </c>
      <c r="C376" t="s">
        <v>898</v>
      </c>
      <c r="D376">
        <v>33</v>
      </c>
      <c r="E376" t="s">
        <v>899</v>
      </c>
      <c r="F376">
        <v>30</v>
      </c>
    </row>
    <row r="377" spans="2:6" x14ac:dyDescent="0.3">
      <c r="B377" t="s">
        <v>918</v>
      </c>
      <c r="C377" t="s">
        <v>901</v>
      </c>
      <c r="D377">
        <v>24</v>
      </c>
      <c r="E377" t="s">
        <v>844</v>
      </c>
      <c r="F377">
        <v>24</v>
      </c>
    </row>
    <row r="378" spans="2:6" x14ac:dyDescent="0.3">
      <c r="B378" t="s">
        <v>919</v>
      </c>
      <c r="C378" t="s">
        <v>912</v>
      </c>
      <c r="D378">
        <v>27</v>
      </c>
      <c r="E378" t="s">
        <v>844</v>
      </c>
      <c r="F378">
        <v>27</v>
      </c>
    </row>
    <row r="379" spans="2:6" x14ac:dyDescent="0.3">
      <c r="B379" t="s">
        <v>920</v>
      </c>
      <c r="C379" t="s">
        <v>832</v>
      </c>
      <c r="D379">
        <v>15</v>
      </c>
      <c r="E379" t="s">
        <v>809</v>
      </c>
      <c r="F379">
        <v>15</v>
      </c>
    </row>
    <row r="380" spans="2:6" x14ac:dyDescent="0.3">
      <c r="B380" t="s">
        <v>921</v>
      </c>
      <c r="C380" t="s">
        <v>832</v>
      </c>
      <c r="D380">
        <v>15</v>
      </c>
      <c r="E380" t="s">
        <v>809</v>
      </c>
      <c r="F380">
        <v>15</v>
      </c>
    </row>
    <row r="381" spans="2:6" x14ac:dyDescent="0.3">
      <c r="B381" t="s">
        <v>922</v>
      </c>
      <c r="C381" t="s">
        <v>832</v>
      </c>
      <c r="D381">
        <v>15</v>
      </c>
      <c r="E381" t="s">
        <v>809</v>
      </c>
      <c r="F381">
        <v>15</v>
      </c>
    </row>
    <row r="382" spans="2:6" x14ac:dyDescent="0.3">
      <c r="B382" t="s">
        <v>923</v>
      </c>
      <c r="C382" t="s">
        <v>832</v>
      </c>
      <c r="D382">
        <v>18</v>
      </c>
      <c r="E382" t="s">
        <v>809</v>
      </c>
      <c r="F382">
        <v>21</v>
      </c>
    </row>
    <row r="383" spans="2:6" x14ac:dyDescent="0.3">
      <c r="B383" t="s">
        <v>924</v>
      </c>
      <c r="C383" t="s">
        <v>832</v>
      </c>
      <c r="D383">
        <v>15</v>
      </c>
      <c r="E383" t="s">
        <v>809</v>
      </c>
      <c r="F383">
        <v>15</v>
      </c>
    </row>
    <row r="384" spans="2:6" x14ac:dyDescent="0.3">
      <c r="B384" t="s">
        <v>925</v>
      </c>
      <c r="C384" t="s">
        <v>832</v>
      </c>
      <c r="D384">
        <v>18</v>
      </c>
      <c r="E384" t="s">
        <v>809</v>
      </c>
      <c r="F384">
        <v>21</v>
      </c>
    </row>
    <row r="385" spans="2:6" x14ac:dyDescent="0.3">
      <c r="B385" t="s">
        <v>926</v>
      </c>
      <c r="C385" t="s">
        <v>843</v>
      </c>
      <c r="D385">
        <v>51</v>
      </c>
      <c r="E385" t="s">
        <v>844</v>
      </c>
      <c r="F385">
        <v>54</v>
      </c>
    </row>
    <row r="386" spans="2:6" x14ac:dyDescent="0.3">
      <c r="B386" t="s">
        <v>927</v>
      </c>
      <c r="C386" t="s">
        <v>832</v>
      </c>
      <c r="D386">
        <v>15</v>
      </c>
      <c r="E386" t="s">
        <v>809</v>
      </c>
      <c r="F386">
        <v>15</v>
      </c>
    </row>
    <row r="387" spans="2:6" x14ac:dyDescent="0.3">
      <c r="B387" t="s">
        <v>928</v>
      </c>
      <c r="C387" t="s">
        <v>832</v>
      </c>
      <c r="D387">
        <v>15</v>
      </c>
      <c r="E387" t="s">
        <v>809</v>
      </c>
      <c r="F387">
        <v>15</v>
      </c>
    </row>
    <row r="388" spans="2:6" x14ac:dyDescent="0.3">
      <c r="B388" t="s">
        <v>929</v>
      </c>
      <c r="C388" t="s">
        <v>843</v>
      </c>
      <c r="D388">
        <v>63</v>
      </c>
      <c r="E388" t="s">
        <v>844</v>
      </c>
      <c r="F388">
        <v>66</v>
      </c>
    </row>
    <row r="389" spans="2:6" x14ac:dyDescent="0.3">
      <c r="B389" t="s">
        <v>930</v>
      </c>
      <c r="C389" t="s">
        <v>832</v>
      </c>
      <c r="D389">
        <v>18</v>
      </c>
      <c r="E389" t="s">
        <v>809</v>
      </c>
      <c r="F389">
        <v>21</v>
      </c>
    </row>
    <row r="390" spans="2:6" x14ac:dyDescent="0.3">
      <c r="B390" t="s">
        <v>931</v>
      </c>
      <c r="C390" t="s">
        <v>832</v>
      </c>
      <c r="D390">
        <v>18</v>
      </c>
      <c r="E390" t="s">
        <v>809</v>
      </c>
      <c r="F390">
        <v>21</v>
      </c>
    </row>
    <row r="391" spans="2:6" x14ac:dyDescent="0.3">
      <c r="B391" t="s">
        <v>932</v>
      </c>
      <c r="C391" t="s">
        <v>832</v>
      </c>
      <c r="D391">
        <v>18</v>
      </c>
      <c r="E391" t="s">
        <v>809</v>
      </c>
      <c r="F391">
        <v>18</v>
      </c>
    </row>
    <row r="392" spans="2:6" x14ac:dyDescent="0.3">
      <c r="B392" t="s">
        <v>933</v>
      </c>
      <c r="C392" t="s">
        <v>832</v>
      </c>
      <c r="D392">
        <v>18</v>
      </c>
      <c r="E392" t="s">
        <v>809</v>
      </c>
      <c r="F392">
        <v>21</v>
      </c>
    </row>
    <row r="393" spans="2:6" x14ac:dyDescent="0.3">
      <c r="B393" t="s">
        <v>934</v>
      </c>
      <c r="C393" t="s">
        <v>832</v>
      </c>
      <c r="D393">
        <v>18</v>
      </c>
      <c r="E393" t="s">
        <v>809</v>
      </c>
      <c r="F393">
        <v>18</v>
      </c>
    </row>
    <row r="394" spans="2:6" x14ac:dyDescent="0.3">
      <c r="B394" t="s">
        <v>935</v>
      </c>
      <c r="C394" t="s">
        <v>832</v>
      </c>
      <c r="D394">
        <v>18</v>
      </c>
      <c r="E394" t="s">
        <v>809</v>
      </c>
      <c r="F394">
        <v>21</v>
      </c>
    </row>
    <row r="395" spans="2:6" x14ac:dyDescent="0.3">
      <c r="B395" t="s">
        <v>936</v>
      </c>
      <c r="C395" t="s">
        <v>832</v>
      </c>
      <c r="D395">
        <v>18</v>
      </c>
      <c r="E395" t="s">
        <v>809</v>
      </c>
      <c r="F395">
        <v>18</v>
      </c>
    </row>
    <row r="396" spans="2:6" x14ac:dyDescent="0.3">
      <c r="B396" t="s">
        <v>937</v>
      </c>
      <c r="C396" t="s">
        <v>832</v>
      </c>
      <c r="D396">
        <v>21</v>
      </c>
      <c r="E396" t="s">
        <v>809</v>
      </c>
      <c r="F396">
        <v>18</v>
      </c>
    </row>
    <row r="397" spans="2:6" x14ac:dyDescent="0.3">
      <c r="B397" t="s">
        <v>938</v>
      </c>
      <c r="C397" t="s">
        <v>832</v>
      </c>
      <c r="D397">
        <v>21</v>
      </c>
      <c r="E397" t="s">
        <v>809</v>
      </c>
      <c r="F397">
        <v>18</v>
      </c>
    </row>
    <row r="398" spans="2:6" x14ac:dyDescent="0.3">
      <c r="B398" t="s">
        <v>939</v>
      </c>
      <c r="C398" t="s">
        <v>832</v>
      </c>
      <c r="D398">
        <v>21</v>
      </c>
      <c r="E398" t="s">
        <v>809</v>
      </c>
      <c r="F398">
        <v>18</v>
      </c>
    </row>
    <row r="399" spans="2:6" x14ac:dyDescent="0.3">
      <c r="B399" t="s">
        <v>940</v>
      </c>
      <c r="C399" t="s">
        <v>832</v>
      </c>
      <c r="D399">
        <v>21</v>
      </c>
      <c r="E399" t="s">
        <v>809</v>
      </c>
      <c r="F399">
        <v>18</v>
      </c>
    </row>
    <row r="400" spans="2:6" x14ac:dyDescent="0.3">
      <c r="B400" t="s">
        <v>941</v>
      </c>
      <c r="C400" t="s">
        <v>832</v>
      </c>
      <c r="D400">
        <v>18</v>
      </c>
      <c r="E400" t="s">
        <v>809</v>
      </c>
      <c r="F400">
        <v>18</v>
      </c>
    </row>
    <row r="401" spans="2:6" x14ac:dyDescent="0.3">
      <c r="B401" t="s">
        <v>942</v>
      </c>
      <c r="C401" t="s">
        <v>832</v>
      </c>
      <c r="D401">
        <v>18</v>
      </c>
      <c r="E401" t="s">
        <v>809</v>
      </c>
      <c r="F401">
        <v>21</v>
      </c>
    </row>
    <row r="402" spans="2:6" x14ac:dyDescent="0.3">
      <c r="B402" t="s">
        <v>943</v>
      </c>
      <c r="C402" t="s">
        <v>832</v>
      </c>
      <c r="D402">
        <v>18</v>
      </c>
      <c r="E402" t="s">
        <v>809</v>
      </c>
      <c r="F402">
        <v>21</v>
      </c>
    </row>
    <row r="403" spans="2:6" x14ac:dyDescent="0.3">
      <c r="B403" t="s">
        <v>944</v>
      </c>
      <c r="C403" t="s">
        <v>832</v>
      </c>
      <c r="D403">
        <v>21</v>
      </c>
      <c r="E403" t="s">
        <v>809</v>
      </c>
      <c r="F403">
        <v>21</v>
      </c>
    </row>
    <row r="404" spans="2:6" x14ac:dyDescent="0.3">
      <c r="B404" t="s">
        <v>945</v>
      </c>
      <c r="C404" t="s">
        <v>832</v>
      </c>
      <c r="D404">
        <v>18</v>
      </c>
      <c r="E404" t="s">
        <v>809</v>
      </c>
      <c r="F404">
        <v>18</v>
      </c>
    </row>
    <row r="405" spans="2:6" x14ac:dyDescent="0.3">
      <c r="B405" t="s">
        <v>946</v>
      </c>
      <c r="C405" t="s">
        <v>832</v>
      </c>
      <c r="D405">
        <v>18</v>
      </c>
      <c r="E405" t="s">
        <v>809</v>
      </c>
      <c r="F405">
        <v>21</v>
      </c>
    </row>
    <row r="406" spans="2:6" x14ac:dyDescent="0.3">
      <c r="B406" t="s">
        <v>947</v>
      </c>
      <c r="C406" t="s">
        <v>832</v>
      </c>
      <c r="D406">
        <v>18</v>
      </c>
      <c r="E406" t="s">
        <v>809</v>
      </c>
      <c r="F406">
        <v>21</v>
      </c>
    </row>
    <row r="407" spans="2:6" x14ac:dyDescent="0.3">
      <c r="B407" t="s">
        <v>948</v>
      </c>
      <c r="C407" t="s">
        <v>843</v>
      </c>
      <c r="D407">
        <v>21</v>
      </c>
      <c r="E407" t="s">
        <v>844</v>
      </c>
      <c r="F407">
        <v>24</v>
      </c>
    </row>
    <row r="408" spans="2:6" x14ac:dyDescent="0.3">
      <c r="B408" t="s">
        <v>949</v>
      </c>
      <c r="C408" t="s">
        <v>843</v>
      </c>
      <c r="D408">
        <v>24</v>
      </c>
      <c r="E408" t="s">
        <v>844</v>
      </c>
      <c r="F408">
        <v>27</v>
      </c>
    </row>
    <row r="409" spans="2:6" x14ac:dyDescent="0.3">
      <c r="B409" t="s">
        <v>950</v>
      </c>
      <c r="C409" t="s">
        <v>843</v>
      </c>
      <c r="D409">
        <v>21</v>
      </c>
      <c r="E409" t="s">
        <v>844</v>
      </c>
      <c r="F409">
        <v>24</v>
      </c>
    </row>
    <row r="410" spans="2:6" x14ac:dyDescent="0.3">
      <c r="B410" t="s">
        <v>951</v>
      </c>
      <c r="C410" t="s">
        <v>843</v>
      </c>
      <c r="D410">
        <v>24</v>
      </c>
      <c r="E410" t="s">
        <v>844</v>
      </c>
      <c r="F410">
        <v>27</v>
      </c>
    </row>
    <row r="411" spans="2:6" x14ac:dyDescent="0.3">
      <c r="B411" t="s">
        <v>952</v>
      </c>
      <c r="C411" t="s">
        <v>953</v>
      </c>
      <c r="D411">
        <v>18</v>
      </c>
      <c r="E411" t="s">
        <v>954</v>
      </c>
      <c r="F411">
        <v>18</v>
      </c>
    </row>
    <row r="412" spans="2:6" x14ac:dyDescent="0.3">
      <c r="B412" t="s">
        <v>955</v>
      </c>
      <c r="C412" t="s">
        <v>953</v>
      </c>
      <c r="D412">
        <v>18</v>
      </c>
      <c r="E412" t="s">
        <v>954</v>
      </c>
      <c r="F412">
        <v>18</v>
      </c>
    </row>
    <row r="413" spans="2:6" x14ac:dyDescent="0.3">
      <c r="B413" t="s">
        <v>956</v>
      </c>
      <c r="C413" t="s">
        <v>957</v>
      </c>
      <c r="D413">
        <v>21</v>
      </c>
      <c r="E413" t="s">
        <v>958</v>
      </c>
      <c r="F413">
        <v>18</v>
      </c>
    </row>
    <row r="414" spans="2:6" x14ac:dyDescent="0.3">
      <c r="B414" t="s">
        <v>959</v>
      </c>
      <c r="C414" t="s">
        <v>960</v>
      </c>
      <c r="D414">
        <v>30</v>
      </c>
      <c r="E414" t="s">
        <v>961</v>
      </c>
      <c r="F414">
        <v>36</v>
      </c>
    </row>
    <row r="415" spans="2:6" x14ac:dyDescent="0.3">
      <c r="B415" t="s">
        <v>962</v>
      </c>
      <c r="C415" t="s">
        <v>963</v>
      </c>
      <c r="D415">
        <v>30</v>
      </c>
      <c r="E415" t="s">
        <v>964</v>
      </c>
      <c r="F415">
        <v>36</v>
      </c>
    </row>
    <row r="416" spans="2:6" x14ac:dyDescent="0.3">
      <c r="B416" t="s">
        <v>965</v>
      </c>
      <c r="C416" t="s">
        <v>966</v>
      </c>
      <c r="D416">
        <v>5.0010000000000003</v>
      </c>
      <c r="E416" t="s">
        <v>967</v>
      </c>
      <c r="F416">
        <v>6.0011999999999999</v>
      </c>
    </row>
    <row r="417" spans="2:6" x14ac:dyDescent="0.3">
      <c r="B417" t="s">
        <v>968</v>
      </c>
      <c r="C417" t="s">
        <v>969</v>
      </c>
      <c r="D417">
        <v>15</v>
      </c>
      <c r="E417" t="s">
        <v>970</v>
      </c>
      <c r="F417">
        <v>18</v>
      </c>
    </row>
    <row r="418" spans="2:6" x14ac:dyDescent="0.3">
      <c r="B418" t="s">
        <v>971</v>
      </c>
      <c r="C418" t="s">
        <v>972</v>
      </c>
      <c r="D418">
        <v>3.0005999999999999</v>
      </c>
      <c r="E418" t="s">
        <v>967</v>
      </c>
      <c r="F418">
        <v>4.0007999999999999</v>
      </c>
    </row>
    <row r="419" spans="2:6" x14ac:dyDescent="0.3">
      <c r="B419" t="s">
        <v>973</v>
      </c>
      <c r="C419" t="s">
        <v>972</v>
      </c>
      <c r="D419">
        <v>3.0005999999999999</v>
      </c>
      <c r="E419" t="s">
        <v>967</v>
      </c>
      <c r="F419">
        <v>4.0007999999999999</v>
      </c>
    </row>
    <row r="420" spans="2:6" x14ac:dyDescent="0.3">
      <c r="B420" t="s">
        <v>974</v>
      </c>
      <c r="C420" t="s">
        <v>975</v>
      </c>
      <c r="D420">
        <v>18</v>
      </c>
      <c r="E420" t="s">
        <v>976</v>
      </c>
      <c r="F420">
        <v>21</v>
      </c>
    </row>
    <row r="421" spans="2:6" x14ac:dyDescent="0.3">
      <c r="B421" t="s">
        <v>977</v>
      </c>
      <c r="C421" t="s">
        <v>960</v>
      </c>
      <c r="D421">
        <v>30</v>
      </c>
      <c r="E421" t="s">
        <v>961</v>
      </c>
      <c r="F421">
        <v>36</v>
      </c>
    </row>
    <row r="422" spans="2:6" x14ac:dyDescent="0.3">
      <c r="B422" t="s">
        <v>978</v>
      </c>
      <c r="C422" t="s">
        <v>960</v>
      </c>
      <c r="D422">
        <v>66</v>
      </c>
      <c r="E422" t="s">
        <v>961</v>
      </c>
      <c r="F422">
        <v>72</v>
      </c>
    </row>
    <row r="423" spans="2:6" x14ac:dyDescent="0.3">
      <c r="B423" t="s">
        <v>979</v>
      </c>
      <c r="C423" t="s">
        <v>969</v>
      </c>
      <c r="D423">
        <v>9</v>
      </c>
      <c r="E423" t="s">
        <v>970</v>
      </c>
      <c r="F423">
        <v>12</v>
      </c>
    </row>
    <row r="424" spans="2:6" x14ac:dyDescent="0.3">
      <c r="B424" t="s">
        <v>980</v>
      </c>
      <c r="C424" t="s">
        <v>969</v>
      </c>
      <c r="D424">
        <v>15</v>
      </c>
      <c r="E424" t="s">
        <v>970</v>
      </c>
      <c r="F424">
        <v>18</v>
      </c>
    </row>
    <row r="425" spans="2:6" x14ac:dyDescent="0.3">
      <c r="B425" t="s">
        <v>981</v>
      </c>
      <c r="C425" t="s">
        <v>832</v>
      </c>
      <c r="D425">
        <v>21</v>
      </c>
      <c r="E425" t="s">
        <v>809</v>
      </c>
      <c r="F425">
        <v>21</v>
      </c>
    </row>
    <row r="426" spans="2:6" x14ac:dyDescent="0.3">
      <c r="B426" t="s">
        <v>982</v>
      </c>
      <c r="C426" t="s">
        <v>832</v>
      </c>
      <c r="D426">
        <v>21</v>
      </c>
      <c r="E426" t="s">
        <v>809</v>
      </c>
      <c r="F426">
        <v>21</v>
      </c>
    </row>
    <row r="427" spans="2:6" x14ac:dyDescent="0.3">
      <c r="B427" t="s">
        <v>983</v>
      </c>
      <c r="C427" t="s">
        <v>832</v>
      </c>
      <c r="D427">
        <v>24</v>
      </c>
      <c r="E427" t="s">
        <v>809</v>
      </c>
      <c r="F427">
        <v>24</v>
      </c>
    </row>
    <row r="428" spans="2:6" x14ac:dyDescent="0.3">
      <c r="B428" t="s">
        <v>984</v>
      </c>
      <c r="C428" t="s">
        <v>832</v>
      </c>
      <c r="D428">
        <v>24</v>
      </c>
      <c r="E428" t="s">
        <v>809</v>
      </c>
      <c r="F428">
        <v>24</v>
      </c>
    </row>
    <row r="429" spans="2:6" x14ac:dyDescent="0.3">
      <c r="B429" t="s">
        <v>985</v>
      </c>
      <c r="C429" t="s">
        <v>832</v>
      </c>
      <c r="D429">
        <v>24</v>
      </c>
      <c r="E429" t="s">
        <v>809</v>
      </c>
      <c r="F429">
        <v>24</v>
      </c>
    </row>
    <row r="430" spans="2:6" x14ac:dyDescent="0.3">
      <c r="B430" t="s">
        <v>986</v>
      </c>
      <c r="C430" t="s">
        <v>832</v>
      </c>
      <c r="D430">
        <v>24</v>
      </c>
      <c r="E430" t="s">
        <v>809</v>
      </c>
      <c r="F430">
        <v>24</v>
      </c>
    </row>
    <row r="431" spans="2:6" x14ac:dyDescent="0.3">
      <c r="B431" t="s">
        <v>987</v>
      </c>
      <c r="C431" t="s">
        <v>832</v>
      </c>
      <c r="D431">
        <v>27</v>
      </c>
      <c r="E431" t="s">
        <v>809</v>
      </c>
      <c r="F431">
        <v>27</v>
      </c>
    </row>
    <row r="432" spans="2:6" x14ac:dyDescent="0.3">
      <c r="B432" t="s">
        <v>988</v>
      </c>
      <c r="C432" t="s">
        <v>832</v>
      </c>
      <c r="D432">
        <v>27</v>
      </c>
      <c r="E432" t="s">
        <v>809</v>
      </c>
      <c r="F432">
        <v>27</v>
      </c>
    </row>
    <row r="433" spans="2:6" x14ac:dyDescent="0.3">
      <c r="B433" t="s">
        <v>989</v>
      </c>
      <c r="C433" t="s">
        <v>843</v>
      </c>
      <c r="D433">
        <v>24</v>
      </c>
      <c r="E433" t="s">
        <v>844</v>
      </c>
      <c r="F433">
        <v>27</v>
      </c>
    </row>
    <row r="434" spans="2:6" x14ac:dyDescent="0.3">
      <c r="B434" t="s">
        <v>990</v>
      </c>
      <c r="C434" t="s">
        <v>843</v>
      </c>
      <c r="D434">
        <v>24</v>
      </c>
      <c r="E434" t="s">
        <v>844</v>
      </c>
      <c r="F434">
        <v>27</v>
      </c>
    </row>
    <row r="435" spans="2:6" x14ac:dyDescent="0.3">
      <c r="B435" t="s">
        <v>991</v>
      </c>
      <c r="C435" t="s">
        <v>912</v>
      </c>
      <c r="D435">
        <v>30</v>
      </c>
      <c r="E435" t="s">
        <v>844</v>
      </c>
      <c r="F435">
        <v>33</v>
      </c>
    </row>
    <row r="436" spans="2:6" x14ac:dyDescent="0.3">
      <c r="B436" t="s">
        <v>992</v>
      </c>
      <c r="C436" t="s">
        <v>843</v>
      </c>
      <c r="D436">
        <v>27</v>
      </c>
      <c r="E436" t="s">
        <v>844</v>
      </c>
      <c r="F436">
        <v>30</v>
      </c>
    </row>
    <row r="437" spans="2:6" x14ac:dyDescent="0.3">
      <c r="B437" t="s">
        <v>993</v>
      </c>
      <c r="C437" t="s">
        <v>843</v>
      </c>
      <c r="D437">
        <v>30</v>
      </c>
      <c r="E437" t="s">
        <v>844</v>
      </c>
      <c r="F437">
        <v>33</v>
      </c>
    </row>
    <row r="438" spans="2:6" x14ac:dyDescent="0.3">
      <c r="B438" t="s">
        <v>994</v>
      </c>
      <c r="C438" t="s">
        <v>912</v>
      </c>
      <c r="D438">
        <v>36</v>
      </c>
      <c r="E438" t="s">
        <v>844</v>
      </c>
      <c r="F438">
        <v>39</v>
      </c>
    </row>
    <row r="439" spans="2:6" x14ac:dyDescent="0.3">
      <c r="B439" t="s">
        <v>995</v>
      </c>
      <c r="C439" t="s">
        <v>832</v>
      </c>
      <c r="D439">
        <v>27</v>
      </c>
      <c r="E439" t="s">
        <v>809</v>
      </c>
      <c r="F439">
        <v>27</v>
      </c>
    </row>
    <row r="440" spans="2:6" x14ac:dyDescent="0.3">
      <c r="B440" t="s">
        <v>996</v>
      </c>
      <c r="C440" t="s">
        <v>832</v>
      </c>
      <c r="D440">
        <v>27</v>
      </c>
      <c r="E440" t="s">
        <v>809</v>
      </c>
      <c r="F440">
        <v>27</v>
      </c>
    </row>
    <row r="441" spans="2:6" x14ac:dyDescent="0.3">
      <c r="B441" t="s">
        <v>997</v>
      </c>
      <c r="C441" t="s">
        <v>843</v>
      </c>
      <c r="D441">
        <v>30</v>
      </c>
      <c r="E441" t="s">
        <v>844</v>
      </c>
      <c r="F441">
        <v>33</v>
      </c>
    </row>
    <row r="442" spans="2:6" x14ac:dyDescent="0.3">
      <c r="B442" t="s">
        <v>998</v>
      </c>
      <c r="C442" t="s">
        <v>912</v>
      </c>
      <c r="D442">
        <v>36</v>
      </c>
      <c r="E442" t="s">
        <v>844</v>
      </c>
      <c r="F442">
        <v>39</v>
      </c>
    </row>
    <row r="443" spans="2:6" x14ac:dyDescent="0.3">
      <c r="B443" t="s">
        <v>999</v>
      </c>
      <c r="C443" t="s">
        <v>912</v>
      </c>
      <c r="D443">
        <v>36</v>
      </c>
      <c r="E443" t="s">
        <v>844</v>
      </c>
      <c r="F443">
        <v>39</v>
      </c>
    </row>
    <row r="444" spans="2:6" x14ac:dyDescent="0.3">
      <c r="B444" t="s">
        <v>1000</v>
      </c>
      <c r="C444" t="s">
        <v>853</v>
      </c>
      <c r="D444">
        <v>39</v>
      </c>
      <c r="E444" t="s">
        <v>844</v>
      </c>
      <c r="F444">
        <v>36</v>
      </c>
    </row>
    <row r="445" spans="2:6" x14ac:dyDescent="0.3">
      <c r="B445" t="s">
        <v>1001</v>
      </c>
      <c r="C445" t="s">
        <v>853</v>
      </c>
      <c r="D445">
        <v>42</v>
      </c>
      <c r="E445" t="s">
        <v>844</v>
      </c>
      <c r="F445">
        <v>39</v>
      </c>
    </row>
    <row r="446" spans="2:6" x14ac:dyDescent="0.3">
      <c r="B446" t="s">
        <v>1002</v>
      </c>
      <c r="C446" t="s">
        <v>912</v>
      </c>
      <c r="D446">
        <v>45</v>
      </c>
      <c r="E446" t="s">
        <v>844</v>
      </c>
      <c r="F446">
        <v>48</v>
      </c>
    </row>
    <row r="447" spans="2:6" x14ac:dyDescent="0.3">
      <c r="B447" t="s">
        <v>1003</v>
      </c>
      <c r="C447" t="s">
        <v>853</v>
      </c>
      <c r="D447">
        <v>42</v>
      </c>
      <c r="E447" t="s">
        <v>844</v>
      </c>
      <c r="F447">
        <v>39</v>
      </c>
    </row>
    <row r="448" spans="2:6" x14ac:dyDescent="0.3">
      <c r="B448" t="s">
        <v>1004</v>
      </c>
      <c r="C448" t="s">
        <v>912</v>
      </c>
      <c r="D448">
        <v>45</v>
      </c>
      <c r="E448" t="s">
        <v>844</v>
      </c>
      <c r="F448">
        <v>48</v>
      </c>
    </row>
    <row r="449" spans="2:6" x14ac:dyDescent="0.3">
      <c r="B449" t="s">
        <v>1005</v>
      </c>
      <c r="C449" t="s">
        <v>832</v>
      </c>
      <c r="D449">
        <v>51</v>
      </c>
      <c r="E449" t="s">
        <v>809</v>
      </c>
      <c r="F449">
        <v>51</v>
      </c>
    </row>
    <row r="450" spans="2:6" x14ac:dyDescent="0.3">
      <c r="B450" t="s">
        <v>1006</v>
      </c>
      <c r="C450" t="s">
        <v>853</v>
      </c>
      <c r="D450">
        <v>57</v>
      </c>
      <c r="E450" t="s">
        <v>844</v>
      </c>
      <c r="F450">
        <v>54</v>
      </c>
    </row>
    <row r="451" spans="2:6" x14ac:dyDescent="0.3">
      <c r="B451" t="s">
        <v>1007</v>
      </c>
      <c r="C451" t="s">
        <v>912</v>
      </c>
      <c r="D451">
        <v>60</v>
      </c>
      <c r="E451" t="s">
        <v>844</v>
      </c>
      <c r="F451">
        <v>60</v>
      </c>
    </row>
    <row r="452" spans="2:6" x14ac:dyDescent="0.3">
      <c r="B452" t="s">
        <v>1008</v>
      </c>
      <c r="C452" t="s">
        <v>832</v>
      </c>
      <c r="D452">
        <v>51</v>
      </c>
      <c r="E452" t="s">
        <v>809</v>
      </c>
      <c r="F452">
        <v>51</v>
      </c>
    </row>
    <row r="453" spans="2:6" x14ac:dyDescent="0.3">
      <c r="B453" t="s">
        <v>1009</v>
      </c>
      <c r="C453" t="s">
        <v>853</v>
      </c>
      <c r="D453">
        <v>57</v>
      </c>
      <c r="E453" t="s">
        <v>844</v>
      </c>
      <c r="F453">
        <v>54</v>
      </c>
    </row>
    <row r="454" spans="2:6" x14ac:dyDescent="0.3">
      <c r="B454" t="s">
        <v>1010</v>
      </c>
      <c r="C454" t="s">
        <v>912</v>
      </c>
      <c r="D454">
        <v>60</v>
      </c>
      <c r="E454" t="s">
        <v>844</v>
      </c>
      <c r="F454">
        <v>60</v>
      </c>
    </row>
    <row r="455" spans="2:6" x14ac:dyDescent="0.3">
      <c r="B455" t="s">
        <v>1011</v>
      </c>
      <c r="C455" t="s">
        <v>862</v>
      </c>
      <c r="D455">
        <v>12</v>
      </c>
      <c r="E455" t="s">
        <v>863</v>
      </c>
      <c r="F455">
        <v>15</v>
      </c>
    </row>
    <row r="456" spans="2:6" x14ac:dyDescent="0.3">
      <c r="B456" t="s">
        <v>1012</v>
      </c>
      <c r="C456" t="s">
        <v>862</v>
      </c>
      <c r="D456">
        <v>12</v>
      </c>
      <c r="E456" t="s">
        <v>863</v>
      </c>
      <c r="F456">
        <v>15</v>
      </c>
    </row>
    <row r="457" spans="2:6" x14ac:dyDescent="0.3">
      <c r="B457" t="s">
        <v>1013</v>
      </c>
      <c r="C457" t="s">
        <v>865</v>
      </c>
      <c r="D457">
        <v>12</v>
      </c>
      <c r="E457" t="s">
        <v>784</v>
      </c>
      <c r="F457">
        <v>9</v>
      </c>
    </row>
    <row r="458" spans="2:6" x14ac:dyDescent="0.3">
      <c r="B458" t="s">
        <v>1014</v>
      </c>
      <c r="C458" t="s">
        <v>1015</v>
      </c>
      <c r="D458">
        <v>15</v>
      </c>
      <c r="E458" t="s">
        <v>787</v>
      </c>
      <c r="F458">
        <v>12</v>
      </c>
    </row>
    <row r="459" spans="2:6" x14ac:dyDescent="0.3">
      <c r="B459" t="s">
        <v>1016</v>
      </c>
      <c r="C459" t="s">
        <v>865</v>
      </c>
      <c r="D459">
        <v>15</v>
      </c>
      <c r="E459" t="s">
        <v>784</v>
      </c>
      <c r="F459">
        <v>12</v>
      </c>
    </row>
    <row r="460" spans="2:6" x14ac:dyDescent="0.3">
      <c r="B460" t="s">
        <v>1017</v>
      </c>
      <c r="C460" t="s">
        <v>865</v>
      </c>
      <c r="D460">
        <v>12</v>
      </c>
      <c r="E460" t="s">
        <v>784</v>
      </c>
      <c r="F460">
        <v>9</v>
      </c>
    </row>
    <row r="461" spans="2:6" x14ac:dyDescent="0.3">
      <c r="B461" t="s">
        <v>1018</v>
      </c>
      <c r="C461" t="s">
        <v>1015</v>
      </c>
      <c r="D461">
        <v>15</v>
      </c>
      <c r="E461" t="s">
        <v>787</v>
      </c>
      <c r="F461">
        <v>12</v>
      </c>
    </row>
    <row r="462" spans="2:6" x14ac:dyDescent="0.3">
      <c r="B462" t="s">
        <v>1019</v>
      </c>
      <c r="C462" t="s">
        <v>865</v>
      </c>
      <c r="D462">
        <v>15</v>
      </c>
      <c r="E462" t="s">
        <v>784</v>
      </c>
      <c r="F462">
        <v>12</v>
      </c>
    </row>
    <row r="463" spans="2:6" x14ac:dyDescent="0.3">
      <c r="B463" t="s">
        <v>1020</v>
      </c>
      <c r="C463" t="s">
        <v>865</v>
      </c>
      <c r="D463">
        <v>15</v>
      </c>
      <c r="E463" t="s">
        <v>784</v>
      </c>
      <c r="F463">
        <v>12</v>
      </c>
    </row>
    <row r="464" spans="2:6" x14ac:dyDescent="0.3">
      <c r="B464" t="s">
        <v>1021</v>
      </c>
      <c r="C464" t="s">
        <v>865</v>
      </c>
      <c r="D464">
        <v>15</v>
      </c>
      <c r="E464" t="s">
        <v>784</v>
      </c>
      <c r="F464">
        <v>15</v>
      </c>
    </row>
    <row r="465" spans="2:6" x14ac:dyDescent="0.3">
      <c r="B465" t="s">
        <v>1022</v>
      </c>
      <c r="C465" t="s">
        <v>865</v>
      </c>
      <c r="D465">
        <v>15</v>
      </c>
      <c r="E465" t="s">
        <v>784</v>
      </c>
      <c r="F465">
        <v>12</v>
      </c>
    </row>
    <row r="466" spans="2:6" x14ac:dyDescent="0.3">
      <c r="B466" t="s">
        <v>1023</v>
      </c>
      <c r="C466" t="s">
        <v>865</v>
      </c>
      <c r="D466">
        <v>15</v>
      </c>
      <c r="E466" t="s">
        <v>784</v>
      </c>
      <c r="F466">
        <v>15</v>
      </c>
    </row>
    <row r="467" spans="2:6" x14ac:dyDescent="0.3">
      <c r="B467" t="s">
        <v>1024</v>
      </c>
      <c r="C467" t="s">
        <v>865</v>
      </c>
      <c r="D467">
        <v>15</v>
      </c>
      <c r="E467" t="s">
        <v>784</v>
      </c>
      <c r="F467">
        <v>15</v>
      </c>
    </row>
    <row r="468" spans="2:6" x14ac:dyDescent="0.3">
      <c r="B468" t="s">
        <v>1025</v>
      </c>
      <c r="C468" t="s">
        <v>865</v>
      </c>
      <c r="D468">
        <v>12</v>
      </c>
      <c r="E468" t="s">
        <v>784</v>
      </c>
      <c r="F468">
        <v>9</v>
      </c>
    </row>
    <row r="469" spans="2:6" x14ac:dyDescent="0.3">
      <c r="B469" t="s">
        <v>1026</v>
      </c>
      <c r="C469" t="s">
        <v>865</v>
      </c>
      <c r="D469">
        <v>12</v>
      </c>
      <c r="E469" t="s">
        <v>784</v>
      </c>
      <c r="F469">
        <v>12</v>
      </c>
    </row>
    <row r="470" spans="2:6" x14ac:dyDescent="0.3">
      <c r="B470" t="s">
        <v>1027</v>
      </c>
      <c r="C470" t="s">
        <v>865</v>
      </c>
      <c r="D470">
        <v>15</v>
      </c>
      <c r="E470" t="s">
        <v>784</v>
      </c>
      <c r="F470">
        <v>15</v>
      </c>
    </row>
    <row r="471" spans="2:6" x14ac:dyDescent="0.3">
      <c r="B471" t="s">
        <v>1028</v>
      </c>
      <c r="C471" t="s">
        <v>865</v>
      </c>
      <c r="D471">
        <v>15</v>
      </c>
      <c r="E471" t="s">
        <v>784</v>
      </c>
      <c r="F471">
        <v>15</v>
      </c>
    </row>
    <row r="472" spans="2:6" x14ac:dyDescent="0.3">
      <c r="B472" t="s">
        <v>1029</v>
      </c>
      <c r="C472" t="s">
        <v>1015</v>
      </c>
      <c r="D472">
        <v>15</v>
      </c>
      <c r="E472" t="s">
        <v>787</v>
      </c>
      <c r="F472">
        <v>18</v>
      </c>
    </row>
    <row r="473" spans="2:6" x14ac:dyDescent="0.3">
      <c r="B473" t="s">
        <v>1030</v>
      </c>
      <c r="C473" t="s">
        <v>865</v>
      </c>
      <c r="D473">
        <v>12</v>
      </c>
      <c r="E473" t="s">
        <v>784</v>
      </c>
      <c r="F473">
        <v>12</v>
      </c>
    </row>
    <row r="474" spans="2:6" x14ac:dyDescent="0.3">
      <c r="B474" t="s">
        <v>1031</v>
      </c>
      <c r="C474" t="s">
        <v>865</v>
      </c>
      <c r="D474">
        <v>12</v>
      </c>
      <c r="E474" t="s">
        <v>784</v>
      </c>
      <c r="F474">
        <v>9</v>
      </c>
    </row>
    <row r="475" spans="2:6" x14ac:dyDescent="0.3">
      <c r="B475" t="s">
        <v>1032</v>
      </c>
      <c r="C475" t="s">
        <v>865</v>
      </c>
      <c r="D475">
        <v>12</v>
      </c>
      <c r="E475" t="s">
        <v>784</v>
      </c>
      <c r="F475">
        <v>12</v>
      </c>
    </row>
    <row r="476" spans="2:6" x14ac:dyDescent="0.3">
      <c r="B476" t="s">
        <v>1033</v>
      </c>
      <c r="C476" t="s">
        <v>865</v>
      </c>
      <c r="D476">
        <v>15</v>
      </c>
      <c r="E476" t="s">
        <v>784</v>
      </c>
      <c r="F476">
        <v>15</v>
      </c>
    </row>
    <row r="477" spans="2:6" x14ac:dyDescent="0.3">
      <c r="B477" t="s">
        <v>1034</v>
      </c>
      <c r="C477" t="s">
        <v>1015</v>
      </c>
      <c r="D477">
        <v>15</v>
      </c>
      <c r="E477" t="s">
        <v>787</v>
      </c>
      <c r="F477">
        <v>18</v>
      </c>
    </row>
    <row r="478" spans="2:6" x14ac:dyDescent="0.3">
      <c r="B478" t="s">
        <v>1035</v>
      </c>
      <c r="C478" t="s">
        <v>865</v>
      </c>
      <c r="D478">
        <v>15</v>
      </c>
      <c r="E478" t="s">
        <v>784</v>
      </c>
      <c r="F478">
        <v>12</v>
      </c>
    </row>
    <row r="479" spans="2:6" x14ac:dyDescent="0.3">
      <c r="B479" t="s">
        <v>1036</v>
      </c>
      <c r="C479" t="s">
        <v>1015</v>
      </c>
      <c r="D479">
        <v>15</v>
      </c>
      <c r="E479" t="s">
        <v>787</v>
      </c>
      <c r="F479">
        <v>12</v>
      </c>
    </row>
    <row r="480" spans="2:6" x14ac:dyDescent="0.3">
      <c r="B480" t="s">
        <v>1037</v>
      </c>
      <c r="C480" t="s">
        <v>865</v>
      </c>
      <c r="D480">
        <v>15</v>
      </c>
      <c r="E480" t="s">
        <v>784</v>
      </c>
      <c r="F480">
        <v>12</v>
      </c>
    </row>
    <row r="481" spans="2:6" x14ac:dyDescent="0.3">
      <c r="B481" t="s">
        <v>1038</v>
      </c>
      <c r="C481" t="s">
        <v>865</v>
      </c>
      <c r="D481">
        <v>15</v>
      </c>
      <c r="E481" t="s">
        <v>784</v>
      </c>
      <c r="F481">
        <v>12</v>
      </c>
    </row>
    <row r="482" spans="2:6" x14ac:dyDescent="0.3">
      <c r="B482" t="s">
        <v>1039</v>
      </c>
      <c r="C482" t="s">
        <v>865</v>
      </c>
      <c r="D482">
        <v>15</v>
      </c>
      <c r="E482" t="s">
        <v>784</v>
      </c>
      <c r="F482">
        <v>12</v>
      </c>
    </row>
    <row r="483" spans="2:6" x14ac:dyDescent="0.3">
      <c r="B483" t="s">
        <v>1040</v>
      </c>
      <c r="C483" t="s">
        <v>1015</v>
      </c>
      <c r="D483">
        <v>15</v>
      </c>
      <c r="E483" t="s">
        <v>787</v>
      </c>
      <c r="F483">
        <v>12</v>
      </c>
    </row>
    <row r="484" spans="2:6" x14ac:dyDescent="0.3">
      <c r="B484" t="s">
        <v>1041</v>
      </c>
      <c r="C484" t="s">
        <v>865</v>
      </c>
      <c r="D484">
        <v>15</v>
      </c>
      <c r="E484" t="s">
        <v>784</v>
      </c>
      <c r="F484">
        <v>12</v>
      </c>
    </row>
    <row r="485" spans="2:6" x14ac:dyDescent="0.3">
      <c r="B485" t="s">
        <v>1042</v>
      </c>
      <c r="C485" t="s">
        <v>865</v>
      </c>
      <c r="D485">
        <v>15</v>
      </c>
      <c r="E485" t="s">
        <v>784</v>
      </c>
      <c r="F485">
        <v>12</v>
      </c>
    </row>
    <row r="486" spans="2:6" x14ac:dyDescent="0.3">
      <c r="B486" t="s">
        <v>1043</v>
      </c>
      <c r="C486" t="s">
        <v>865</v>
      </c>
      <c r="D486">
        <v>15</v>
      </c>
      <c r="E486" t="s">
        <v>784</v>
      </c>
      <c r="F486">
        <v>15</v>
      </c>
    </row>
    <row r="487" spans="2:6" x14ac:dyDescent="0.3">
      <c r="B487" t="s">
        <v>1044</v>
      </c>
      <c r="C487" t="s">
        <v>865</v>
      </c>
      <c r="D487">
        <v>15</v>
      </c>
      <c r="E487" t="s">
        <v>784</v>
      </c>
      <c r="F487">
        <v>15</v>
      </c>
    </row>
    <row r="488" spans="2:6" x14ac:dyDescent="0.3">
      <c r="B488" t="s">
        <v>1045</v>
      </c>
      <c r="C488" t="s">
        <v>865</v>
      </c>
      <c r="D488">
        <v>15</v>
      </c>
      <c r="E488" t="s">
        <v>784</v>
      </c>
      <c r="F488">
        <v>15</v>
      </c>
    </row>
    <row r="489" spans="2:6" x14ac:dyDescent="0.3">
      <c r="B489" t="s">
        <v>1046</v>
      </c>
      <c r="C489" t="s">
        <v>865</v>
      </c>
      <c r="D489">
        <v>15</v>
      </c>
      <c r="E489" t="s">
        <v>784</v>
      </c>
      <c r="F489">
        <v>15</v>
      </c>
    </row>
    <row r="490" spans="2:6" x14ac:dyDescent="0.3">
      <c r="B490" t="s">
        <v>1047</v>
      </c>
      <c r="C490" t="s">
        <v>865</v>
      </c>
      <c r="D490">
        <v>15</v>
      </c>
      <c r="E490" t="s">
        <v>784</v>
      </c>
      <c r="F490">
        <v>15</v>
      </c>
    </row>
    <row r="491" spans="2:6" x14ac:dyDescent="0.3">
      <c r="B491" t="s">
        <v>1048</v>
      </c>
      <c r="C491" t="s">
        <v>865</v>
      </c>
      <c r="D491">
        <v>15</v>
      </c>
      <c r="E491" t="s">
        <v>784</v>
      </c>
      <c r="F491">
        <v>15</v>
      </c>
    </row>
    <row r="492" spans="2:6" x14ac:dyDescent="0.3">
      <c r="B492" t="s">
        <v>1049</v>
      </c>
      <c r="C492" t="s">
        <v>865</v>
      </c>
      <c r="D492">
        <v>15</v>
      </c>
      <c r="E492" t="s">
        <v>784</v>
      </c>
      <c r="F492">
        <v>15</v>
      </c>
    </row>
    <row r="493" spans="2:6" x14ac:dyDescent="0.3">
      <c r="B493" t="s">
        <v>1050</v>
      </c>
      <c r="C493" t="s">
        <v>865</v>
      </c>
      <c r="D493">
        <v>15</v>
      </c>
      <c r="E493" t="s">
        <v>784</v>
      </c>
      <c r="F493">
        <v>15</v>
      </c>
    </row>
    <row r="494" spans="2:6" x14ac:dyDescent="0.3">
      <c r="B494" t="s">
        <v>1051</v>
      </c>
      <c r="C494" t="s">
        <v>865</v>
      </c>
      <c r="D494">
        <v>15</v>
      </c>
      <c r="E494" t="s">
        <v>784</v>
      </c>
      <c r="F494">
        <v>15</v>
      </c>
    </row>
    <row r="495" spans="2:6" x14ac:dyDescent="0.3">
      <c r="B495" t="s">
        <v>1052</v>
      </c>
      <c r="C495" t="s">
        <v>865</v>
      </c>
      <c r="D495">
        <v>15</v>
      </c>
      <c r="E495" t="s">
        <v>784</v>
      </c>
      <c r="F495">
        <v>12</v>
      </c>
    </row>
    <row r="496" spans="2:6" x14ac:dyDescent="0.3">
      <c r="B496" t="s">
        <v>1053</v>
      </c>
      <c r="C496" t="s">
        <v>865</v>
      </c>
      <c r="D496">
        <v>15</v>
      </c>
      <c r="E496" t="s">
        <v>784</v>
      </c>
      <c r="F496">
        <v>15</v>
      </c>
    </row>
    <row r="497" spans="2:6" x14ac:dyDescent="0.3">
      <c r="B497" t="s">
        <v>1054</v>
      </c>
      <c r="C497" t="s">
        <v>865</v>
      </c>
      <c r="D497">
        <v>18</v>
      </c>
      <c r="E497" t="s">
        <v>784</v>
      </c>
      <c r="F497">
        <v>15</v>
      </c>
    </row>
    <row r="498" spans="2:6" x14ac:dyDescent="0.3">
      <c r="B498" t="s">
        <v>1055</v>
      </c>
      <c r="C498" t="s">
        <v>865</v>
      </c>
      <c r="D498">
        <v>15</v>
      </c>
      <c r="E498" t="s">
        <v>784</v>
      </c>
      <c r="F498">
        <v>15</v>
      </c>
    </row>
    <row r="499" spans="2:6" x14ac:dyDescent="0.3">
      <c r="B499" t="s">
        <v>1056</v>
      </c>
      <c r="C499" t="s">
        <v>865</v>
      </c>
      <c r="D499">
        <v>18</v>
      </c>
      <c r="E499" t="s">
        <v>784</v>
      </c>
      <c r="F499">
        <v>15</v>
      </c>
    </row>
    <row r="500" spans="2:6" x14ac:dyDescent="0.3">
      <c r="B500" t="s">
        <v>1057</v>
      </c>
      <c r="C500" t="s">
        <v>865</v>
      </c>
      <c r="D500">
        <v>15</v>
      </c>
      <c r="E500" t="s">
        <v>784</v>
      </c>
      <c r="F500">
        <v>12</v>
      </c>
    </row>
    <row r="501" spans="2:6" x14ac:dyDescent="0.3">
      <c r="B501" t="s">
        <v>1058</v>
      </c>
      <c r="C501" t="s">
        <v>865</v>
      </c>
      <c r="D501">
        <v>15</v>
      </c>
      <c r="E501" t="s">
        <v>784</v>
      </c>
      <c r="F501">
        <v>15</v>
      </c>
    </row>
    <row r="502" spans="2:6" x14ac:dyDescent="0.3">
      <c r="B502" t="s">
        <v>1059</v>
      </c>
      <c r="C502" t="s">
        <v>865</v>
      </c>
      <c r="D502">
        <v>18</v>
      </c>
      <c r="E502" t="s">
        <v>784</v>
      </c>
      <c r="F502">
        <v>15</v>
      </c>
    </row>
    <row r="503" spans="2:6" x14ac:dyDescent="0.3">
      <c r="B503" t="s">
        <v>1060</v>
      </c>
      <c r="C503" t="s">
        <v>865</v>
      </c>
      <c r="D503">
        <v>15</v>
      </c>
      <c r="E503" t="s">
        <v>784</v>
      </c>
      <c r="F503">
        <v>15</v>
      </c>
    </row>
    <row r="504" spans="2:6" x14ac:dyDescent="0.3">
      <c r="B504" t="s">
        <v>1061</v>
      </c>
      <c r="C504" t="s">
        <v>865</v>
      </c>
      <c r="D504">
        <v>18</v>
      </c>
      <c r="E504" t="s">
        <v>784</v>
      </c>
      <c r="F504">
        <v>15</v>
      </c>
    </row>
    <row r="505" spans="2:6" x14ac:dyDescent="0.3">
      <c r="B505" t="s">
        <v>1062</v>
      </c>
      <c r="C505" t="s">
        <v>832</v>
      </c>
      <c r="D505">
        <v>12</v>
      </c>
      <c r="E505" t="s">
        <v>809</v>
      </c>
      <c r="F505">
        <v>12</v>
      </c>
    </row>
    <row r="506" spans="2:6" x14ac:dyDescent="0.3">
      <c r="B506" t="s">
        <v>1063</v>
      </c>
      <c r="C506" t="s">
        <v>832</v>
      </c>
      <c r="D506">
        <v>12</v>
      </c>
      <c r="E506" t="s">
        <v>809</v>
      </c>
      <c r="F506">
        <v>12</v>
      </c>
    </row>
    <row r="507" spans="2:6" x14ac:dyDescent="0.3">
      <c r="B507" t="s">
        <v>1064</v>
      </c>
      <c r="C507" t="s">
        <v>912</v>
      </c>
      <c r="D507">
        <v>45</v>
      </c>
      <c r="E507" t="s">
        <v>844</v>
      </c>
      <c r="F507">
        <v>48</v>
      </c>
    </row>
    <row r="508" spans="2:6" x14ac:dyDescent="0.3">
      <c r="B508" t="s">
        <v>1065</v>
      </c>
      <c r="C508" t="s">
        <v>912</v>
      </c>
      <c r="D508">
        <v>54</v>
      </c>
      <c r="E508" t="s">
        <v>844</v>
      </c>
      <c r="F508">
        <v>57</v>
      </c>
    </row>
    <row r="509" spans="2:6" x14ac:dyDescent="0.3">
      <c r="B509" t="s">
        <v>1066</v>
      </c>
      <c r="C509" t="s">
        <v>912</v>
      </c>
      <c r="D509">
        <v>54</v>
      </c>
      <c r="E509" t="s">
        <v>844</v>
      </c>
      <c r="F509">
        <v>57</v>
      </c>
    </row>
    <row r="510" spans="2:6" x14ac:dyDescent="0.3">
      <c r="B510" t="s">
        <v>1067</v>
      </c>
      <c r="C510" t="s">
        <v>912</v>
      </c>
      <c r="D510">
        <v>60</v>
      </c>
      <c r="E510" t="s">
        <v>844</v>
      </c>
      <c r="F510">
        <v>60</v>
      </c>
    </row>
    <row r="511" spans="2:6" x14ac:dyDescent="0.3">
      <c r="B511" t="s">
        <v>1068</v>
      </c>
      <c r="C511" t="s">
        <v>865</v>
      </c>
      <c r="D511">
        <v>18</v>
      </c>
      <c r="E511" t="s">
        <v>784</v>
      </c>
      <c r="F511">
        <v>15</v>
      </c>
    </row>
    <row r="512" spans="2:6" x14ac:dyDescent="0.3">
      <c r="B512" t="s">
        <v>1069</v>
      </c>
      <c r="C512" t="s">
        <v>865</v>
      </c>
      <c r="D512">
        <v>18</v>
      </c>
      <c r="E512" t="s">
        <v>784</v>
      </c>
      <c r="F512">
        <v>15</v>
      </c>
    </row>
    <row r="513" spans="2:6" x14ac:dyDescent="0.3">
      <c r="B513" t="s">
        <v>1070</v>
      </c>
      <c r="C513" t="s">
        <v>865</v>
      </c>
      <c r="D513">
        <v>18</v>
      </c>
      <c r="E513" t="s">
        <v>784</v>
      </c>
      <c r="F513">
        <v>15</v>
      </c>
    </row>
    <row r="514" spans="2:6" x14ac:dyDescent="0.3">
      <c r="B514" t="s">
        <v>1071</v>
      </c>
      <c r="C514" t="s">
        <v>865</v>
      </c>
      <c r="D514">
        <v>18</v>
      </c>
      <c r="E514" t="s">
        <v>784</v>
      </c>
      <c r="F514">
        <v>15</v>
      </c>
    </row>
    <row r="515" spans="2:6" x14ac:dyDescent="0.3">
      <c r="B515" t="s">
        <v>1072</v>
      </c>
      <c r="C515" t="s">
        <v>865</v>
      </c>
      <c r="D515">
        <v>18</v>
      </c>
      <c r="E515" t="s">
        <v>784</v>
      </c>
      <c r="F515">
        <v>15</v>
      </c>
    </row>
    <row r="516" spans="2:6" x14ac:dyDescent="0.3">
      <c r="B516" t="s">
        <v>1073</v>
      </c>
      <c r="C516" t="s">
        <v>865</v>
      </c>
      <c r="D516">
        <v>18</v>
      </c>
      <c r="E516" t="s">
        <v>784</v>
      </c>
      <c r="F516">
        <v>15</v>
      </c>
    </row>
    <row r="517" spans="2:6" x14ac:dyDescent="0.3">
      <c r="B517" t="s">
        <v>1074</v>
      </c>
      <c r="C517" t="s">
        <v>865</v>
      </c>
      <c r="D517">
        <v>18</v>
      </c>
      <c r="E517" t="s">
        <v>784</v>
      </c>
      <c r="F517">
        <v>15</v>
      </c>
    </row>
    <row r="518" spans="2:6" x14ac:dyDescent="0.3">
      <c r="B518" t="s">
        <v>1075</v>
      </c>
      <c r="C518" t="s">
        <v>865</v>
      </c>
      <c r="D518">
        <v>18</v>
      </c>
      <c r="E518" t="s">
        <v>784</v>
      </c>
      <c r="F518">
        <v>15</v>
      </c>
    </row>
    <row r="519" spans="2:6" x14ac:dyDescent="0.3">
      <c r="B519" t="s">
        <v>1076</v>
      </c>
      <c r="C519" t="s">
        <v>901</v>
      </c>
      <c r="D519">
        <v>12</v>
      </c>
      <c r="E519" t="s">
        <v>844</v>
      </c>
      <c r="F519">
        <v>12</v>
      </c>
    </row>
    <row r="520" spans="2:6" x14ac:dyDescent="0.3">
      <c r="B520" t="s">
        <v>1077</v>
      </c>
      <c r="C520" t="s">
        <v>901</v>
      </c>
      <c r="D520">
        <v>12</v>
      </c>
      <c r="E520" t="s">
        <v>844</v>
      </c>
      <c r="F520">
        <v>12</v>
      </c>
    </row>
    <row r="521" spans="2:6" x14ac:dyDescent="0.3">
      <c r="B521" t="s">
        <v>1078</v>
      </c>
      <c r="C521" t="s">
        <v>898</v>
      </c>
      <c r="D521">
        <v>18</v>
      </c>
      <c r="E521" t="s">
        <v>899</v>
      </c>
      <c r="F521">
        <v>15</v>
      </c>
    </row>
    <row r="522" spans="2:6" x14ac:dyDescent="0.3">
      <c r="B522" t="s">
        <v>1079</v>
      </c>
      <c r="C522" t="s">
        <v>901</v>
      </c>
      <c r="D522">
        <v>12</v>
      </c>
      <c r="E522" t="s">
        <v>844</v>
      </c>
      <c r="F522">
        <v>12</v>
      </c>
    </row>
    <row r="523" spans="2:6" x14ac:dyDescent="0.3">
      <c r="B523" t="s">
        <v>1080</v>
      </c>
      <c r="C523" t="s">
        <v>901</v>
      </c>
      <c r="D523">
        <v>12</v>
      </c>
      <c r="E523" t="s">
        <v>844</v>
      </c>
      <c r="F523">
        <v>12</v>
      </c>
    </row>
    <row r="524" spans="2:6" x14ac:dyDescent="0.3">
      <c r="B524" t="s">
        <v>1081</v>
      </c>
      <c r="C524" t="s">
        <v>901</v>
      </c>
      <c r="D524">
        <v>15</v>
      </c>
      <c r="E524" t="s">
        <v>844</v>
      </c>
      <c r="F524">
        <v>15</v>
      </c>
    </row>
    <row r="525" spans="2:6" x14ac:dyDescent="0.3">
      <c r="B525" t="s">
        <v>1082</v>
      </c>
      <c r="C525" t="s">
        <v>843</v>
      </c>
      <c r="D525">
        <v>18</v>
      </c>
      <c r="E525" t="s">
        <v>844</v>
      </c>
      <c r="F525">
        <v>18</v>
      </c>
    </row>
    <row r="526" spans="2:6" x14ac:dyDescent="0.3">
      <c r="B526" t="s">
        <v>1083</v>
      </c>
      <c r="C526" t="s">
        <v>898</v>
      </c>
      <c r="D526">
        <v>21</v>
      </c>
      <c r="E526" t="s">
        <v>899</v>
      </c>
      <c r="F526">
        <v>18</v>
      </c>
    </row>
    <row r="527" spans="2:6" x14ac:dyDescent="0.3">
      <c r="B527" t="s">
        <v>1084</v>
      </c>
      <c r="C527" t="s">
        <v>901</v>
      </c>
      <c r="D527">
        <v>15</v>
      </c>
      <c r="E527" t="s">
        <v>844</v>
      </c>
      <c r="F527">
        <v>15</v>
      </c>
    </row>
    <row r="528" spans="2:6" x14ac:dyDescent="0.3">
      <c r="B528" t="s">
        <v>1085</v>
      </c>
      <c r="C528" t="s">
        <v>843</v>
      </c>
      <c r="D528">
        <v>18</v>
      </c>
      <c r="E528" t="s">
        <v>844</v>
      </c>
      <c r="F528">
        <v>18</v>
      </c>
    </row>
    <row r="529" spans="2:6" x14ac:dyDescent="0.3">
      <c r="B529" t="s">
        <v>1086</v>
      </c>
      <c r="C529" t="s">
        <v>898</v>
      </c>
      <c r="D529">
        <v>21</v>
      </c>
      <c r="E529" t="s">
        <v>899</v>
      </c>
      <c r="F529">
        <v>18</v>
      </c>
    </row>
    <row r="530" spans="2:6" x14ac:dyDescent="0.3">
      <c r="B530" t="s">
        <v>1087</v>
      </c>
      <c r="C530" t="s">
        <v>832</v>
      </c>
      <c r="D530">
        <v>15</v>
      </c>
      <c r="E530" t="s">
        <v>809</v>
      </c>
      <c r="F530">
        <v>15</v>
      </c>
    </row>
    <row r="531" spans="2:6" x14ac:dyDescent="0.3">
      <c r="B531" t="s">
        <v>1088</v>
      </c>
      <c r="C531" t="s">
        <v>832</v>
      </c>
      <c r="D531">
        <v>15</v>
      </c>
      <c r="E531" t="s">
        <v>809</v>
      </c>
      <c r="F531">
        <v>15</v>
      </c>
    </row>
    <row r="532" spans="2:6" x14ac:dyDescent="0.3">
      <c r="B532" t="s">
        <v>1089</v>
      </c>
      <c r="C532" t="s">
        <v>832</v>
      </c>
      <c r="D532">
        <v>12</v>
      </c>
      <c r="E532" t="s">
        <v>809</v>
      </c>
      <c r="F532">
        <v>12</v>
      </c>
    </row>
    <row r="533" spans="2:6" x14ac:dyDescent="0.3">
      <c r="B533" t="s">
        <v>1090</v>
      </c>
      <c r="C533" t="s">
        <v>832</v>
      </c>
      <c r="D533">
        <v>15</v>
      </c>
      <c r="E533" t="s">
        <v>809</v>
      </c>
      <c r="F533">
        <v>15</v>
      </c>
    </row>
    <row r="534" spans="2:6" x14ac:dyDescent="0.3">
      <c r="B534" t="s">
        <v>1091</v>
      </c>
      <c r="C534" t="s">
        <v>832</v>
      </c>
      <c r="D534">
        <v>12</v>
      </c>
      <c r="E534" t="s">
        <v>809</v>
      </c>
      <c r="F534">
        <v>12</v>
      </c>
    </row>
    <row r="535" spans="2:6" x14ac:dyDescent="0.3">
      <c r="B535" t="s">
        <v>1092</v>
      </c>
      <c r="C535" t="s">
        <v>832</v>
      </c>
      <c r="D535">
        <v>15</v>
      </c>
      <c r="E535" t="s">
        <v>809</v>
      </c>
      <c r="F535">
        <v>15</v>
      </c>
    </row>
    <row r="536" spans="2:6" x14ac:dyDescent="0.3">
      <c r="B536" t="s">
        <v>1093</v>
      </c>
      <c r="C536" t="s">
        <v>901</v>
      </c>
      <c r="D536">
        <v>15</v>
      </c>
      <c r="E536" t="s">
        <v>844</v>
      </c>
      <c r="F536">
        <v>18</v>
      </c>
    </row>
    <row r="537" spans="2:6" x14ac:dyDescent="0.3">
      <c r="B537" t="s">
        <v>1094</v>
      </c>
      <c r="C537" t="s">
        <v>898</v>
      </c>
      <c r="D537">
        <v>24</v>
      </c>
      <c r="E537" t="s">
        <v>899</v>
      </c>
      <c r="F537">
        <v>21</v>
      </c>
    </row>
    <row r="538" spans="2:6" x14ac:dyDescent="0.3">
      <c r="B538" t="s">
        <v>1095</v>
      </c>
      <c r="C538" t="s">
        <v>901</v>
      </c>
      <c r="D538">
        <v>18</v>
      </c>
      <c r="E538" t="s">
        <v>844</v>
      </c>
      <c r="F538">
        <v>18</v>
      </c>
    </row>
    <row r="539" spans="2:6" x14ac:dyDescent="0.3">
      <c r="B539" t="s">
        <v>1096</v>
      </c>
      <c r="C539" t="s">
        <v>901</v>
      </c>
      <c r="D539">
        <v>18</v>
      </c>
      <c r="E539" t="s">
        <v>844</v>
      </c>
      <c r="F539">
        <v>18</v>
      </c>
    </row>
    <row r="540" spans="2:6" x14ac:dyDescent="0.3">
      <c r="B540" t="s">
        <v>1097</v>
      </c>
      <c r="C540" t="s">
        <v>901</v>
      </c>
      <c r="D540">
        <v>18</v>
      </c>
      <c r="E540" t="s">
        <v>844</v>
      </c>
      <c r="F540">
        <v>18</v>
      </c>
    </row>
    <row r="541" spans="2:6" x14ac:dyDescent="0.3">
      <c r="B541" t="s">
        <v>1098</v>
      </c>
      <c r="C541" t="s">
        <v>843</v>
      </c>
      <c r="D541">
        <v>21</v>
      </c>
      <c r="E541" t="s">
        <v>844</v>
      </c>
      <c r="F541">
        <v>21</v>
      </c>
    </row>
    <row r="542" spans="2:6" x14ac:dyDescent="0.3">
      <c r="B542" t="s">
        <v>1099</v>
      </c>
      <c r="C542" t="s">
        <v>898</v>
      </c>
      <c r="D542">
        <v>24</v>
      </c>
      <c r="E542" t="s">
        <v>899</v>
      </c>
      <c r="F542">
        <v>21</v>
      </c>
    </row>
    <row r="543" spans="2:6" x14ac:dyDescent="0.3">
      <c r="B543" t="s">
        <v>1100</v>
      </c>
      <c r="C543" t="s">
        <v>912</v>
      </c>
      <c r="D543">
        <v>21</v>
      </c>
      <c r="E543" t="s">
        <v>844</v>
      </c>
      <c r="F543">
        <v>21</v>
      </c>
    </row>
    <row r="544" spans="2:6" x14ac:dyDescent="0.3">
      <c r="B544" t="s">
        <v>1101</v>
      </c>
      <c r="C544" t="s">
        <v>912</v>
      </c>
      <c r="D544">
        <v>21</v>
      </c>
      <c r="E544" t="s">
        <v>844</v>
      </c>
      <c r="F544">
        <v>21</v>
      </c>
    </row>
    <row r="545" spans="2:6" x14ac:dyDescent="0.3">
      <c r="B545" t="s">
        <v>1102</v>
      </c>
      <c r="C545" t="s">
        <v>912</v>
      </c>
      <c r="D545">
        <v>21</v>
      </c>
      <c r="E545" t="s">
        <v>844</v>
      </c>
      <c r="F545">
        <v>21</v>
      </c>
    </row>
    <row r="546" spans="2:6" x14ac:dyDescent="0.3">
      <c r="B546" t="s">
        <v>1103</v>
      </c>
      <c r="C546" t="s">
        <v>912</v>
      </c>
      <c r="D546">
        <v>21</v>
      </c>
      <c r="E546" t="s">
        <v>844</v>
      </c>
      <c r="F546">
        <v>21</v>
      </c>
    </row>
    <row r="547" spans="2:6" x14ac:dyDescent="0.3">
      <c r="B547" t="s">
        <v>1104</v>
      </c>
      <c r="C547" t="s">
        <v>912</v>
      </c>
      <c r="D547">
        <v>21</v>
      </c>
      <c r="E547" t="s">
        <v>844</v>
      </c>
      <c r="F547">
        <v>21</v>
      </c>
    </row>
    <row r="548" spans="2:6" x14ac:dyDescent="0.3">
      <c r="B548" t="s">
        <v>1105</v>
      </c>
      <c r="C548" t="s">
        <v>912</v>
      </c>
      <c r="D548">
        <v>21</v>
      </c>
      <c r="E548" t="s">
        <v>844</v>
      </c>
      <c r="F548">
        <v>21</v>
      </c>
    </row>
    <row r="549" spans="2:6" x14ac:dyDescent="0.3">
      <c r="B549" t="s">
        <v>1106</v>
      </c>
      <c r="C549" t="s">
        <v>898</v>
      </c>
      <c r="D549">
        <v>27</v>
      </c>
      <c r="E549" t="s">
        <v>899</v>
      </c>
      <c r="F549">
        <v>24</v>
      </c>
    </row>
    <row r="550" spans="2:6" x14ac:dyDescent="0.3">
      <c r="B550" t="s">
        <v>1107</v>
      </c>
      <c r="C550" t="s">
        <v>912</v>
      </c>
      <c r="D550">
        <v>21</v>
      </c>
      <c r="E550" t="s">
        <v>844</v>
      </c>
      <c r="F550">
        <v>21</v>
      </c>
    </row>
    <row r="551" spans="2:6" x14ac:dyDescent="0.3">
      <c r="B551" t="s">
        <v>1108</v>
      </c>
      <c r="C551" t="s">
        <v>898</v>
      </c>
      <c r="D551">
        <v>33</v>
      </c>
      <c r="E551" t="s">
        <v>899</v>
      </c>
      <c r="F551">
        <v>30</v>
      </c>
    </row>
    <row r="552" spans="2:6" x14ac:dyDescent="0.3">
      <c r="B552" t="s">
        <v>1109</v>
      </c>
      <c r="C552" t="s">
        <v>901</v>
      </c>
      <c r="D552">
        <v>24</v>
      </c>
      <c r="E552" t="s">
        <v>844</v>
      </c>
      <c r="F552">
        <v>24</v>
      </c>
    </row>
    <row r="553" spans="2:6" x14ac:dyDescent="0.3">
      <c r="B553" t="s">
        <v>1110</v>
      </c>
      <c r="C553" t="s">
        <v>901</v>
      </c>
      <c r="D553">
        <v>24</v>
      </c>
      <c r="E553" t="s">
        <v>844</v>
      </c>
      <c r="F553">
        <v>24</v>
      </c>
    </row>
    <row r="554" spans="2:6" x14ac:dyDescent="0.3">
      <c r="B554" t="s">
        <v>1111</v>
      </c>
      <c r="C554" t="s">
        <v>912</v>
      </c>
      <c r="D554">
        <v>27</v>
      </c>
      <c r="E554" t="s">
        <v>844</v>
      </c>
      <c r="F554">
        <v>27</v>
      </c>
    </row>
    <row r="555" spans="2:6" x14ac:dyDescent="0.3">
      <c r="B555" t="s">
        <v>1112</v>
      </c>
      <c r="C555" t="s">
        <v>843</v>
      </c>
      <c r="D555">
        <v>30</v>
      </c>
      <c r="E555" t="s">
        <v>844</v>
      </c>
      <c r="F555">
        <v>30</v>
      </c>
    </row>
    <row r="556" spans="2:6" x14ac:dyDescent="0.3">
      <c r="B556" t="s">
        <v>1113</v>
      </c>
      <c r="C556" t="s">
        <v>832</v>
      </c>
      <c r="D556">
        <v>12</v>
      </c>
      <c r="E556" t="s">
        <v>809</v>
      </c>
      <c r="F556">
        <v>12</v>
      </c>
    </row>
    <row r="557" spans="2:6" x14ac:dyDescent="0.3">
      <c r="B557" t="s">
        <v>1114</v>
      </c>
      <c r="C557" t="s">
        <v>832</v>
      </c>
      <c r="D557">
        <v>15</v>
      </c>
      <c r="E557" t="s">
        <v>809</v>
      </c>
      <c r="F557">
        <v>18</v>
      </c>
    </row>
    <row r="558" spans="2:6" x14ac:dyDescent="0.3">
      <c r="B558" t="s">
        <v>1115</v>
      </c>
      <c r="C558" t="s">
        <v>832</v>
      </c>
      <c r="D558">
        <v>12</v>
      </c>
      <c r="E558" t="s">
        <v>809</v>
      </c>
      <c r="F558">
        <v>12</v>
      </c>
    </row>
    <row r="559" spans="2:6" x14ac:dyDescent="0.3">
      <c r="B559" t="s">
        <v>1116</v>
      </c>
      <c r="C559" t="s">
        <v>832</v>
      </c>
      <c r="D559">
        <v>15</v>
      </c>
      <c r="E559" t="s">
        <v>809</v>
      </c>
      <c r="F559">
        <v>18</v>
      </c>
    </row>
    <row r="560" spans="2:6" x14ac:dyDescent="0.3">
      <c r="B560" t="s">
        <v>1117</v>
      </c>
      <c r="C560" t="s">
        <v>832</v>
      </c>
      <c r="D560">
        <v>15</v>
      </c>
      <c r="E560" t="s">
        <v>809</v>
      </c>
      <c r="F560">
        <v>15</v>
      </c>
    </row>
    <row r="561" spans="2:6" x14ac:dyDescent="0.3">
      <c r="B561" t="s">
        <v>1118</v>
      </c>
      <c r="C561" t="s">
        <v>832</v>
      </c>
      <c r="D561">
        <v>18</v>
      </c>
      <c r="E561" t="s">
        <v>809</v>
      </c>
      <c r="F561">
        <v>21</v>
      </c>
    </row>
    <row r="562" spans="2:6" x14ac:dyDescent="0.3">
      <c r="B562" t="s">
        <v>1119</v>
      </c>
      <c r="C562" t="s">
        <v>832</v>
      </c>
      <c r="D562">
        <v>15</v>
      </c>
      <c r="E562" t="s">
        <v>809</v>
      </c>
      <c r="F562">
        <v>15</v>
      </c>
    </row>
    <row r="563" spans="2:6" x14ac:dyDescent="0.3">
      <c r="B563" t="s">
        <v>1120</v>
      </c>
      <c r="C563" t="s">
        <v>832</v>
      </c>
      <c r="D563">
        <v>18</v>
      </c>
      <c r="E563" t="s">
        <v>809</v>
      </c>
      <c r="F563">
        <v>21</v>
      </c>
    </row>
    <row r="564" spans="2:6" x14ac:dyDescent="0.3">
      <c r="B564" t="s">
        <v>1121</v>
      </c>
      <c r="C564" t="s">
        <v>832</v>
      </c>
      <c r="D564">
        <v>15</v>
      </c>
      <c r="E564" t="s">
        <v>809</v>
      </c>
      <c r="F564">
        <v>15</v>
      </c>
    </row>
    <row r="565" spans="2:6" x14ac:dyDescent="0.3">
      <c r="B565" t="s">
        <v>1122</v>
      </c>
      <c r="C565" t="s">
        <v>832</v>
      </c>
      <c r="D565">
        <v>18</v>
      </c>
      <c r="E565" t="s">
        <v>809</v>
      </c>
      <c r="F565">
        <v>21</v>
      </c>
    </row>
    <row r="566" spans="2:6" x14ac:dyDescent="0.3">
      <c r="B566" t="s">
        <v>1123</v>
      </c>
      <c r="C566" t="s">
        <v>832</v>
      </c>
      <c r="D566">
        <v>15</v>
      </c>
      <c r="E566" t="s">
        <v>809</v>
      </c>
      <c r="F566">
        <v>15</v>
      </c>
    </row>
    <row r="567" spans="2:6" x14ac:dyDescent="0.3">
      <c r="B567" t="s">
        <v>1124</v>
      </c>
      <c r="C567" t="s">
        <v>832</v>
      </c>
      <c r="D567">
        <v>18</v>
      </c>
      <c r="E567" t="s">
        <v>809</v>
      </c>
      <c r="F567">
        <v>21</v>
      </c>
    </row>
    <row r="568" spans="2:6" x14ac:dyDescent="0.3">
      <c r="B568" t="s">
        <v>1125</v>
      </c>
      <c r="C568" t="s">
        <v>832</v>
      </c>
      <c r="D568">
        <v>18</v>
      </c>
      <c r="E568" t="s">
        <v>809</v>
      </c>
      <c r="F568">
        <v>18</v>
      </c>
    </row>
    <row r="569" spans="2:6" x14ac:dyDescent="0.3">
      <c r="B569" t="s">
        <v>1126</v>
      </c>
      <c r="C569" t="s">
        <v>832</v>
      </c>
      <c r="D569">
        <v>18</v>
      </c>
      <c r="E569" t="s">
        <v>809</v>
      </c>
      <c r="F569">
        <v>21</v>
      </c>
    </row>
    <row r="570" spans="2:6" x14ac:dyDescent="0.3">
      <c r="B570" t="s">
        <v>1127</v>
      </c>
      <c r="C570" t="s">
        <v>832</v>
      </c>
      <c r="D570">
        <v>15</v>
      </c>
      <c r="E570" t="s">
        <v>809</v>
      </c>
      <c r="F570">
        <v>18</v>
      </c>
    </row>
    <row r="571" spans="2:6" x14ac:dyDescent="0.3">
      <c r="B571" t="s">
        <v>1128</v>
      </c>
      <c r="C571" t="s">
        <v>832</v>
      </c>
      <c r="D571">
        <v>18</v>
      </c>
      <c r="E571" t="s">
        <v>809</v>
      </c>
      <c r="F571">
        <v>18</v>
      </c>
    </row>
    <row r="572" spans="2:6" x14ac:dyDescent="0.3">
      <c r="B572" t="s">
        <v>1129</v>
      </c>
      <c r="C572" t="s">
        <v>832</v>
      </c>
      <c r="D572">
        <v>21</v>
      </c>
      <c r="E572" t="s">
        <v>809</v>
      </c>
      <c r="F572">
        <v>21</v>
      </c>
    </row>
    <row r="573" spans="2:6" x14ac:dyDescent="0.3">
      <c r="B573" t="s">
        <v>1130</v>
      </c>
      <c r="C573" t="s">
        <v>843</v>
      </c>
      <c r="D573">
        <v>51</v>
      </c>
      <c r="E573" t="s">
        <v>844</v>
      </c>
      <c r="F573">
        <v>54</v>
      </c>
    </row>
    <row r="574" spans="2:6" x14ac:dyDescent="0.3">
      <c r="B574" t="s">
        <v>1131</v>
      </c>
      <c r="C574" t="s">
        <v>832</v>
      </c>
      <c r="D574">
        <v>15</v>
      </c>
      <c r="E574" t="s">
        <v>809</v>
      </c>
      <c r="F574">
        <v>15</v>
      </c>
    </row>
    <row r="575" spans="2:6" x14ac:dyDescent="0.3">
      <c r="B575" t="s">
        <v>1132</v>
      </c>
      <c r="C575" t="s">
        <v>832</v>
      </c>
      <c r="D575">
        <v>15</v>
      </c>
      <c r="E575" t="s">
        <v>809</v>
      </c>
      <c r="F575">
        <v>15</v>
      </c>
    </row>
    <row r="576" spans="2:6" x14ac:dyDescent="0.3">
      <c r="B576" t="s">
        <v>1133</v>
      </c>
      <c r="C576" t="s">
        <v>843</v>
      </c>
      <c r="D576">
        <v>63</v>
      </c>
      <c r="E576" t="s">
        <v>844</v>
      </c>
      <c r="F576">
        <v>66</v>
      </c>
    </row>
    <row r="577" spans="2:6" x14ac:dyDescent="0.3">
      <c r="B577" t="s">
        <v>1134</v>
      </c>
      <c r="C577" t="s">
        <v>843</v>
      </c>
      <c r="D577">
        <v>63</v>
      </c>
      <c r="E577" t="s">
        <v>844</v>
      </c>
      <c r="F577">
        <v>66</v>
      </c>
    </row>
    <row r="578" spans="2:6" x14ac:dyDescent="0.3">
      <c r="B578" t="s">
        <v>1135</v>
      </c>
      <c r="C578" t="s">
        <v>832</v>
      </c>
      <c r="D578">
        <v>18</v>
      </c>
      <c r="E578" t="s">
        <v>809</v>
      </c>
      <c r="F578">
        <v>21</v>
      </c>
    </row>
    <row r="579" spans="2:6" x14ac:dyDescent="0.3">
      <c r="B579" t="s">
        <v>1136</v>
      </c>
      <c r="C579" t="s">
        <v>832</v>
      </c>
      <c r="D579">
        <v>18</v>
      </c>
      <c r="E579" t="s">
        <v>809</v>
      </c>
      <c r="F579">
        <v>21</v>
      </c>
    </row>
    <row r="580" spans="2:6" x14ac:dyDescent="0.3">
      <c r="B580" t="s">
        <v>1137</v>
      </c>
      <c r="C580" t="s">
        <v>832</v>
      </c>
      <c r="D580">
        <v>18</v>
      </c>
      <c r="E580" t="s">
        <v>809</v>
      </c>
      <c r="F580">
        <v>21</v>
      </c>
    </row>
    <row r="581" spans="2:6" x14ac:dyDescent="0.3">
      <c r="B581" t="s">
        <v>1138</v>
      </c>
      <c r="C581" t="s">
        <v>832</v>
      </c>
      <c r="D581">
        <v>18</v>
      </c>
      <c r="E581" t="s">
        <v>809</v>
      </c>
      <c r="F581">
        <v>21</v>
      </c>
    </row>
    <row r="582" spans="2:6" x14ac:dyDescent="0.3">
      <c r="B582" t="s">
        <v>1139</v>
      </c>
      <c r="C582" t="s">
        <v>832</v>
      </c>
      <c r="D582">
        <v>18</v>
      </c>
      <c r="E582" t="s">
        <v>809</v>
      </c>
      <c r="F582">
        <v>18</v>
      </c>
    </row>
    <row r="583" spans="2:6" x14ac:dyDescent="0.3">
      <c r="B583" t="s">
        <v>1140</v>
      </c>
      <c r="C583" t="s">
        <v>832</v>
      </c>
      <c r="D583">
        <v>18</v>
      </c>
      <c r="E583" t="s">
        <v>809</v>
      </c>
      <c r="F583">
        <v>21</v>
      </c>
    </row>
    <row r="584" spans="2:6" x14ac:dyDescent="0.3">
      <c r="B584" t="s">
        <v>1141</v>
      </c>
      <c r="C584" t="s">
        <v>832</v>
      </c>
      <c r="D584">
        <v>18</v>
      </c>
      <c r="E584" t="s">
        <v>809</v>
      </c>
      <c r="F584">
        <v>18</v>
      </c>
    </row>
    <row r="585" spans="2:6" x14ac:dyDescent="0.3">
      <c r="B585" t="s">
        <v>1142</v>
      </c>
      <c r="C585" t="s">
        <v>832</v>
      </c>
      <c r="D585">
        <v>18</v>
      </c>
      <c r="E585" t="s">
        <v>809</v>
      </c>
      <c r="F585">
        <v>21</v>
      </c>
    </row>
    <row r="586" spans="2:6" x14ac:dyDescent="0.3">
      <c r="B586" t="s">
        <v>1143</v>
      </c>
      <c r="C586" t="s">
        <v>832</v>
      </c>
      <c r="D586">
        <v>18</v>
      </c>
      <c r="E586" t="s">
        <v>809</v>
      </c>
      <c r="F586">
        <v>21</v>
      </c>
    </row>
    <row r="587" spans="2:6" x14ac:dyDescent="0.3">
      <c r="B587" t="s">
        <v>1144</v>
      </c>
      <c r="C587" t="s">
        <v>832</v>
      </c>
      <c r="D587">
        <v>18</v>
      </c>
      <c r="E587" t="s">
        <v>809</v>
      </c>
      <c r="F587">
        <v>21</v>
      </c>
    </row>
    <row r="588" spans="2:6" x14ac:dyDescent="0.3">
      <c r="B588" t="s">
        <v>1145</v>
      </c>
      <c r="C588" t="s">
        <v>832</v>
      </c>
      <c r="D588">
        <v>21</v>
      </c>
      <c r="E588" t="s">
        <v>809</v>
      </c>
      <c r="F588">
        <v>18</v>
      </c>
    </row>
    <row r="589" spans="2:6" x14ac:dyDescent="0.3">
      <c r="B589" t="s">
        <v>1146</v>
      </c>
      <c r="C589" t="s">
        <v>832</v>
      </c>
      <c r="D589">
        <v>21</v>
      </c>
      <c r="E589" t="s">
        <v>809</v>
      </c>
      <c r="F589">
        <v>18</v>
      </c>
    </row>
    <row r="590" spans="2:6" x14ac:dyDescent="0.3">
      <c r="B590" t="s">
        <v>1147</v>
      </c>
      <c r="C590" t="s">
        <v>832</v>
      </c>
      <c r="D590">
        <v>18</v>
      </c>
      <c r="E590" t="s">
        <v>809</v>
      </c>
      <c r="F590">
        <v>18</v>
      </c>
    </row>
    <row r="591" spans="2:6" x14ac:dyDescent="0.3">
      <c r="B591" t="s">
        <v>1148</v>
      </c>
      <c r="C591" t="s">
        <v>832</v>
      </c>
      <c r="D591">
        <v>18</v>
      </c>
      <c r="E591" t="s">
        <v>809</v>
      </c>
      <c r="F591">
        <v>21</v>
      </c>
    </row>
    <row r="592" spans="2:6" x14ac:dyDescent="0.3">
      <c r="B592" t="s">
        <v>1149</v>
      </c>
      <c r="C592" t="s">
        <v>832</v>
      </c>
      <c r="D592">
        <v>18</v>
      </c>
      <c r="E592" t="s">
        <v>809</v>
      </c>
      <c r="F592">
        <v>18</v>
      </c>
    </row>
    <row r="593" spans="2:6" x14ac:dyDescent="0.3">
      <c r="B593" t="s">
        <v>1150</v>
      </c>
      <c r="C593" t="s">
        <v>832</v>
      </c>
      <c r="D593">
        <v>18</v>
      </c>
      <c r="E593" t="s">
        <v>809</v>
      </c>
      <c r="F593">
        <v>21</v>
      </c>
    </row>
    <row r="594" spans="2:6" x14ac:dyDescent="0.3">
      <c r="B594" t="s">
        <v>1151</v>
      </c>
      <c r="C594" t="s">
        <v>832</v>
      </c>
      <c r="D594">
        <v>21</v>
      </c>
      <c r="E594" t="s">
        <v>809</v>
      </c>
      <c r="F594">
        <v>18</v>
      </c>
    </row>
    <row r="595" spans="2:6" x14ac:dyDescent="0.3">
      <c r="B595" t="s">
        <v>1152</v>
      </c>
      <c r="C595" t="s">
        <v>832</v>
      </c>
      <c r="D595">
        <v>21</v>
      </c>
      <c r="E595" t="s">
        <v>809</v>
      </c>
      <c r="F595">
        <v>18</v>
      </c>
    </row>
    <row r="596" spans="2:6" x14ac:dyDescent="0.3">
      <c r="B596" t="s">
        <v>1153</v>
      </c>
      <c r="C596" t="s">
        <v>832</v>
      </c>
      <c r="D596">
        <v>21</v>
      </c>
      <c r="E596" t="s">
        <v>809</v>
      </c>
      <c r="F596">
        <v>18</v>
      </c>
    </row>
    <row r="597" spans="2:6" x14ac:dyDescent="0.3">
      <c r="B597" t="s">
        <v>1154</v>
      </c>
      <c r="C597" t="s">
        <v>832</v>
      </c>
      <c r="D597">
        <v>21</v>
      </c>
      <c r="E597" t="s">
        <v>809</v>
      </c>
      <c r="F597">
        <v>18</v>
      </c>
    </row>
    <row r="598" spans="2:6" x14ac:dyDescent="0.3">
      <c r="B598" t="s">
        <v>1155</v>
      </c>
      <c r="C598" t="s">
        <v>832</v>
      </c>
      <c r="D598">
        <v>18</v>
      </c>
      <c r="E598" t="s">
        <v>809</v>
      </c>
      <c r="F598">
        <v>18</v>
      </c>
    </row>
    <row r="599" spans="2:6" x14ac:dyDescent="0.3">
      <c r="B599" t="s">
        <v>1156</v>
      </c>
      <c r="C599" t="s">
        <v>832</v>
      </c>
      <c r="D599">
        <v>18</v>
      </c>
      <c r="E599" t="s">
        <v>809</v>
      </c>
      <c r="F599">
        <v>21</v>
      </c>
    </row>
    <row r="600" spans="2:6" x14ac:dyDescent="0.3">
      <c r="B600" t="s">
        <v>1157</v>
      </c>
      <c r="C600" t="s">
        <v>832</v>
      </c>
      <c r="D600">
        <v>18</v>
      </c>
      <c r="E600" t="s">
        <v>809</v>
      </c>
      <c r="F600">
        <v>21</v>
      </c>
    </row>
    <row r="601" spans="2:6" x14ac:dyDescent="0.3">
      <c r="B601" t="s">
        <v>1158</v>
      </c>
      <c r="C601" t="s">
        <v>832</v>
      </c>
      <c r="D601">
        <v>21</v>
      </c>
      <c r="E601" t="s">
        <v>809</v>
      </c>
      <c r="F601">
        <v>21</v>
      </c>
    </row>
    <row r="602" spans="2:6" x14ac:dyDescent="0.3">
      <c r="B602" t="s">
        <v>1159</v>
      </c>
      <c r="C602" t="s">
        <v>832</v>
      </c>
      <c r="D602">
        <v>18</v>
      </c>
      <c r="E602" t="s">
        <v>809</v>
      </c>
      <c r="F602">
        <v>18</v>
      </c>
    </row>
    <row r="603" spans="2:6" x14ac:dyDescent="0.3">
      <c r="B603" t="s">
        <v>1160</v>
      </c>
      <c r="C603" t="s">
        <v>832</v>
      </c>
      <c r="D603">
        <v>18</v>
      </c>
      <c r="E603" t="s">
        <v>809</v>
      </c>
      <c r="F603">
        <v>21</v>
      </c>
    </row>
    <row r="604" spans="2:6" x14ac:dyDescent="0.3">
      <c r="B604" t="s">
        <v>1161</v>
      </c>
      <c r="C604" t="s">
        <v>832</v>
      </c>
      <c r="D604">
        <v>18</v>
      </c>
      <c r="E604" t="s">
        <v>809</v>
      </c>
      <c r="F604">
        <v>21</v>
      </c>
    </row>
    <row r="605" spans="2:6" x14ac:dyDescent="0.3">
      <c r="B605" t="s">
        <v>1162</v>
      </c>
      <c r="C605" t="s">
        <v>832</v>
      </c>
      <c r="D605">
        <v>21</v>
      </c>
      <c r="E605" t="s">
        <v>809</v>
      </c>
      <c r="F605">
        <v>21</v>
      </c>
    </row>
    <row r="606" spans="2:6" x14ac:dyDescent="0.3">
      <c r="B606" t="s">
        <v>1163</v>
      </c>
      <c r="C606" t="s">
        <v>843</v>
      </c>
      <c r="D606">
        <v>21</v>
      </c>
      <c r="E606" t="s">
        <v>844</v>
      </c>
      <c r="F606">
        <v>24</v>
      </c>
    </row>
    <row r="607" spans="2:6" x14ac:dyDescent="0.3">
      <c r="B607" t="s">
        <v>1164</v>
      </c>
      <c r="C607" t="s">
        <v>843</v>
      </c>
      <c r="D607">
        <v>24</v>
      </c>
      <c r="E607" t="s">
        <v>844</v>
      </c>
      <c r="F607">
        <v>27</v>
      </c>
    </row>
    <row r="608" spans="2:6" x14ac:dyDescent="0.3">
      <c r="B608" t="s">
        <v>1165</v>
      </c>
      <c r="C608" t="s">
        <v>843</v>
      </c>
      <c r="D608">
        <v>21</v>
      </c>
      <c r="E608" t="s">
        <v>844</v>
      </c>
      <c r="F608">
        <v>24</v>
      </c>
    </row>
    <row r="609" spans="2:6" x14ac:dyDescent="0.3">
      <c r="B609" t="s">
        <v>1166</v>
      </c>
      <c r="C609" t="s">
        <v>843</v>
      </c>
      <c r="D609">
        <v>24</v>
      </c>
      <c r="E609" t="s">
        <v>844</v>
      </c>
      <c r="F609">
        <v>27</v>
      </c>
    </row>
    <row r="610" spans="2:6" x14ac:dyDescent="0.3">
      <c r="B610" t="s">
        <v>1167</v>
      </c>
      <c r="C610" t="s">
        <v>953</v>
      </c>
      <c r="D610">
        <v>18</v>
      </c>
      <c r="E610" t="s">
        <v>954</v>
      </c>
      <c r="F610">
        <v>18</v>
      </c>
    </row>
    <row r="611" spans="2:6" x14ac:dyDescent="0.3">
      <c r="B611" t="s">
        <v>1168</v>
      </c>
      <c r="C611" t="s">
        <v>957</v>
      </c>
      <c r="D611">
        <v>21</v>
      </c>
      <c r="E611" t="s">
        <v>958</v>
      </c>
      <c r="F611">
        <v>18</v>
      </c>
    </row>
    <row r="612" spans="2:6" x14ac:dyDescent="0.3">
      <c r="B612" t="s">
        <v>1169</v>
      </c>
      <c r="C612" t="s">
        <v>843</v>
      </c>
      <c r="D612">
        <v>18</v>
      </c>
      <c r="E612" t="s">
        <v>1170</v>
      </c>
      <c r="F612">
        <v>18</v>
      </c>
    </row>
    <row r="613" spans="2:6" x14ac:dyDescent="0.3">
      <c r="B613" t="s">
        <v>1171</v>
      </c>
      <c r="C613" t="s">
        <v>843</v>
      </c>
      <c r="D613">
        <v>21</v>
      </c>
      <c r="E613" t="s">
        <v>1170</v>
      </c>
      <c r="F613">
        <v>21</v>
      </c>
    </row>
    <row r="614" spans="2:6" x14ac:dyDescent="0.3">
      <c r="B614" t="s">
        <v>1172</v>
      </c>
      <c r="C614" t="s">
        <v>1173</v>
      </c>
      <c r="D614">
        <v>18</v>
      </c>
      <c r="E614" t="s">
        <v>844</v>
      </c>
      <c r="F614">
        <v>15</v>
      </c>
    </row>
    <row r="615" spans="2:6" x14ac:dyDescent="0.3">
      <c r="B615" t="s">
        <v>1174</v>
      </c>
      <c r="C615" t="s">
        <v>1173</v>
      </c>
      <c r="D615">
        <v>24</v>
      </c>
      <c r="E615" t="s">
        <v>844</v>
      </c>
      <c r="F615">
        <v>21</v>
      </c>
    </row>
    <row r="616" spans="2:6" x14ac:dyDescent="0.3">
      <c r="B616" t="s">
        <v>1175</v>
      </c>
      <c r="C616" t="s">
        <v>832</v>
      </c>
      <c r="D616">
        <v>24</v>
      </c>
      <c r="E616" t="s">
        <v>809</v>
      </c>
      <c r="F616">
        <v>24</v>
      </c>
    </row>
    <row r="617" spans="2:6" x14ac:dyDescent="0.3">
      <c r="B617" t="s">
        <v>1176</v>
      </c>
      <c r="C617" t="s">
        <v>898</v>
      </c>
      <c r="D617">
        <v>21</v>
      </c>
      <c r="E617" t="s">
        <v>899</v>
      </c>
      <c r="F617">
        <v>21</v>
      </c>
    </row>
    <row r="618" spans="2:6" x14ac:dyDescent="0.3">
      <c r="B618" t="s">
        <v>1177</v>
      </c>
      <c r="C618" t="s">
        <v>685</v>
      </c>
      <c r="D618">
        <v>12</v>
      </c>
      <c r="E618" t="s">
        <v>784</v>
      </c>
      <c r="F618">
        <v>12</v>
      </c>
    </row>
    <row r="619" spans="2:6" x14ac:dyDescent="0.3">
      <c r="B619" t="s">
        <v>1178</v>
      </c>
      <c r="C619" t="s">
        <v>685</v>
      </c>
      <c r="D619">
        <v>12</v>
      </c>
      <c r="E619" t="s">
        <v>784</v>
      </c>
      <c r="F619">
        <v>12</v>
      </c>
    </row>
    <row r="620" spans="2:6" x14ac:dyDescent="0.3">
      <c r="B620" t="s">
        <v>1179</v>
      </c>
      <c r="C620" t="s">
        <v>685</v>
      </c>
      <c r="D620">
        <v>12</v>
      </c>
      <c r="E620" t="s">
        <v>784</v>
      </c>
      <c r="F620">
        <v>9</v>
      </c>
    </row>
    <row r="621" spans="2:6" x14ac:dyDescent="0.3">
      <c r="B621" t="s">
        <v>1180</v>
      </c>
      <c r="C621" t="s">
        <v>685</v>
      </c>
      <c r="D621">
        <v>12</v>
      </c>
      <c r="E621" t="s">
        <v>784</v>
      </c>
      <c r="F621">
        <v>12</v>
      </c>
    </row>
    <row r="622" spans="2:6" x14ac:dyDescent="0.3">
      <c r="B622" t="s">
        <v>1181</v>
      </c>
      <c r="C622" t="s">
        <v>685</v>
      </c>
      <c r="D622">
        <v>12</v>
      </c>
      <c r="E622" t="s">
        <v>784</v>
      </c>
      <c r="F622">
        <v>12</v>
      </c>
    </row>
    <row r="623" spans="2:6" x14ac:dyDescent="0.3">
      <c r="B623" t="s">
        <v>1182</v>
      </c>
      <c r="C623" t="s">
        <v>685</v>
      </c>
      <c r="D623">
        <v>12</v>
      </c>
      <c r="E623" t="s">
        <v>784</v>
      </c>
      <c r="F623">
        <v>9</v>
      </c>
    </row>
    <row r="624" spans="2:6" x14ac:dyDescent="0.3">
      <c r="B624" t="s">
        <v>1183</v>
      </c>
      <c r="C624" t="s">
        <v>685</v>
      </c>
      <c r="D624">
        <v>12</v>
      </c>
      <c r="E624" t="s">
        <v>784</v>
      </c>
      <c r="F624">
        <v>12</v>
      </c>
    </row>
    <row r="625" spans="2:6" x14ac:dyDescent="0.3">
      <c r="B625" t="s">
        <v>1184</v>
      </c>
      <c r="C625" t="s">
        <v>685</v>
      </c>
      <c r="D625">
        <v>12</v>
      </c>
      <c r="E625" t="s">
        <v>784</v>
      </c>
      <c r="F625">
        <v>12</v>
      </c>
    </row>
    <row r="626" spans="2:6" x14ac:dyDescent="0.3">
      <c r="B626" t="s">
        <v>1185</v>
      </c>
      <c r="C626" t="s">
        <v>685</v>
      </c>
      <c r="D626">
        <v>12</v>
      </c>
      <c r="E626" t="s">
        <v>784</v>
      </c>
      <c r="F626">
        <v>12</v>
      </c>
    </row>
    <row r="627" spans="2:6" x14ac:dyDescent="0.3">
      <c r="B627" t="s">
        <v>1186</v>
      </c>
      <c r="C627" t="s">
        <v>685</v>
      </c>
      <c r="D627">
        <v>15</v>
      </c>
      <c r="E627" t="s">
        <v>784</v>
      </c>
      <c r="F627">
        <v>12</v>
      </c>
    </row>
    <row r="628" spans="2:6" x14ac:dyDescent="0.3">
      <c r="B628" t="s">
        <v>1187</v>
      </c>
      <c r="C628" t="s">
        <v>685</v>
      </c>
      <c r="D628">
        <v>15</v>
      </c>
      <c r="E628" t="s">
        <v>784</v>
      </c>
      <c r="F628">
        <v>12</v>
      </c>
    </row>
    <row r="629" spans="2:6" x14ac:dyDescent="0.3">
      <c r="B629" t="s">
        <v>1188</v>
      </c>
      <c r="C629" t="s">
        <v>685</v>
      </c>
      <c r="D629">
        <v>15</v>
      </c>
      <c r="E629" t="s">
        <v>784</v>
      </c>
      <c r="F629">
        <v>15</v>
      </c>
    </row>
    <row r="630" spans="2:6" x14ac:dyDescent="0.3">
      <c r="B630" t="s">
        <v>1189</v>
      </c>
      <c r="C630" t="s">
        <v>685</v>
      </c>
      <c r="D630">
        <v>15</v>
      </c>
      <c r="E630" t="s">
        <v>784</v>
      </c>
      <c r="F630">
        <v>12</v>
      </c>
    </row>
    <row r="631" spans="2:6" x14ac:dyDescent="0.3">
      <c r="B631" t="s">
        <v>1190</v>
      </c>
      <c r="C631" t="s">
        <v>685</v>
      </c>
      <c r="D631">
        <v>15</v>
      </c>
      <c r="E631" t="s">
        <v>784</v>
      </c>
      <c r="F631">
        <v>12</v>
      </c>
    </row>
    <row r="632" spans="2:6" x14ac:dyDescent="0.3">
      <c r="B632" t="s">
        <v>1191</v>
      </c>
      <c r="C632" t="s">
        <v>685</v>
      </c>
      <c r="D632">
        <v>15</v>
      </c>
      <c r="E632" t="s">
        <v>784</v>
      </c>
      <c r="F632">
        <v>15</v>
      </c>
    </row>
    <row r="633" spans="2:6" x14ac:dyDescent="0.3">
      <c r="B633" t="s">
        <v>1192</v>
      </c>
      <c r="C633" t="s">
        <v>685</v>
      </c>
      <c r="D633">
        <v>15</v>
      </c>
      <c r="E633" t="s">
        <v>784</v>
      </c>
      <c r="F633">
        <v>12</v>
      </c>
    </row>
    <row r="634" spans="2:6" x14ac:dyDescent="0.3">
      <c r="B634" t="s">
        <v>1193</v>
      </c>
      <c r="C634" t="s">
        <v>685</v>
      </c>
      <c r="D634">
        <v>15</v>
      </c>
      <c r="E634" t="s">
        <v>784</v>
      </c>
      <c r="F634">
        <v>12</v>
      </c>
    </row>
    <row r="635" spans="2:6" x14ac:dyDescent="0.3">
      <c r="B635" t="s">
        <v>1194</v>
      </c>
      <c r="C635" t="s">
        <v>685</v>
      </c>
      <c r="D635">
        <v>15</v>
      </c>
      <c r="E635" t="s">
        <v>784</v>
      </c>
      <c r="F635">
        <v>15</v>
      </c>
    </row>
    <row r="636" spans="2:6" x14ac:dyDescent="0.3">
      <c r="B636" t="s">
        <v>1195</v>
      </c>
      <c r="C636" t="s">
        <v>685</v>
      </c>
      <c r="D636">
        <v>15</v>
      </c>
      <c r="E636" t="s">
        <v>784</v>
      </c>
      <c r="F636">
        <v>12</v>
      </c>
    </row>
    <row r="637" spans="2:6" x14ac:dyDescent="0.3">
      <c r="B637" t="s">
        <v>1196</v>
      </c>
      <c r="C637" t="s">
        <v>685</v>
      </c>
      <c r="D637">
        <v>15</v>
      </c>
      <c r="E637" t="s">
        <v>784</v>
      </c>
      <c r="F637">
        <v>12</v>
      </c>
    </row>
    <row r="638" spans="2:6" x14ac:dyDescent="0.3">
      <c r="B638" t="s">
        <v>1197</v>
      </c>
      <c r="C638" t="s">
        <v>685</v>
      </c>
      <c r="D638">
        <v>15</v>
      </c>
      <c r="E638" t="s">
        <v>784</v>
      </c>
      <c r="F638">
        <v>15</v>
      </c>
    </row>
    <row r="639" spans="2:6" x14ac:dyDescent="0.3">
      <c r="B639" t="s">
        <v>1198</v>
      </c>
      <c r="C639" t="s">
        <v>808</v>
      </c>
      <c r="D639">
        <v>15</v>
      </c>
      <c r="E639" t="s">
        <v>809</v>
      </c>
      <c r="F639">
        <v>12</v>
      </c>
    </row>
    <row r="640" spans="2:6" x14ac:dyDescent="0.3">
      <c r="B640" t="s">
        <v>1199</v>
      </c>
      <c r="C640" t="s">
        <v>808</v>
      </c>
      <c r="D640">
        <v>15</v>
      </c>
      <c r="E640" t="s">
        <v>809</v>
      </c>
      <c r="F640">
        <v>15</v>
      </c>
    </row>
    <row r="641" spans="2:6" x14ac:dyDescent="0.3">
      <c r="B641" t="s">
        <v>1200</v>
      </c>
      <c r="C641" t="s">
        <v>808</v>
      </c>
      <c r="D641">
        <v>15</v>
      </c>
      <c r="E641" t="s">
        <v>809</v>
      </c>
      <c r="F641">
        <v>12</v>
      </c>
    </row>
    <row r="642" spans="2:6" x14ac:dyDescent="0.3">
      <c r="B642" t="s">
        <v>1201</v>
      </c>
      <c r="C642" t="s">
        <v>808</v>
      </c>
      <c r="D642">
        <v>15</v>
      </c>
      <c r="E642" t="s">
        <v>809</v>
      </c>
      <c r="F642">
        <v>15</v>
      </c>
    </row>
    <row r="643" spans="2:6" x14ac:dyDescent="0.3">
      <c r="B643" t="s">
        <v>1202</v>
      </c>
      <c r="C643" t="s">
        <v>685</v>
      </c>
      <c r="D643">
        <v>12</v>
      </c>
      <c r="E643" t="s">
        <v>784</v>
      </c>
      <c r="F643">
        <v>12</v>
      </c>
    </row>
    <row r="644" spans="2:6" x14ac:dyDescent="0.3">
      <c r="B644" t="s">
        <v>1203</v>
      </c>
      <c r="C644" t="s">
        <v>685</v>
      </c>
      <c r="D644">
        <v>12</v>
      </c>
      <c r="E644" t="s">
        <v>784</v>
      </c>
      <c r="F644">
        <v>12</v>
      </c>
    </row>
    <row r="645" spans="2:6" x14ac:dyDescent="0.3">
      <c r="B645" t="s">
        <v>1204</v>
      </c>
      <c r="C645" t="s">
        <v>685</v>
      </c>
      <c r="D645">
        <v>12</v>
      </c>
      <c r="E645" t="s">
        <v>784</v>
      </c>
      <c r="F645">
        <v>9</v>
      </c>
    </row>
    <row r="646" spans="2:6" x14ac:dyDescent="0.3">
      <c r="B646" t="s">
        <v>1205</v>
      </c>
      <c r="C646" t="s">
        <v>685</v>
      </c>
      <c r="D646">
        <v>12</v>
      </c>
      <c r="E646" t="s">
        <v>784</v>
      </c>
      <c r="F646">
        <v>12</v>
      </c>
    </row>
    <row r="647" spans="2:6" x14ac:dyDescent="0.3">
      <c r="B647" t="s">
        <v>1206</v>
      </c>
      <c r="C647" t="s">
        <v>685</v>
      </c>
      <c r="D647">
        <v>12</v>
      </c>
      <c r="E647" t="s">
        <v>784</v>
      </c>
      <c r="F647">
        <v>12</v>
      </c>
    </row>
    <row r="648" spans="2:6" x14ac:dyDescent="0.3">
      <c r="B648" t="s">
        <v>1207</v>
      </c>
      <c r="C648" t="s">
        <v>685</v>
      </c>
      <c r="D648">
        <v>12</v>
      </c>
      <c r="E648" t="s">
        <v>784</v>
      </c>
      <c r="F648">
        <v>12</v>
      </c>
    </row>
    <row r="649" spans="2:6" x14ac:dyDescent="0.3">
      <c r="B649" t="s">
        <v>1208</v>
      </c>
      <c r="C649" t="s">
        <v>685</v>
      </c>
      <c r="D649">
        <v>12</v>
      </c>
      <c r="E649" t="s">
        <v>784</v>
      </c>
      <c r="F649">
        <v>9</v>
      </c>
    </row>
    <row r="650" spans="2:6" x14ac:dyDescent="0.3">
      <c r="B650" t="s">
        <v>1209</v>
      </c>
      <c r="C650" t="s">
        <v>685</v>
      </c>
      <c r="D650">
        <v>12</v>
      </c>
      <c r="E650" t="s">
        <v>784</v>
      </c>
      <c r="F650">
        <v>12</v>
      </c>
    </row>
    <row r="651" spans="2:6" x14ac:dyDescent="0.3">
      <c r="B651" t="s">
        <v>1210</v>
      </c>
      <c r="C651" t="s">
        <v>685</v>
      </c>
      <c r="D651">
        <v>12</v>
      </c>
      <c r="E651" t="s">
        <v>784</v>
      </c>
      <c r="F651">
        <v>12</v>
      </c>
    </row>
    <row r="652" spans="2:6" x14ac:dyDescent="0.3">
      <c r="B652" t="s">
        <v>1211</v>
      </c>
      <c r="C652" t="s">
        <v>685</v>
      </c>
      <c r="D652">
        <v>12</v>
      </c>
      <c r="E652" t="s">
        <v>784</v>
      </c>
      <c r="F652">
        <v>12</v>
      </c>
    </row>
    <row r="653" spans="2:6" x14ac:dyDescent="0.3">
      <c r="B653" t="s">
        <v>1212</v>
      </c>
      <c r="C653" t="s">
        <v>685</v>
      </c>
      <c r="D653">
        <v>12</v>
      </c>
      <c r="E653" t="s">
        <v>784</v>
      </c>
      <c r="F653">
        <v>12</v>
      </c>
    </row>
    <row r="654" spans="2:6" x14ac:dyDescent="0.3">
      <c r="B654" t="s">
        <v>1213</v>
      </c>
      <c r="C654" t="s">
        <v>685</v>
      </c>
      <c r="D654">
        <v>12</v>
      </c>
      <c r="E654" t="s">
        <v>784</v>
      </c>
      <c r="F654">
        <v>12</v>
      </c>
    </row>
    <row r="655" spans="2:6" x14ac:dyDescent="0.3">
      <c r="B655" t="s">
        <v>1214</v>
      </c>
      <c r="C655" t="s">
        <v>685</v>
      </c>
      <c r="D655">
        <v>12</v>
      </c>
      <c r="E655" t="s">
        <v>784</v>
      </c>
      <c r="F655">
        <v>12</v>
      </c>
    </row>
    <row r="656" spans="2:6" x14ac:dyDescent="0.3">
      <c r="B656" t="s">
        <v>1215</v>
      </c>
      <c r="C656" t="s">
        <v>685</v>
      </c>
      <c r="D656">
        <v>15</v>
      </c>
      <c r="E656" t="s">
        <v>784</v>
      </c>
      <c r="F656">
        <v>12</v>
      </c>
    </row>
    <row r="657" spans="2:6" x14ac:dyDescent="0.3">
      <c r="B657" t="s">
        <v>1216</v>
      </c>
      <c r="C657" t="s">
        <v>685</v>
      </c>
      <c r="D657">
        <v>15</v>
      </c>
      <c r="E657" t="s">
        <v>784</v>
      </c>
      <c r="F657">
        <v>12</v>
      </c>
    </row>
    <row r="658" spans="2:6" x14ac:dyDescent="0.3">
      <c r="B658" t="s">
        <v>1217</v>
      </c>
      <c r="C658" t="s">
        <v>685</v>
      </c>
      <c r="D658">
        <v>15</v>
      </c>
      <c r="E658" t="s">
        <v>784</v>
      </c>
      <c r="F658">
        <v>15</v>
      </c>
    </row>
    <row r="659" spans="2:6" x14ac:dyDescent="0.3">
      <c r="B659" t="s">
        <v>1218</v>
      </c>
      <c r="C659" t="s">
        <v>685</v>
      </c>
      <c r="D659">
        <v>15</v>
      </c>
      <c r="E659" t="s">
        <v>784</v>
      </c>
      <c r="F659">
        <v>12</v>
      </c>
    </row>
    <row r="660" spans="2:6" x14ac:dyDescent="0.3">
      <c r="B660" t="s">
        <v>1219</v>
      </c>
      <c r="C660" t="s">
        <v>685</v>
      </c>
      <c r="D660">
        <v>15</v>
      </c>
      <c r="E660" t="s">
        <v>784</v>
      </c>
      <c r="F660">
        <v>15</v>
      </c>
    </row>
    <row r="661" spans="2:6" x14ac:dyDescent="0.3">
      <c r="B661" t="s">
        <v>1220</v>
      </c>
      <c r="C661" t="s">
        <v>685</v>
      </c>
      <c r="D661">
        <v>15</v>
      </c>
      <c r="E661" t="s">
        <v>784</v>
      </c>
      <c r="F661">
        <v>12</v>
      </c>
    </row>
    <row r="662" spans="2:6" x14ac:dyDescent="0.3">
      <c r="B662" t="s">
        <v>1221</v>
      </c>
      <c r="C662" t="s">
        <v>685</v>
      </c>
      <c r="D662">
        <v>15</v>
      </c>
      <c r="E662" t="s">
        <v>784</v>
      </c>
      <c r="F662">
        <v>12</v>
      </c>
    </row>
    <row r="663" spans="2:6" x14ac:dyDescent="0.3">
      <c r="B663" t="s">
        <v>1222</v>
      </c>
      <c r="C663" t="s">
        <v>685</v>
      </c>
      <c r="D663">
        <v>15</v>
      </c>
      <c r="E663" t="s">
        <v>784</v>
      </c>
      <c r="F663">
        <v>15</v>
      </c>
    </row>
    <row r="664" spans="2:6" x14ac:dyDescent="0.3">
      <c r="B664" t="s">
        <v>1223</v>
      </c>
      <c r="C664" t="s">
        <v>685</v>
      </c>
      <c r="D664">
        <v>15</v>
      </c>
      <c r="E664" t="s">
        <v>784</v>
      </c>
      <c r="F664">
        <v>12</v>
      </c>
    </row>
    <row r="665" spans="2:6" x14ac:dyDescent="0.3">
      <c r="B665" t="s">
        <v>1224</v>
      </c>
      <c r="C665" t="s">
        <v>685</v>
      </c>
      <c r="D665">
        <v>15</v>
      </c>
      <c r="E665" t="s">
        <v>784</v>
      </c>
      <c r="F665">
        <v>15</v>
      </c>
    </row>
    <row r="666" spans="2:6" x14ac:dyDescent="0.3">
      <c r="B666" t="s">
        <v>1225</v>
      </c>
      <c r="C666" t="s">
        <v>808</v>
      </c>
      <c r="D666">
        <v>15</v>
      </c>
      <c r="E666" t="s">
        <v>809</v>
      </c>
      <c r="F666">
        <v>12</v>
      </c>
    </row>
    <row r="667" spans="2:6" x14ac:dyDescent="0.3">
      <c r="B667" t="s">
        <v>1226</v>
      </c>
      <c r="C667" t="s">
        <v>808</v>
      </c>
      <c r="D667">
        <v>15</v>
      </c>
      <c r="E667" t="s">
        <v>809</v>
      </c>
      <c r="F667">
        <v>15</v>
      </c>
    </row>
    <row r="668" spans="2:6" x14ac:dyDescent="0.3">
      <c r="B668" t="s">
        <v>1227</v>
      </c>
      <c r="C668" t="s">
        <v>808</v>
      </c>
      <c r="D668">
        <v>15</v>
      </c>
      <c r="E668" t="s">
        <v>809</v>
      </c>
      <c r="F668">
        <v>12</v>
      </c>
    </row>
    <row r="669" spans="2:6" x14ac:dyDescent="0.3">
      <c r="B669" t="s">
        <v>1228</v>
      </c>
      <c r="C669" t="s">
        <v>808</v>
      </c>
      <c r="D669">
        <v>15</v>
      </c>
      <c r="E669" t="s">
        <v>809</v>
      </c>
      <c r="F669">
        <v>15</v>
      </c>
    </row>
    <row r="670" spans="2:6" x14ac:dyDescent="0.3">
      <c r="B670" t="s">
        <v>1229</v>
      </c>
      <c r="C670" t="s">
        <v>975</v>
      </c>
      <c r="D670">
        <v>216</v>
      </c>
      <c r="E670" t="s">
        <v>976</v>
      </c>
      <c r="F670">
        <v>252</v>
      </c>
    </row>
  </sheetData>
  <autoFilter ref="B2:F2" xr:uid="{CAF6B378-3284-488E-A8C7-49FF87F6B61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E0C9-9AFF-49A9-8B67-74C740EB9F7F}">
  <dimension ref="C2"/>
  <sheetViews>
    <sheetView workbookViewId="0">
      <selection activeCell="C4" sqref="C4"/>
    </sheetView>
  </sheetViews>
  <sheetFormatPr defaultRowHeight="14.4" x14ac:dyDescent="0.3"/>
  <sheetData>
    <row r="2" spans="3:3" x14ac:dyDescent="0.3">
      <c r="C2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Prefix awal dan akhir</vt:lpstr>
      <vt:lpstr>series</vt:lpstr>
      <vt:lpstr>New JIS</vt:lpstr>
      <vt:lpstr>Sheet6</vt:lpstr>
      <vt:lpstr>Size</vt:lpstr>
      <vt:lpstr>Matrix Type Plate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Budianto</dc:creator>
  <cp:lastModifiedBy>Arif Budianto</cp:lastModifiedBy>
  <dcterms:created xsi:type="dcterms:W3CDTF">2026-04-18T10:06:43Z</dcterms:created>
  <dcterms:modified xsi:type="dcterms:W3CDTF">2026-06-26T02:41:33Z</dcterms:modified>
</cp:coreProperties>
</file>
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FAR\03. Project\2026\Create Portal for Digital TSKK &amp; Yamazumi\Project Website\2. Format upload document\"/>
    </mc:Choice>
  </mc:AlternateContent>
  <xr:revisionPtr revIDLastSave="0" documentId="13_ncr:1_{BBD8725E-945F-4C7C-8E24-24ECE882BBE3}" xr6:coauthVersionLast="36" xr6:coauthVersionMax="36" xr10:uidLastSave="{00000000-0000-0000-0000-000000000000}"/>
  <bookViews>
    <workbookView xWindow="0" yWindow="0" windowWidth="19200" windowHeight="6640" xr2:uid="{6F170E69-176F-4186-A25F-24821EEB273A}"/>
  </bookViews>
  <sheets>
    <sheet name="Order Ma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b">#N/A</definedName>
    <definedName name="_____xlnm.Print_Area">#REF!</definedName>
    <definedName name="_____xlnm.Print_Area_1">#REF!</definedName>
    <definedName name="____xlnm.Print_Area">#REF!</definedName>
    <definedName name="____xlnm.Print_Area_1">#REF!</definedName>
    <definedName name="___xlnm.Print_Area">#REF!</definedName>
    <definedName name="___xlnm.Print_Area_1">#REF!</definedName>
    <definedName name="__IntlFixup" hidden="1">TRUE</definedName>
    <definedName name="__m1">#N/A</definedName>
    <definedName name="__xlnm.Print_Area">#REF!</definedName>
    <definedName name="__xlnm.Print_Area_1">#REF!</definedName>
    <definedName name="_1Excel_BuiltIn_Print_Area_1">#REF!</definedName>
    <definedName name="_1Excel_BuiltIn_Print_Area_1_1">"$#REF!.$A$1:$O$20"</definedName>
    <definedName name="_2Excel_BuiltIn_Print_Area_2_1_1">#N/A</definedName>
    <definedName name="_3Excel_BuiltIn_Print_Area_2_1_1_1">"'file:///C:/My Documents/Activity Plan Project Printing.xls'#$'Order Sheet'.$#REF!$#REF!:$#REF!$#REF!"</definedName>
    <definedName name="_xlnm._FilterDatabase" localSheetId="0" hidden="1">'Order May'!$B$1:$U$530</definedName>
    <definedName name="_m1">#N/A</definedName>
    <definedName name="a">#REF!</definedName>
    <definedName name="A_ITEM" comment="List Item Untuk Grafik pada sheet ProdProgressChart">OFFSET(#REF!,#REF!,0,#REF!,1)</definedName>
    <definedName name="A_ITEM_SUM_CUSTOMER">OFFSET(#REF!,#REF!,0,1,1)</definedName>
    <definedName name="A_ITEM_SUMMARY">OFFSET(#REF!,#REF!,0,#REF!,1)</definedName>
    <definedName name="A_ORDER">OFFSET(#REF!,#REF!,0,#REF!,1)</definedName>
    <definedName name="A_ORDER_SUM_CUSTOMER">OFFSET(#REF!,#REF!,0,1,1)</definedName>
    <definedName name="A_ORDER_SUMMARY">OFFSET(#REF!,#REF!,0,#REF!,1)</definedName>
    <definedName name="A_PRODUCTION">OFFSET(#REF!,#REF!,0,#REF!,1)</definedName>
    <definedName name="A_PRODUCTION_ACHIEVEMENT">OFFSET(#REF!,#REF!,0,#REF!,1)</definedName>
    <definedName name="A_PRODUCTION_SUM_CUSTOMER">OFFSET(#REF!,#REF!,0,1,1)</definedName>
    <definedName name="A_PRODUCTION_SUMMARY">OFFSET(#REF!,#REF!,0,#REF!,1)</definedName>
    <definedName name="AA">#REF!</definedName>
    <definedName name="AB">#REF!</definedName>
    <definedName name="ABC">#N/A</definedName>
    <definedName name="AC">#REF!</definedName>
    <definedName name="AD">#REF!</definedName>
    <definedName name="AE">#REF!</definedName>
    <definedName name="AF">#REF!</definedName>
    <definedName name="AFA">#REF!</definedName>
    <definedName name="AFB">#REF!</definedName>
    <definedName name="AG">#REF!</definedName>
    <definedName name="AH">#REF!</definedName>
    <definedName name="AI">#REF!</definedName>
    <definedName name="AJ">#REF!</definedName>
    <definedName name="AK">#REF!</definedName>
    <definedName name="AL">#REF!</definedName>
    <definedName name="AM">#REF!</definedName>
    <definedName name="AN">#REF!</definedName>
    <definedName name="AO">#REF!</definedName>
    <definedName name="AP">#REF!</definedName>
    <definedName name="as">#N/A</definedName>
    <definedName name="ASDSAS">#N/A</definedName>
    <definedName name="AUS">NA()</definedName>
    <definedName name="AVERAGE">#N/A</definedName>
    <definedName name="AXA">#REF!</definedName>
    <definedName name="AXB">#REF!</definedName>
    <definedName name="bb">" Bebas : burrs, karat, retak, cacat, berubah bentuk &amp; kerusakan lain."</definedName>
    <definedName name="bp">" Bevel Protractor"</definedName>
    <definedName name="BuiltIn_Print_Area___1">"$Grafik1Bln.$#REF!$2:$#REF!$34"</definedName>
    <definedName name="BuiltIn_Print_Area___11">"$#REF!.$A$1:$O$80"</definedName>
    <definedName name="BuiltIn_Print_Area___13">"$#REF!.$A$1:$P$258"</definedName>
    <definedName name="BuiltIn_Print_Area___14">"$#REF!.$A$1:$P$127"</definedName>
    <definedName name="BuiltIn_Print_Area___15">"$#REF!.$B$3:$R$71"</definedName>
    <definedName name="BuiltIn_Print_Area___16">"$#REF!.$B$3:$R$71"</definedName>
    <definedName name="BuiltIn_Print_Area___17___47">"$#REF!.$B$3:$R$76"</definedName>
    <definedName name="BuiltIn_Print_Area___18">"$#REF!.$B$3:$R$71"</definedName>
    <definedName name="BuiltIn_Print_Area___19">"$#REF!.$B$3:$R$71"</definedName>
    <definedName name="BuiltIn_Print_Area___2">#N/A</definedName>
    <definedName name="BuiltIn_Print_Area___20">"$#REF!.$B$3:$R$76"</definedName>
    <definedName name="BuiltIn_Print_Area___21">"$#REF!.$B$3:$R$71"</definedName>
    <definedName name="BuiltIn_Print_Area___22">"$#REF!.$B$3:$I$71"</definedName>
    <definedName name="BuiltIn_Print_Area___23">"$#REF!.$B$3:$I$76"</definedName>
    <definedName name="BuiltIn_Print_Area___24">"$#REF!.$B$3:$R$76"</definedName>
    <definedName name="BuiltIn_Print_Area___25">"$#REF!.$B$3:$R$71"</definedName>
    <definedName name="BuiltIn_Print_Area___26">"$#REF!.$B$3:$R$71"</definedName>
    <definedName name="BuiltIn_Print_Area___27">"$#REF!.$B$3:$R$71"</definedName>
    <definedName name="BuiltIn_Print_Area___29">"$#REF!.$B$3:$R$77"</definedName>
    <definedName name="BuiltIn_Print_Area___3">#N/A</definedName>
    <definedName name="BuiltIn_Print_Area___30">"$#REF!.$B$3:$R$71"</definedName>
    <definedName name="BuiltIn_Print_Area___31">"$#REF!.$B$3:$R$71"</definedName>
    <definedName name="BuiltIn_Print_Area___32">"$#REF!.$B$3:$R$71"</definedName>
    <definedName name="BuiltIn_Print_Area___33">"$#REF!.$B$3:$R$71"</definedName>
    <definedName name="BuiltIn_Print_Area___34">"$#REF!.$B$3:$R$71"</definedName>
    <definedName name="BuiltIn_Print_Area___35">"$#REF!.$B$3:$R$71"</definedName>
    <definedName name="BuiltIn_Print_Area___36">"$#REF!.$B$3:$R$71"</definedName>
    <definedName name="BuiltIn_Print_Area___37">"$#REF!.$B$3:$R$71"</definedName>
    <definedName name="BuiltIn_Print_Area___38">"$#REF!.$B$3:$R$71"</definedName>
    <definedName name="BuiltIn_Print_Area___39">"$#REF!.$B$3:$R$71"</definedName>
    <definedName name="BuiltIn_Print_Area___40">"$#REF!.$B$3:$R$71"</definedName>
    <definedName name="BuiltIn_Print_Area___41">"$#REF!.$B$3:$R$71"</definedName>
    <definedName name="BuiltIn_Print_Area___42">"$#REF!.$B$2:$I$71"</definedName>
    <definedName name="BuiltIn_Print_Area___43">"$#REF!.$B$3:$R$76"</definedName>
    <definedName name="BuiltIn_Print_Area___44">"$#REF!.$B$3:$I$71"</definedName>
    <definedName name="BuiltIn_Print_Area___46">"$#REF!.$B$3:$R$71"</definedName>
    <definedName name="BuiltIn_Print_Area___47">"$#REF!.$B$3:$R$78"</definedName>
    <definedName name="BuiltIn_Print_Area___48">"$#REF!.$B$3:$R$71"</definedName>
    <definedName name="BuiltIn_Print_Area___49">"$#REF!.$A$2:$I$71"</definedName>
    <definedName name="BuiltIn_Print_Area___5">"$#REF!.$X$2:$AQ$37"</definedName>
    <definedName name="BuiltIn_Print_Area___6">"$#REF!.$AH$2:$AV$32"</definedName>
    <definedName name="BuiltIn_Print_Area___8">"$#REF!.$B$3:$R$71"</definedName>
    <definedName name="BuiltIn_Print_Area___9">"$#REF!.$A$1:$AB$64"</definedName>
    <definedName name="BuiltIn_Print_Titles___1">#N/A</definedName>
    <definedName name="BuiltIn_Print_Titles___11">"$#REF!.$A$1:$IS$2"</definedName>
    <definedName name="BuiltIn_Print_Titles___12">"$#REF!.$A$1:$IS$2"</definedName>
    <definedName name="BuiltIn_Print_Titles___14">"$#REF!.$A$1:$IS$3"</definedName>
    <definedName name="BuiltIn_Print_Titles___2">NA()</definedName>
    <definedName name="BuiltIn_Print_Titles___2_1">NA()</definedName>
    <definedName name="BuiltIn_Print_Titles___2_14">NA()</definedName>
    <definedName name="BuiltIn_Print_Titles___2_16">NA()</definedName>
    <definedName name="BuiltIn_Print_Titles___2_28">NA()</definedName>
    <definedName name="BuiltIn_Print_Titles___2_29">NA()</definedName>
    <definedName name="BuiltIn_Print_Titles___2_44">NA()</definedName>
    <definedName name="Call_page_01">#REF!</definedName>
    <definedName name="Call_page_01_3">#REF!</definedName>
    <definedName name="Call_page_02">#REF!</definedName>
    <definedName name="Call_page_02_3">#REF!</definedName>
    <definedName name="Call_page_03">#REF!</definedName>
    <definedName name="Call_page_04_05">'[2]Raw Mat'!$C$11:$N$63,'[2]Raw Mat'!$C$64:$N$99</definedName>
    <definedName name="Call_page_06">#REF!</definedName>
    <definedName name="Call_page_08_09_10_11">'[2]AMB Lead Consumtion-01'!$D$1:$U$43,'[2]AMB Lead Consumtion-01'!$D$91:$U$118,'[2]AMB Lead Consumtion-01'!$D$46:$U$88,'[2]AMB Lead Consumtion-01'!$D$121:$U$182</definedName>
    <definedName name="Call_page_12_13">[2]Coscal10!$C$1:$P$39,[2]Coscal10!$C$43:$P$86</definedName>
    <definedName name="Call_page_15_16">'[2]Plastic-MCB'!$B$2:$H$35,'[2]Plastic-MCB'!$B$37:$G$54</definedName>
    <definedName name="CATDET2">#N/A</definedName>
    <definedName name="CC">#REF!</definedName>
    <definedName name="CFACT01">"$#REF!.$G$5:$G$45"</definedName>
    <definedName name="CFACT02">"$#REF!.$J$5:$J$45"</definedName>
    <definedName name="CFACT03">"$#REF!.$M$5:$M$45"</definedName>
    <definedName name="CFACT04">"$#REF!.$P$5:$P$45"</definedName>
    <definedName name="CFACT05">"$#REF!.$S$5:$S$45"</definedName>
    <definedName name="CFACT06">"$#REF!.$V$5:$V$45"</definedName>
    <definedName name="CFACT07">"$#REF!.$Y$5:$Y$45"</definedName>
    <definedName name="CFACT08">"$#REF!.$AB$5:$AB$45"</definedName>
    <definedName name="CFACT09">"$#REF!.$AE$5:$AE$45"</definedName>
    <definedName name="CFACT10">"$#REF!.$AH$5:$AH$45"</definedName>
    <definedName name="CFACT11">"$#REF!.$AK$5:$AK$45"</definedName>
    <definedName name="CFACT12">"$#REF!.$AN$5:$AN$45"</definedName>
    <definedName name="CFPLAN01">"$#REF!.$F$5:$F$45"</definedName>
    <definedName name="CFPLAN02">"$#REF!.$I$5:$I$45"</definedName>
    <definedName name="CFPLAN03">"$#REF!.$L$5:$L$45"</definedName>
    <definedName name="CFPLAN04">"$#REF!.$O$5:$O$45"</definedName>
    <definedName name="CFPLAN05">"$#REF!.$R$5:$R$45"</definedName>
    <definedName name="CFPLAN06">"$#REF!.$U$5:$U$45"</definedName>
    <definedName name="CFPLAN07">"$#REF!.$X$5:$X$45"</definedName>
    <definedName name="CFPLAN08">"$#REF!.$AA$5:$AA$45"</definedName>
    <definedName name="CFPLAN09">"$#REF!.$AD$5:$AD$45"</definedName>
    <definedName name="CFPLAN10">"$#REF!.$AG$5:$AG$45"</definedName>
    <definedName name="CFPLAN11">"$#REF!.$AJ$5:$AJ$45"</definedName>
    <definedName name="CFPLAN12">"$#REF!.$AM$5:$AM$45"</definedName>
    <definedName name="CGACT01">#N/A</definedName>
    <definedName name="CGACT02">#N/A</definedName>
    <definedName name="CGACT03">#N/A</definedName>
    <definedName name="CGACT04">#N/A</definedName>
    <definedName name="CGACT05">#N/A</definedName>
    <definedName name="CGACT06">#N/A</definedName>
    <definedName name="CGACT07">#N/A</definedName>
    <definedName name="CGACT08">#N/A</definedName>
    <definedName name="CGACT09">#N/A</definedName>
    <definedName name="CGACT10">#N/A</definedName>
    <definedName name="CGACT11">#N/A</definedName>
    <definedName name="CGACT12">#N/A</definedName>
    <definedName name="CGPLAN01">#N/A</definedName>
    <definedName name="CGPLAN02">#N/A</definedName>
    <definedName name="CGPLAN03">#N/A</definedName>
    <definedName name="CGPLAN04">#N/A</definedName>
    <definedName name="CGPLAN05">#N/A</definedName>
    <definedName name="CGPLAN06">#N/A</definedName>
    <definedName name="CGPLAN07">#N/A</definedName>
    <definedName name="CGPLAN08">#N/A</definedName>
    <definedName name="CGPLAN09">#N/A</definedName>
    <definedName name="CGPLAN10">#N/A</definedName>
    <definedName name="CGPLAN11">#N/A</definedName>
    <definedName name="CGPLAN12">#N/A</definedName>
    <definedName name="ch">"Coating Thick. Gauge"</definedName>
    <definedName name="COS">[3]Database!$J$6:$P$134</definedName>
    <definedName name="_xlnm.Criteria">#REF!</definedName>
    <definedName name="CUB42T">#N/A</definedName>
    <definedName name="D38A単価">#REF!</definedName>
    <definedName name="dan">#N/A</definedName>
    <definedName name="data">#REF!</definedName>
    <definedName name="di">" Diameter Dalam"</definedName>
    <definedName name="dl">" Diameter Lubang"</definedName>
    <definedName name="do">"Diameter Luar"</definedName>
    <definedName name="ds">" Dimensi sudut"</definedName>
    <definedName name="du">" Dimensi Ulir"</definedName>
    <definedName name="excel_biiltin_print_area_3">#REF!</definedName>
    <definedName name="Excel_BuiltIn__FilterDatabase_10">#REF!</definedName>
    <definedName name="Excel_BuiltIn_Print_Area">#N/A</definedName>
    <definedName name="Excel_BuiltIn_Print_Area_1">"$#REF!.$A$1:$Q$31"</definedName>
    <definedName name="Excel_BuiltIn_Print_Area_1_1">#N/A</definedName>
    <definedName name="Excel_BuiltIn_Print_Area_1_1_1">#REF!</definedName>
    <definedName name="Excel_BuiltIn_Print_Area_1_1_1_1">#REF!</definedName>
    <definedName name="Excel_BuiltIn_Print_Area_10">#REF!</definedName>
    <definedName name="Excel_BuiltIn_Print_Area_2">"$#REF!.$A$1:$Y$72"</definedName>
    <definedName name="Excel_BuiltIn_Print_Area_2_1">#N/A</definedName>
    <definedName name="Excel_BuiltIn_Print_Area_2_1_1">#N/A</definedName>
    <definedName name="Excel_BuiltIn_Print_Area_2_1_1_1">"'file:///C:/My Documents/Activity Plan Project Printing.xls'#$'Order Sheet'.$#REF!$#REF!:$#REF!$#REF!"</definedName>
    <definedName name="Excel_BuiltIn_Print_Area_3">#REF!</definedName>
    <definedName name="Excel_BuiltIn_Print_Area_3_1">#REF!</definedName>
    <definedName name="Excel_BuiltIn_Print_Area_4">"$#REF!.$C$41:$AM$42"</definedName>
    <definedName name="Excel_BuiltIn_Print_Area_4_1">"$#REF!.$A$1:$L$37"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">"$#REF!.$A$2:$IV$5"</definedName>
    <definedName name="_xlnm.Extract">#REF!</definedName>
    <definedName name="FEED_BACK_ASSESSMENT_AND_CORRECTIVE_ACTION">"$#REF!.$C$4:$S$40"</definedName>
    <definedName name="FEED_BACK_ASSESSMENT_AND_CORRECTIVE_ACTION___0">"$#REF!.$C$4:$S$40"</definedName>
    <definedName name="GENERAL">#N/A</definedName>
    <definedName name="GMQZ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h">"Height Gauge"</definedName>
    <definedName name="hb">" Harus baik"</definedName>
    <definedName name="hih">#N/A</definedName>
    <definedName name="hihihi">#N/A</definedName>
    <definedName name="IBD">[4]DATA!$C$2:$O$614</definedName>
    <definedName name="IBD0">[4]DATA!$A$2:$O$614</definedName>
    <definedName name="jm">" karat &lt; 5%"</definedName>
    <definedName name="js">" Jarak Sumbu"</definedName>
    <definedName name="khung">#N/A</definedName>
    <definedName name="KY">NA()</definedName>
    <definedName name="l">" Lebar"</definedName>
    <definedName name="L610S">#REF!</definedName>
    <definedName name="ListSupplierContainer">#REF!</definedName>
    <definedName name="ListSupplierCover">#REF!</definedName>
    <definedName name="ListSupplierHandle">#REF!</definedName>
    <definedName name="ListSupplierKabo" comment="Daftar Supplier untuk Upload PR">#REF!</definedName>
    <definedName name="ListSupplierSpacer">#REF!</definedName>
    <definedName name="ListSupplierSticker">#REF!</definedName>
    <definedName name="ListSupplierStyset">#REF!</definedName>
    <definedName name="listTarget">[5]TBT!$B$6:$B$85</definedName>
    <definedName name="LL">" Letak lubang"</definedName>
    <definedName name="m">"Material Analisis"</definedName>
    <definedName name="ma">"Material Analisis"</definedName>
    <definedName name="MALAYSIA">NA()</definedName>
    <definedName name="Market_coverage___segmentation_____non_linear_pricing_strategy">"Cobj"</definedName>
    <definedName name="mmmm">#N/A</definedName>
    <definedName name="NativeTimeline_Tgl_WO__DMY">#N/A</definedName>
    <definedName name="NESHIA">NA()</definedName>
    <definedName name="ngu">#N/A</definedName>
    <definedName name="OeAct01">#N/A</definedName>
    <definedName name="OeAct02">#N/A</definedName>
    <definedName name="OeAct03">#N/A</definedName>
    <definedName name="OeAct04">#N/A</definedName>
    <definedName name="OeAct05">#N/A</definedName>
    <definedName name="OeAct06">#N/A</definedName>
    <definedName name="OeAct07">#N/A</definedName>
    <definedName name="OeAct08">#N/A</definedName>
    <definedName name="OeAct09">#N/A</definedName>
    <definedName name="OeAct10">#N/A</definedName>
    <definedName name="OeAct11">#N/A</definedName>
    <definedName name="OeAct12">#N/A</definedName>
    <definedName name="OePlan01">#N/A</definedName>
    <definedName name="OePlan02">#N/A</definedName>
    <definedName name="OePlan03">#N/A</definedName>
    <definedName name="OePlan04">#N/A</definedName>
    <definedName name="OePlan05">#N/A</definedName>
    <definedName name="OePlan06">#N/A</definedName>
    <definedName name="OePlan07">#N/A</definedName>
    <definedName name="OePlan08">#N/A</definedName>
    <definedName name="OePlan09">#N/A</definedName>
    <definedName name="OePlan10">#N/A</definedName>
    <definedName name="OePlan11">#N/A</definedName>
    <definedName name="OePlan12">#N/A</definedName>
    <definedName name="OT">4</definedName>
    <definedName name="OTA">4</definedName>
    <definedName name="pg">"Push Pull Gauge"</definedName>
    <definedName name="PHI">NA()</definedName>
    <definedName name="PLACT01">#N/A</definedName>
    <definedName name="PLACT02">#N/A</definedName>
    <definedName name="PLACT03">#N/A</definedName>
    <definedName name="PLACT04">#N/A</definedName>
    <definedName name="PLACT05">#N/A</definedName>
    <definedName name="PLACT06">#N/A</definedName>
    <definedName name="PLACT07">#N/A</definedName>
    <definedName name="PLACT08">#N/A</definedName>
    <definedName name="PLACT09">#N/A</definedName>
    <definedName name="PLACT10">#N/A</definedName>
    <definedName name="PLACT11">#N/A</definedName>
    <definedName name="PLACT12">#N/A</definedName>
    <definedName name="PLPLAN01">#N/A</definedName>
    <definedName name="PLPLAN02">#N/A</definedName>
    <definedName name="PLPLAN03">#N/A</definedName>
    <definedName name="PLPLAN04">#N/A</definedName>
    <definedName name="PLPLAN05">#N/A</definedName>
    <definedName name="PLPLAN06">#N/A</definedName>
    <definedName name="PLPLAN07">#N/A</definedName>
    <definedName name="PLPLAN08">#N/A</definedName>
    <definedName name="PLPLAN09">#N/A</definedName>
    <definedName name="PLPLAN10">#N/A</definedName>
    <definedName name="PLPLAN11">#N/A</definedName>
    <definedName name="PLPLAN12">#N/A</definedName>
    <definedName name="pm">" Point Micrometer"</definedName>
    <definedName name="pmr">" Tebal material rata-rata"</definedName>
    <definedName name="print">#N/A</definedName>
    <definedName name="Print_all">#N/A</definedName>
    <definedName name="Print_Area_MI">#REF!</definedName>
    <definedName name="Print_Area_MI_7">#REF!</definedName>
    <definedName name="Print_Semua">#N/A</definedName>
    <definedName name="_xlnm.Print_Titles">#REF!</definedName>
    <definedName name="print01">"$#REF!.$C$4:$S$40"</definedName>
    <definedName name="print01___0">"$#REF!.$C$4:$S$40"</definedName>
    <definedName name="PRINTED">NA()</definedName>
    <definedName name="ptg">"Plug Thread Gauge"</definedName>
    <definedName name="PTGS004">#N/A</definedName>
    <definedName name="PTGS005">#N/A</definedName>
    <definedName name="Q_ExportData">#REF!</definedName>
    <definedName name="QW">#N/A</definedName>
    <definedName name="rangeBrand">OFFSET(#REF!,0,0,COUNTA(#REF!),1)</definedName>
    <definedName name="rangeBrandMy">OFFSET(#REF!,0,0,COUNTA(#REF!),1)</definedName>
    <definedName name="rangeBrandOrdered">OFFSET(#REF!,0,0,COUNTA(#REF!),1)</definedName>
    <definedName name="rangeCharged">OFFSET(#REF!,0,0,COUNTA(#REF!),1)</definedName>
    <definedName name="rangeChargedOrdered">OFFSET(#REF!,0,0,COUNTA(#REF!),1)</definedName>
    <definedName name="rangeCustomer">OFFSET(#REF!,0,0,COUNTA(#REF!),1)</definedName>
    <definedName name="rangeCustomerOrdered">OFFSET(#REF!,0,0,COUNTA(#REF!),1)</definedName>
    <definedName name="rangeJmlPlateOrdered">OFFSET(#REF!,0,0,COUNTA(#REF!),1)</definedName>
    <definedName name="rangeJmlPlateOrdered_">OFFSET(#REF!,0,0,COUNTA(#REF!),1)</definedName>
    <definedName name="rangeKategori">OFFSET(#REF!,0,0,COUNTA(#REF!),1)</definedName>
    <definedName name="rangeKategoriOrdered">OFFSET(#REF!,0,0,COUNTA(#REF!),1)</definedName>
    <definedName name="rangeTeknologi">OFFSET(#REF!,0,0,COUNTA(#REF!),1)</definedName>
    <definedName name="rangeTeknologiOrdered">OFFSET(#REF!,0,0,COUNTA(#REF!),1)</definedName>
    <definedName name="rangeType">OFFSET(#REF!,0,0,COUNTA(#REF!),1)</definedName>
    <definedName name="rangeTypeOrdered">OFFSET(#REF!,0,0,COUNTA(#REF!),1)</definedName>
    <definedName name="rangeTypeSepa">OFFSET(#REF!,0,0,COUNTA(#REF!),1)</definedName>
    <definedName name="rangeTypeSepaOrdered">OFFSET(#REF!,0,0,COUNTA(#REF!),1)</definedName>
    <definedName name="rrrr">#N/A</definedName>
    <definedName name="rtg">"Ring Thread Gauge"</definedName>
    <definedName name="SAW">[3]Database!$B$6:$H$134</definedName>
    <definedName name="sd">#REF!</definedName>
    <definedName name="sdd">#REF!</definedName>
    <definedName name="SPO42T">#N/A</definedName>
    <definedName name="SST">" Salt Spray Tes 48 Jam"</definedName>
    <definedName name="SY">NA()</definedName>
    <definedName name="tckitm">[6]enums!$B$3:$B$12</definedName>
    <definedName name="tcsrce">[6]enums!$D$3:$D$8</definedName>
    <definedName name="tcyesno">[6]enums!$F$3:$F$4</definedName>
    <definedName name="test">#REF!</definedName>
    <definedName name="test1">#REF!</definedName>
    <definedName name="TextRefCopyRangeCount" hidden="1">4</definedName>
    <definedName name="THAI">NA()</definedName>
    <definedName name="tl">" Tidak boleh luntur"</definedName>
    <definedName name="tm">" Tebal Material"</definedName>
    <definedName name="tmr">" Tebal material rata-rata"</definedName>
    <definedName name="tq">" Torque Meter"</definedName>
    <definedName name="trr">" Tebal material rata-rata"</definedName>
    <definedName name="tt">#N/A</definedName>
    <definedName name="ttt">#N/A</definedName>
    <definedName name="ttttt">#N/A</definedName>
    <definedName name="TWKEI">NA()</definedName>
    <definedName name="ug">"Ulir Nut 6 mm"</definedName>
    <definedName name="us">"Ulir Nut 8 mm"</definedName>
    <definedName name="vi">"Visual Check"</definedName>
    <definedName name="XRefColumnsCount" hidden="1">1</definedName>
    <definedName name="XRefCopy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30" i="1" l="1"/>
  <c r="L529" i="1"/>
  <c r="L527" i="1"/>
  <c r="Q527" i="1" s="1"/>
  <c r="R527" i="1" s="1"/>
  <c r="L526" i="1"/>
  <c r="L525" i="1"/>
  <c r="Q525" i="1" s="1"/>
  <c r="L524" i="1"/>
  <c r="M524" i="1" s="1"/>
  <c r="L523" i="1"/>
  <c r="S523" i="1" s="1"/>
  <c r="L521" i="1"/>
  <c r="Q521" i="1" s="1"/>
  <c r="L520" i="1"/>
  <c r="M520" i="1" s="1"/>
  <c r="L517" i="1"/>
  <c r="Q517" i="1" s="1"/>
  <c r="L516" i="1"/>
  <c r="L512" i="1"/>
  <c r="M512" i="1" s="1"/>
  <c r="N512" i="1" s="1"/>
  <c r="L511" i="1"/>
  <c r="S511" i="1" s="1"/>
  <c r="L509" i="1"/>
  <c r="Q509" i="1" s="1"/>
  <c r="L508" i="1"/>
  <c r="L503" i="1"/>
  <c r="Q503" i="1" s="1"/>
  <c r="R503" i="1" s="1"/>
  <c r="L501" i="1"/>
  <c r="S501" i="1" s="1"/>
  <c r="L500" i="1"/>
  <c r="Q500" i="1" s="1"/>
  <c r="L499" i="1"/>
  <c r="Q499" i="1" s="1"/>
  <c r="L497" i="1"/>
  <c r="L493" i="1"/>
  <c r="Q493" i="1" s="1"/>
  <c r="R493" i="1" s="1"/>
  <c r="L487" i="1"/>
  <c r="O487" i="1" s="1"/>
  <c r="E487" i="1"/>
  <c r="E485" i="1"/>
  <c r="E483" i="1"/>
  <c r="E479" i="1"/>
  <c r="E478" i="1"/>
  <c r="E476" i="1"/>
  <c r="E472" i="1"/>
  <c r="E471" i="1"/>
  <c r="E470" i="1"/>
  <c r="E467" i="1"/>
  <c r="E464" i="1"/>
  <c r="E462" i="1"/>
  <c r="E459" i="1"/>
  <c r="L454" i="1"/>
  <c r="S454" i="1" s="1"/>
  <c r="E454" i="1"/>
  <c r="E451" i="1"/>
  <c r="E450" i="1"/>
  <c r="L449" i="1"/>
  <c r="O449" i="1" s="1"/>
  <c r="L448" i="1"/>
  <c r="O448" i="1" s="1"/>
  <c r="L447" i="1"/>
  <c r="E447" i="1"/>
  <c r="E445" i="1"/>
  <c r="L444" i="1"/>
  <c r="M444" i="1" s="1"/>
  <c r="N444" i="1" s="1"/>
  <c r="L443" i="1"/>
  <c r="E442" i="1"/>
  <c r="E441" i="1"/>
  <c r="L440" i="1"/>
  <c r="M440" i="1" s="1"/>
  <c r="N440" i="1" s="1"/>
  <c r="L438" i="1"/>
  <c r="M438" i="1" s="1"/>
  <c r="N438" i="1" s="1"/>
  <c r="E435" i="1"/>
  <c r="L434" i="1"/>
  <c r="M434" i="1" s="1"/>
  <c r="E433" i="1"/>
  <c r="E429" i="1"/>
  <c r="E428" i="1"/>
  <c r="E425" i="1"/>
  <c r="E421" i="1"/>
  <c r="E420" i="1"/>
  <c r="E419" i="1"/>
  <c r="E417" i="1"/>
  <c r="E415" i="1"/>
  <c r="E411" i="1"/>
  <c r="E409" i="1"/>
  <c r="E408" i="1"/>
  <c r="E407" i="1"/>
  <c r="E405" i="1"/>
  <c r="E401" i="1"/>
  <c r="E400" i="1"/>
  <c r="E396" i="1"/>
  <c r="E395" i="1"/>
  <c r="E394" i="1"/>
  <c r="E392" i="1"/>
  <c r="E391" i="1"/>
  <c r="E390" i="1"/>
  <c r="E389" i="1"/>
  <c r="E388" i="1"/>
  <c r="E387" i="1"/>
  <c r="E386" i="1"/>
  <c r="E384" i="1"/>
  <c r="E381" i="1"/>
  <c r="E380" i="1"/>
  <c r="E376" i="1"/>
  <c r="E375" i="1"/>
  <c r="E372" i="1"/>
  <c r="E371" i="1"/>
  <c r="E368" i="1"/>
  <c r="E367" i="1"/>
  <c r="E365" i="1"/>
  <c r="E364" i="1"/>
  <c r="E362" i="1"/>
  <c r="L361" i="1"/>
  <c r="O361" i="1" s="1"/>
  <c r="E359" i="1"/>
  <c r="E358" i="1"/>
  <c r="E357" i="1"/>
  <c r="E356" i="1"/>
  <c r="E355" i="1"/>
  <c r="E354" i="1"/>
  <c r="L352" i="1"/>
  <c r="L351" i="1"/>
  <c r="O351" i="1" s="1"/>
  <c r="L350" i="1"/>
  <c r="E349" i="1"/>
  <c r="E347" i="1"/>
  <c r="E346" i="1"/>
  <c r="L345" i="1"/>
  <c r="O345" i="1" s="1"/>
  <c r="L344" i="1"/>
  <c r="L343" i="1"/>
  <c r="O343" i="1" s="1"/>
  <c r="L342" i="1"/>
  <c r="E340" i="1"/>
  <c r="E338" i="1"/>
  <c r="L337" i="1"/>
  <c r="O337" i="1" s="1"/>
  <c r="L336" i="1"/>
  <c r="E334" i="1"/>
  <c r="L333" i="1"/>
  <c r="O333" i="1" s="1"/>
  <c r="L332" i="1"/>
  <c r="L331" i="1"/>
  <c r="O331" i="1" s="1"/>
  <c r="L330" i="1"/>
  <c r="E329" i="1"/>
  <c r="E327" i="1"/>
  <c r="E326" i="1"/>
  <c r="L325" i="1"/>
  <c r="O325" i="1" s="1"/>
  <c r="L324" i="1"/>
  <c r="L323" i="1"/>
  <c r="O323" i="1" s="1"/>
  <c r="L322" i="1"/>
  <c r="E321" i="1"/>
  <c r="E320" i="1"/>
  <c r="E319" i="1"/>
  <c r="E318" i="1"/>
  <c r="E317" i="1"/>
  <c r="L316" i="1"/>
  <c r="L315" i="1"/>
  <c r="O315" i="1" s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E281" i="1"/>
  <c r="E279" i="1"/>
  <c r="E278" i="1"/>
  <c r="L277" i="1"/>
  <c r="O277" i="1" s="1"/>
  <c r="L276" i="1"/>
  <c r="E275" i="1"/>
  <c r="E274" i="1"/>
  <c r="E273" i="1"/>
  <c r="E272" i="1"/>
  <c r="E271" i="1"/>
  <c r="L270" i="1"/>
  <c r="O270" i="1" s="1"/>
  <c r="L269" i="1"/>
  <c r="O269" i="1" s="1"/>
  <c r="L267" i="1"/>
  <c r="O267" i="1" s="1"/>
  <c r="L266" i="1"/>
  <c r="O266" i="1" s="1"/>
  <c r="L265" i="1"/>
  <c r="O265" i="1" s="1"/>
  <c r="L264" i="1"/>
  <c r="E263" i="1"/>
  <c r="E262" i="1"/>
  <c r="E260" i="1"/>
  <c r="E259" i="1"/>
  <c r="E258" i="1"/>
  <c r="L256" i="1"/>
  <c r="E255" i="1"/>
  <c r="E254" i="1"/>
  <c r="E253" i="1"/>
  <c r="E251" i="1"/>
  <c r="L250" i="1"/>
  <c r="O250" i="1" s="1"/>
  <c r="L248" i="1"/>
  <c r="E247" i="1"/>
  <c r="E246" i="1"/>
  <c r="L245" i="1"/>
  <c r="E245" i="1"/>
  <c r="E243" i="1"/>
  <c r="E242" i="1"/>
  <c r="L241" i="1"/>
  <c r="O241" i="1" s="1"/>
  <c r="L240" i="1"/>
  <c r="E239" i="1"/>
  <c r="E238" i="1"/>
  <c r="E237" i="1"/>
  <c r="E235" i="1"/>
  <c r="L234" i="1"/>
  <c r="O234" i="1" s="1"/>
  <c r="L233" i="1"/>
  <c r="O233" i="1" s="1"/>
  <c r="L232" i="1"/>
  <c r="E231" i="1"/>
  <c r="L230" i="1"/>
  <c r="O230" i="1" s="1"/>
  <c r="E230" i="1"/>
  <c r="E228" i="1"/>
  <c r="E227" i="1"/>
  <c r="E226" i="1"/>
  <c r="L225" i="1"/>
  <c r="O225" i="1" s="1"/>
  <c r="L224" i="1"/>
  <c r="E223" i="1"/>
  <c r="E222" i="1"/>
  <c r="E221" i="1"/>
  <c r="E219" i="1"/>
  <c r="L218" i="1"/>
  <c r="O218" i="1" s="1"/>
  <c r="L217" i="1"/>
  <c r="O217" i="1" s="1"/>
  <c r="E209" i="1"/>
  <c r="E208" i="1"/>
  <c r="E206" i="1"/>
  <c r="E205" i="1"/>
  <c r="E204" i="1"/>
  <c r="E202" i="1"/>
  <c r="E201" i="1"/>
  <c r="E198" i="1"/>
  <c r="E196" i="1"/>
  <c r="E194" i="1"/>
  <c r="L193" i="1"/>
  <c r="M193" i="1" s="1"/>
  <c r="L192" i="1"/>
  <c r="S192" i="1" s="1"/>
  <c r="L191" i="1"/>
  <c r="Q191" i="1" s="1"/>
  <c r="L190" i="1"/>
  <c r="Q190" i="1" s="1"/>
  <c r="L189" i="1"/>
  <c r="M189" i="1" s="1"/>
  <c r="L188" i="1"/>
  <c r="S188" i="1" s="1"/>
  <c r="L187" i="1"/>
  <c r="L186" i="1"/>
  <c r="Q186" i="1" s="1"/>
  <c r="L185" i="1"/>
  <c r="M185" i="1" s="1"/>
  <c r="L184" i="1"/>
  <c r="L183" i="1"/>
  <c r="Q183" i="1" s="1"/>
  <c r="L182" i="1"/>
  <c r="Q182" i="1" s="1"/>
  <c r="L181" i="1"/>
  <c r="M181" i="1" s="1"/>
  <c r="L180" i="1"/>
  <c r="S180" i="1" s="1"/>
  <c r="L179" i="1"/>
  <c r="Q179" i="1" s="1"/>
  <c r="L178" i="1"/>
  <c r="Q178" i="1" s="1"/>
  <c r="L177" i="1"/>
  <c r="M177" i="1" s="1"/>
  <c r="L176" i="1"/>
  <c r="S176" i="1" s="1"/>
  <c r="L175" i="1"/>
  <c r="Q175" i="1" s="1"/>
  <c r="L174" i="1"/>
  <c r="L173" i="1"/>
  <c r="M173" i="1" s="1"/>
  <c r="L172" i="1"/>
  <c r="S172" i="1" s="1"/>
  <c r="L171" i="1"/>
  <c r="Q171" i="1" s="1"/>
  <c r="L170" i="1"/>
  <c r="Q170" i="1" s="1"/>
  <c r="L169" i="1"/>
  <c r="M169" i="1" s="1"/>
  <c r="L168" i="1"/>
  <c r="S168" i="1" s="1"/>
  <c r="L167" i="1"/>
  <c r="Q167" i="1" s="1"/>
  <c r="L166" i="1"/>
  <c r="Q166" i="1" s="1"/>
  <c r="L165" i="1"/>
  <c r="M165" i="1" s="1"/>
  <c r="L164" i="1"/>
  <c r="S164" i="1" s="1"/>
  <c r="L163" i="1"/>
  <c r="Q163" i="1" s="1"/>
  <c r="L162" i="1"/>
  <c r="L161" i="1"/>
  <c r="M161" i="1" s="1"/>
  <c r="L160" i="1"/>
  <c r="S160" i="1" s="1"/>
  <c r="L159" i="1"/>
  <c r="Q159" i="1" s="1"/>
  <c r="L158" i="1"/>
  <c r="Q158" i="1" s="1"/>
  <c r="L157" i="1"/>
  <c r="M157" i="1" s="1"/>
  <c r="L156" i="1"/>
  <c r="S156" i="1" s="1"/>
  <c r="L155" i="1"/>
  <c r="L154" i="1"/>
  <c r="Q154" i="1" s="1"/>
  <c r="L153" i="1"/>
  <c r="M153" i="1" s="1"/>
  <c r="L152" i="1"/>
  <c r="S152" i="1" s="1"/>
  <c r="L151" i="1"/>
  <c r="L150" i="1"/>
  <c r="M150" i="1" s="1"/>
  <c r="L149" i="1"/>
  <c r="O149" i="1" s="1"/>
  <c r="L148" i="1"/>
  <c r="Q148" i="1" s="1"/>
  <c r="L147" i="1"/>
  <c r="Q147" i="1" s="1"/>
  <c r="L146" i="1"/>
  <c r="Q146" i="1" s="1"/>
  <c r="L145" i="1"/>
  <c r="M145" i="1" s="1"/>
  <c r="L144" i="1"/>
  <c r="S144" i="1" s="1"/>
  <c r="L143" i="1"/>
  <c r="Q143" i="1" s="1"/>
  <c r="L141" i="1"/>
  <c r="O141" i="1" s="1"/>
  <c r="L140" i="1"/>
  <c r="Q140" i="1" s="1"/>
  <c r="L139" i="1"/>
  <c r="Q139" i="1" s="1"/>
  <c r="L138" i="1"/>
  <c r="M138" i="1" s="1"/>
  <c r="L137" i="1"/>
  <c r="Q137" i="1" s="1"/>
  <c r="L136" i="1"/>
  <c r="Q136" i="1" s="1"/>
  <c r="L135" i="1"/>
  <c r="L134" i="1"/>
  <c r="Q134" i="1" s="1"/>
  <c r="L133" i="1"/>
  <c r="M133" i="1" s="1"/>
  <c r="L132" i="1"/>
  <c r="L131" i="1"/>
  <c r="Q131" i="1" s="1"/>
  <c r="L130" i="1"/>
  <c r="M130" i="1" s="1"/>
  <c r="L129" i="1"/>
  <c r="O129" i="1" s="1"/>
  <c r="L128" i="1"/>
  <c r="Q128" i="1" s="1"/>
  <c r="L127" i="1"/>
  <c r="Q127" i="1" s="1"/>
  <c r="L126" i="1"/>
  <c r="M126" i="1" s="1"/>
  <c r="L125" i="1"/>
  <c r="M125" i="1" s="1"/>
  <c r="L124" i="1"/>
  <c r="S124" i="1" s="1"/>
  <c r="L123" i="1"/>
  <c r="Q123" i="1" s="1"/>
  <c r="L122" i="1"/>
  <c r="L121" i="1"/>
  <c r="M121" i="1" s="1"/>
  <c r="L120" i="1"/>
  <c r="S120" i="1" s="1"/>
  <c r="L119" i="1"/>
  <c r="L118" i="1"/>
  <c r="M118" i="1" s="1"/>
  <c r="L117" i="1"/>
  <c r="M117" i="1" s="1"/>
  <c r="L116" i="1"/>
  <c r="S116" i="1" s="1"/>
  <c r="L115" i="1"/>
  <c r="S115" i="1" s="1"/>
  <c r="E114" i="1"/>
  <c r="E113" i="1"/>
  <c r="E112" i="1"/>
  <c r="L111" i="1"/>
  <c r="Q111" i="1" s="1"/>
  <c r="L110" i="1"/>
  <c r="S110" i="1" s="1"/>
  <c r="E109" i="1"/>
  <c r="E108" i="1"/>
  <c r="L107" i="1"/>
  <c r="Q107" i="1" s="1"/>
  <c r="E106" i="1"/>
  <c r="E105" i="1"/>
  <c r="E104" i="1"/>
  <c r="L103" i="1"/>
  <c r="Q103" i="1" s="1"/>
  <c r="L102" i="1"/>
  <c r="Q102" i="1" s="1"/>
  <c r="E101" i="1"/>
  <c r="E100" i="1"/>
  <c r="L99" i="1"/>
  <c r="Q99" i="1" s="1"/>
  <c r="E98" i="1"/>
  <c r="E97" i="1"/>
  <c r="E96" i="1"/>
  <c r="L95" i="1"/>
  <c r="Q95" i="1" s="1"/>
  <c r="L94" i="1"/>
  <c r="Q94" i="1" s="1"/>
  <c r="E93" i="1"/>
  <c r="E92" i="1"/>
  <c r="L91" i="1"/>
  <c r="Q91" i="1" s="1"/>
  <c r="E90" i="1"/>
  <c r="E89" i="1"/>
  <c r="E88" i="1"/>
  <c r="L87" i="1"/>
  <c r="Q87" i="1" s="1"/>
  <c r="L86" i="1"/>
  <c r="Q86" i="1" s="1"/>
  <c r="E85" i="1"/>
  <c r="E84" i="1"/>
  <c r="L83" i="1"/>
  <c r="Q83" i="1" s="1"/>
  <c r="E82" i="1"/>
  <c r="E81" i="1"/>
  <c r="E80" i="1"/>
  <c r="L79" i="1"/>
  <c r="Q79" i="1" s="1"/>
  <c r="L78" i="1"/>
  <c r="Q78" i="1" s="1"/>
  <c r="E77" i="1"/>
  <c r="E76" i="1"/>
  <c r="L75" i="1"/>
  <c r="Q75" i="1" s="1"/>
  <c r="E74" i="1"/>
  <c r="E73" i="1"/>
  <c r="E72" i="1"/>
  <c r="L71" i="1"/>
  <c r="Q71" i="1" s="1"/>
  <c r="L70" i="1"/>
  <c r="Q70" i="1" s="1"/>
  <c r="E69" i="1"/>
  <c r="E68" i="1"/>
  <c r="L67" i="1"/>
  <c r="Q67" i="1" s="1"/>
  <c r="E66" i="1"/>
  <c r="E65" i="1"/>
  <c r="E64" i="1"/>
  <c r="L63" i="1"/>
  <c r="Q63" i="1" s="1"/>
  <c r="L62" i="1"/>
  <c r="Q62" i="1" s="1"/>
  <c r="E61" i="1"/>
  <c r="E60" i="1"/>
  <c r="L59" i="1"/>
  <c r="Q59" i="1" s="1"/>
  <c r="E58" i="1"/>
  <c r="E57" i="1"/>
  <c r="E56" i="1"/>
  <c r="L55" i="1"/>
  <c r="Q55" i="1" s="1"/>
  <c r="L54" i="1"/>
  <c r="Q54" i="1" s="1"/>
  <c r="E53" i="1"/>
  <c r="E52" i="1"/>
  <c r="L51" i="1"/>
  <c r="Q51" i="1" s="1"/>
  <c r="E50" i="1"/>
  <c r="E49" i="1"/>
  <c r="E48" i="1"/>
  <c r="L47" i="1"/>
  <c r="Q47" i="1" s="1"/>
  <c r="L46" i="1"/>
  <c r="Q46" i="1" s="1"/>
  <c r="E45" i="1"/>
  <c r="E44" i="1"/>
  <c r="L43" i="1"/>
  <c r="Q43" i="1" s="1"/>
  <c r="E42" i="1"/>
  <c r="L41" i="1"/>
  <c r="Q41" i="1" s="1"/>
  <c r="L40" i="1"/>
  <c r="Q40" i="1" s="1"/>
  <c r="L39" i="1"/>
  <c r="Q39" i="1" s="1"/>
  <c r="E38" i="1"/>
  <c r="L37" i="1"/>
  <c r="Q37" i="1" s="1"/>
  <c r="L36" i="1"/>
  <c r="Q36" i="1" s="1"/>
  <c r="L35" i="1"/>
  <c r="Q35" i="1" s="1"/>
  <c r="E34" i="1"/>
  <c r="L33" i="1"/>
  <c r="Q33" i="1" s="1"/>
  <c r="L32" i="1"/>
  <c r="Q32" i="1" s="1"/>
  <c r="L31" i="1"/>
  <c r="Q31" i="1" s="1"/>
  <c r="E30" i="1"/>
  <c r="L29" i="1"/>
  <c r="Q29" i="1" s="1"/>
  <c r="L28" i="1"/>
  <c r="Q28" i="1" s="1"/>
  <c r="L27" i="1"/>
  <c r="Q27" i="1" s="1"/>
  <c r="E26" i="1"/>
  <c r="L25" i="1"/>
  <c r="Q25" i="1" s="1"/>
  <c r="L24" i="1"/>
  <c r="Q24" i="1" s="1"/>
  <c r="L23" i="1"/>
  <c r="Q23" i="1" s="1"/>
  <c r="E22" i="1"/>
  <c r="L21" i="1"/>
  <c r="Q21" i="1" s="1"/>
  <c r="L20" i="1"/>
  <c r="Q20" i="1" s="1"/>
  <c r="L19" i="1"/>
  <c r="L18" i="1"/>
  <c r="S18" i="1" s="1"/>
  <c r="L17" i="1"/>
  <c r="E16" i="1"/>
  <c r="L15" i="1"/>
  <c r="E14" i="1"/>
  <c r="L13" i="1"/>
  <c r="E12" i="1"/>
  <c r="L11" i="1"/>
  <c r="L10" i="1"/>
  <c r="S10" i="1" s="1"/>
  <c r="L9" i="1"/>
  <c r="L8" i="1"/>
  <c r="S8" i="1" s="1"/>
  <c r="L7" i="1"/>
  <c r="E6" i="1"/>
  <c r="L5" i="1"/>
  <c r="L4" i="1"/>
  <c r="S4" i="1" s="1"/>
  <c r="L3" i="1"/>
  <c r="L2" i="1"/>
  <c r="S2" i="1" s="1"/>
  <c r="L208" i="1" l="1"/>
  <c r="S208" i="1" s="1"/>
  <c r="L420" i="1"/>
  <c r="O420" i="1" s="1"/>
  <c r="L435" i="1"/>
  <c r="E5" i="1"/>
  <c r="E8" i="1"/>
  <c r="L391" i="1"/>
  <c r="L221" i="1"/>
  <c r="O221" i="1" s="1"/>
  <c r="L272" i="1"/>
  <c r="O272" i="1" s="1"/>
  <c r="L279" i="1"/>
  <c r="O279" i="1" s="1"/>
  <c r="L346" i="1"/>
  <c r="M346" i="1" s="1"/>
  <c r="L441" i="1"/>
  <c r="M509" i="1"/>
  <c r="Q512" i="1"/>
  <c r="L271" i="1"/>
  <c r="O271" i="1" s="1"/>
  <c r="L347" i="1"/>
  <c r="O347" i="1" s="1"/>
  <c r="E21" i="1"/>
  <c r="E23" i="1"/>
  <c r="E25" i="1"/>
  <c r="E27" i="1"/>
  <c r="E29" i="1"/>
  <c r="E31" i="1"/>
  <c r="E33" i="1"/>
  <c r="E35" i="1"/>
  <c r="E37" i="1"/>
  <c r="E39" i="1"/>
  <c r="E41" i="1"/>
  <c r="E43" i="1"/>
  <c r="L44" i="1"/>
  <c r="Q44" i="1" s="1"/>
  <c r="R44" i="1" s="1"/>
  <c r="E47" i="1"/>
  <c r="L48" i="1"/>
  <c r="Q48" i="1" s="1"/>
  <c r="R48" i="1" s="1"/>
  <c r="E51" i="1"/>
  <c r="L52" i="1"/>
  <c r="Q52" i="1" s="1"/>
  <c r="R52" i="1" s="1"/>
  <c r="E55" i="1"/>
  <c r="L56" i="1"/>
  <c r="Q56" i="1" s="1"/>
  <c r="R56" i="1" s="1"/>
  <c r="E59" i="1"/>
  <c r="L60" i="1"/>
  <c r="Q60" i="1" s="1"/>
  <c r="R60" i="1" s="1"/>
  <c r="E63" i="1"/>
  <c r="L64" i="1"/>
  <c r="Q64" i="1" s="1"/>
  <c r="R64" i="1" s="1"/>
  <c r="E67" i="1"/>
  <c r="L68" i="1"/>
  <c r="Q68" i="1" s="1"/>
  <c r="R68" i="1" s="1"/>
  <c r="E71" i="1"/>
  <c r="L72" i="1"/>
  <c r="Q72" i="1" s="1"/>
  <c r="R72" i="1" s="1"/>
  <c r="E75" i="1"/>
  <c r="L76" i="1"/>
  <c r="Q76" i="1" s="1"/>
  <c r="R76" i="1" s="1"/>
  <c r="E79" i="1"/>
  <c r="L80" i="1"/>
  <c r="Q80" i="1" s="1"/>
  <c r="R80" i="1" s="1"/>
  <c r="E83" i="1"/>
  <c r="L84" i="1"/>
  <c r="Q84" i="1" s="1"/>
  <c r="R84" i="1" s="1"/>
  <c r="E87" i="1"/>
  <c r="L88" i="1"/>
  <c r="Q88" i="1" s="1"/>
  <c r="E91" i="1"/>
  <c r="L92" i="1"/>
  <c r="Q92" i="1" s="1"/>
  <c r="R92" i="1" s="1"/>
  <c r="E95" i="1"/>
  <c r="L96" i="1"/>
  <c r="Q96" i="1" s="1"/>
  <c r="R96" i="1" s="1"/>
  <c r="E99" i="1"/>
  <c r="L100" i="1"/>
  <c r="Q100" i="1" s="1"/>
  <c r="R100" i="1" s="1"/>
  <c r="E103" i="1"/>
  <c r="L104" i="1"/>
  <c r="Q104" i="1" s="1"/>
  <c r="E107" i="1"/>
  <c r="L108" i="1"/>
  <c r="Q108" i="1" s="1"/>
  <c r="R108" i="1" s="1"/>
  <c r="E111" i="1"/>
  <c r="L112" i="1"/>
  <c r="S112" i="1" s="1"/>
  <c r="E115" i="1"/>
  <c r="L243" i="1"/>
  <c r="O243" i="1" s="1"/>
  <c r="L253" i="1"/>
  <c r="O253" i="1" s="1"/>
  <c r="L364" i="1"/>
  <c r="S364" i="1" s="1"/>
  <c r="L371" i="1"/>
  <c r="Q371" i="1" s="1"/>
  <c r="L405" i="1"/>
  <c r="Q405" i="1" s="1"/>
  <c r="R405" i="1" s="1"/>
  <c r="L408" i="1"/>
  <c r="L415" i="1"/>
  <c r="O415" i="1" s="1"/>
  <c r="L429" i="1"/>
  <c r="Q429" i="1" s="1"/>
  <c r="L442" i="1"/>
  <c r="M442" i="1" s="1"/>
  <c r="N442" i="1" s="1"/>
  <c r="L445" i="1"/>
  <c r="S445" i="1" s="1"/>
  <c r="L470" i="1"/>
  <c r="M470" i="1" s="1"/>
  <c r="M500" i="1"/>
  <c r="N500" i="1" s="1"/>
  <c r="E525" i="1"/>
  <c r="O500" i="1"/>
  <c r="L45" i="1"/>
  <c r="Q45" i="1" s="1"/>
  <c r="R45" i="1" s="1"/>
  <c r="L49" i="1"/>
  <c r="Q49" i="1" s="1"/>
  <c r="R49" i="1" s="1"/>
  <c r="L53" i="1"/>
  <c r="Q53" i="1" s="1"/>
  <c r="R53" i="1" s="1"/>
  <c r="L57" i="1"/>
  <c r="Q57" i="1" s="1"/>
  <c r="L61" i="1"/>
  <c r="Q61" i="1" s="1"/>
  <c r="R61" i="1" s="1"/>
  <c r="L65" i="1"/>
  <c r="Q65" i="1" s="1"/>
  <c r="R65" i="1" s="1"/>
  <c r="L69" i="1"/>
  <c r="Q69" i="1" s="1"/>
  <c r="R69" i="1" s="1"/>
  <c r="L73" i="1"/>
  <c r="Q73" i="1" s="1"/>
  <c r="L77" i="1"/>
  <c r="Q77" i="1" s="1"/>
  <c r="R77" i="1" s="1"/>
  <c r="L81" i="1"/>
  <c r="Q81" i="1" s="1"/>
  <c r="R81" i="1" s="1"/>
  <c r="L85" i="1"/>
  <c r="Q85" i="1" s="1"/>
  <c r="R85" i="1" s="1"/>
  <c r="L89" i="1"/>
  <c r="Q89" i="1" s="1"/>
  <c r="L93" i="1"/>
  <c r="Q93" i="1" s="1"/>
  <c r="L97" i="1"/>
  <c r="Q97" i="1" s="1"/>
  <c r="R97" i="1" s="1"/>
  <c r="L101" i="1"/>
  <c r="Q101" i="1" s="1"/>
  <c r="R101" i="1" s="1"/>
  <c r="L105" i="1"/>
  <c r="Q105" i="1" s="1"/>
  <c r="L109" i="1"/>
  <c r="Q109" i="1" s="1"/>
  <c r="R109" i="1" s="1"/>
  <c r="L113" i="1"/>
  <c r="S113" i="1" s="1"/>
  <c r="O115" i="1"/>
  <c r="O158" i="1"/>
  <c r="L242" i="1"/>
  <c r="O242" i="1" s="1"/>
  <c r="L262" i="1"/>
  <c r="O262" i="1" s="1"/>
  <c r="L16" i="1"/>
  <c r="S16" i="1" s="1"/>
  <c r="E46" i="1"/>
  <c r="L50" i="1"/>
  <c r="Q50" i="1" s="1"/>
  <c r="R50" i="1" s="1"/>
  <c r="E54" i="1"/>
  <c r="L58" i="1"/>
  <c r="Q58" i="1" s="1"/>
  <c r="R58" i="1" s="1"/>
  <c r="E62" i="1"/>
  <c r="L66" i="1"/>
  <c r="Q66" i="1" s="1"/>
  <c r="R66" i="1" s="1"/>
  <c r="E70" i="1"/>
  <c r="L74" i="1"/>
  <c r="Q74" i="1" s="1"/>
  <c r="R74" i="1" s="1"/>
  <c r="E78" i="1"/>
  <c r="L82" i="1"/>
  <c r="Q82" i="1" s="1"/>
  <c r="R82" i="1" s="1"/>
  <c r="E86" i="1"/>
  <c r="L90" i="1"/>
  <c r="Q90" i="1" s="1"/>
  <c r="R90" i="1" s="1"/>
  <c r="E94" i="1"/>
  <c r="L98" i="1"/>
  <c r="Q98" i="1" s="1"/>
  <c r="E102" i="1"/>
  <c r="L106" i="1"/>
  <c r="Q106" i="1" s="1"/>
  <c r="R106" i="1" s="1"/>
  <c r="E110" i="1"/>
  <c r="L114" i="1"/>
  <c r="S114" i="1" s="1"/>
  <c r="O123" i="1"/>
  <c r="O126" i="1"/>
  <c r="P126" i="1" s="1"/>
  <c r="M143" i="1"/>
  <c r="E151" i="1"/>
  <c r="E154" i="1"/>
  <c r="E170" i="1"/>
  <c r="M180" i="1"/>
  <c r="O183" i="1"/>
  <c r="E217" i="1"/>
  <c r="L219" i="1"/>
  <c r="O219" i="1" s="1"/>
  <c r="L235" i="1"/>
  <c r="O235" i="1" s="1"/>
  <c r="E267" i="1"/>
  <c r="E305" i="1"/>
  <c r="L319" i="1"/>
  <c r="O319" i="1" s="1"/>
  <c r="L326" i="1"/>
  <c r="L329" i="1"/>
  <c r="O329" i="1" s="1"/>
  <c r="L338" i="1"/>
  <c r="O338" i="1" s="1"/>
  <c r="L357" i="1"/>
  <c r="O357" i="1" s="1"/>
  <c r="L362" i="1"/>
  <c r="L387" i="1"/>
  <c r="O387" i="1" s="1"/>
  <c r="L400" i="1"/>
  <c r="M400" i="1" s="1"/>
  <c r="N400" i="1" s="1"/>
  <c r="L419" i="1"/>
  <c r="Q419" i="1" s="1"/>
  <c r="R419" i="1" s="1"/>
  <c r="E438" i="1"/>
  <c r="S449" i="1"/>
  <c r="L451" i="1"/>
  <c r="L464" i="1"/>
  <c r="Q464" i="1" s="1"/>
  <c r="R464" i="1" s="1"/>
  <c r="M517" i="1"/>
  <c r="N517" i="1" s="1"/>
  <c r="O523" i="1"/>
  <c r="M521" i="1"/>
  <c r="N521" i="1" s="1"/>
  <c r="E524" i="1"/>
  <c r="O525" i="1"/>
  <c r="E13" i="1"/>
  <c r="M127" i="1"/>
  <c r="N127" i="1" s="1"/>
  <c r="O130" i="1"/>
  <c r="P130" i="1" s="1"/>
  <c r="S154" i="1"/>
  <c r="M168" i="1"/>
  <c r="L196" i="1"/>
  <c r="O196" i="1" s="1"/>
  <c r="L251" i="1"/>
  <c r="O251" i="1" s="1"/>
  <c r="L278" i="1"/>
  <c r="O278" i="1" s="1"/>
  <c r="L334" i="1"/>
  <c r="O334" i="1" s="1"/>
  <c r="L349" i="1"/>
  <c r="O349" i="1" s="1"/>
  <c r="L356" i="1"/>
  <c r="S356" i="1" s="1"/>
  <c r="L395" i="1"/>
  <c r="O395" i="1" s="1"/>
  <c r="L433" i="1"/>
  <c r="S433" i="1" s="1"/>
  <c r="L450" i="1"/>
  <c r="S450" i="1" s="1"/>
  <c r="L472" i="1"/>
  <c r="S472" i="1" s="1"/>
  <c r="M493" i="1"/>
  <c r="Q155" i="1"/>
  <c r="M155" i="1"/>
  <c r="N155" i="1" s="1"/>
  <c r="Q187" i="1"/>
  <c r="R187" i="1" s="1"/>
  <c r="M187" i="1"/>
  <c r="N187" i="1" s="1"/>
  <c r="E229" i="1"/>
  <c r="L229" i="1"/>
  <c r="Q229" i="1" s="1"/>
  <c r="L249" i="1"/>
  <c r="O249" i="1" s="1"/>
  <c r="E249" i="1"/>
  <c r="E252" i="1"/>
  <c r="L252" i="1"/>
  <c r="M252" i="1" s="1"/>
  <c r="E280" i="1"/>
  <c r="L280" i="1"/>
  <c r="O280" i="1" s="1"/>
  <c r="E335" i="1"/>
  <c r="L335" i="1"/>
  <c r="O335" i="1" s="1"/>
  <c r="E379" i="1"/>
  <c r="L379" i="1"/>
  <c r="O379" i="1" s="1"/>
  <c r="Q497" i="1"/>
  <c r="R497" i="1" s="1"/>
  <c r="S497" i="1"/>
  <c r="M497" i="1"/>
  <c r="N497" i="1" s="1"/>
  <c r="E4" i="1"/>
  <c r="L12" i="1"/>
  <c r="S12" i="1" s="1"/>
  <c r="E17" i="1"/>
  <c r="E20" i="1"/>
  <c r="L22" i="1"/>
  <c r="Q22" i="1" s="1"/>
  <c r="R22" i="1" s="1"/>
  <c r="E24" i="1"/>
  <c r="L26" i="1"/>
  <c r="Q26" i="1" s="1"/>
  <c r="R26" i="1" s="1"/>
  <c r="E28" i="1"/>
  <c r="L30" i="1"/>
  <c r="Q30" i="1" s="1"/>
  <c r="R30" i="1" s="1"/>
  <c r="E32" i="1"/>
  <c r="L34" i="1"/>
  <c r="Q34" i="1" s="1"/>
  <c r="R34" i="1" s="1"/>
  <c r="E36" i="1"/>
  <c r="L38" i="1"/>
  <c r="Q38" i="1" s="1"/>
  <c r="R38" i="1" s="1"/>
  <c r="E40" i="1"/>
  <c r="L42" i="1"/>
  <c r="Q42" i="1" s="1"/>
  <c r="R42" i="1" s="1"/>
  <c r="E119" i="1"/>
  <c r="Q122" i="1"/>
  <c r="R122" i="1" s="1"/>
  <c r="S122" i="1"/>
  <c r="M136" i="1"/>
  <c r="N136" i="1" s="1"/>
  <c r="M148" i="1"/>
  <c r="N148" i="1" s="1"/>
  <c r="Q151" i="1"/>
  <c r="O151" i="1"/>
  <c r="O155" i="1"/>
  <c r="E174" i="1"/>
  <c r="M175" i="1"/>
  <c r="N175" i="1" s="1"/>
  <c r="S178" i="1"/>
  <c r="T178" i="1" s="1"/>
  <c r="S184" i="1"/>
  <c r="M184" i="1"/>
  <c r="N184" i="1" s="1"/>
  <c r="E220" i="1"/>
  <c r="L220" i="1"/>
  <c r="O220" i="1" s="1"/>
  <c r="E268" i="1"/>
  <c r="L268" i="1"/>
  <c r="M268" i="1" s="1"/>
  <c r="L297" i="1"/>
  <c r="S297" i="1" s="1"/>
  <c r="E297" i="1"/>
  <c r="E432" i="1"/>
  <c r="L432" i="1"/>
  <c r="M432" i="1" s="1"/>
  <c r="N432" i="1" s="1"/>
  <c r="E439" i="1"/>
  <c r="L439" i="1"/>
  <c r="Q439" i="1" s="1"/>
  <c r="R439" i="1" s="1"/>
  <c r="E481" i="1"/>
  <c r="L481" i="1"/>
  <c r="O481" i="1" s="1"/>
  <c r="M508" i="1"/>
  <c r="Q508" i="1"/>
  <c r="S132" i="1"/>
  <c r="M132" i="1"/>
  <c r="N132" i="1" s="1"/>
  <c r="Q119" i="1"/>
  <c r="O119" i="1"/>
  <c r="Q162" i="1"/>
  <c r="S162" i="1"/>
  <c r="Q174" i="1"/>
  <c r="O174" i="1"/>
  <c r="E200" i="1"/>
  <c r="L200" i="1"/>
  <c r="M200" i="1" s="1"/>
  <c r="N200" i="1" s="1"/>
  <c r="E244" i="1"/>
  <c r="L244" i="1"/>
  <c r="Q244" i="1" s="1"/>
  <c r="L257" i="1"/>
  <c r="O257" i="1" s="1"/>
  <c r="E257" i="1"/>
  <c r="E261" i="1"/>
  <c r="L261" i="1"/>
  <c r="S261" i="1" s="1"/>
  <c r="L339" i="1"/>
  <c r="O339" i="1" s="1"/>
  <c r="E339" i="1"/>
  <c r="L363" i="1"/>
  <c r="O363" i="1" s="1"/>
  <c r="E363" i="1"/>
  <c r="E458" i="1"/>
  <c r="L458" i="1"/>
  <c r="M458" i="1" s="1"/>
  <c r="S529" i="1"/>
  <c r="O529" i="1"/>
  <c r="E9" i="1"/>
  <c r="Q115" i="1"/>
  <c r="R115" i="1" s="1"/>
  <c r="M115" i="1"/>
  <c r="M123" i="1"/>
  <c r="N123" i="1" s="1"/>
  <c r="Q135" i="1"/>
  <c r="R135" i="1" s="1"/>
  <c r="O135" i="1"/>
  <c r="L142" i="1"/>
  <c r="E142" i="1"/>
  <c r="E155" i="1"/>
  <c r="M159" i="1"/>
  <c r="N159" i="1" s="1"/>
  <c r="O162" i="1"/>
  <c r="S174" i="1"/>
  <c r="E197" i="1"/>
  <c r="L197" i="1"/>
  <c r="O197" i="1" s="1"/>
  <c r="E225" i="1"/>
  <c r="E236" i="1"/>
  <c r="L236" i="1"/>
  <c r="M236" i="1" s="1"/>
  <c r="E328" i="1"/>
  <c r="L328" i="1"/>
  <c r="Q328" i="1" s="1"/>
  <c r="E436" i="1"/>
  <c r="L436" i="1"/>
  <c r="M436" i="1" s="1"/>
  <c r="N436" i="1" s="1"/>
  <c r="M516" i="1"/>
  <c r="N516" i="1" s="1"/>
  <c r="O516" i="1"/>
  <c r="E313" i="1"/>
  <c r="E316" i="1"/>
  <c r="E331" i="1"/>
  <c r="E361" i="1"/>
  <c r="E289" i="1"/>
  <c r="E343" i="1"/>
  <c r="E512" i="1"/>
  <c r="E2" i="1"/>
  <c r="E3" i="1"/>
  <c r="L6" i="1"/>
  <c r="S6" i="1" s="1"/>
  <c r="E10" i="1"/>
  <c r="E11" i="1"/>
  <c r="L14" i="1"/>
  <c r="S14" i="1" s="1"/>
  <c r="E18" i="1"/>
  <c r="E19" i="1"/>
  <c r="M120" i="1"/>
  <c r="N120" i="1" s="1"/>
  <c r="E122" i="1"/>
  <c r="E123" i="1"/>
  <c r="S126" i="1"/>
  <c r="S138" i="1"/>
  <c r="M139" i="1"/>
  <c r="N139" i="1" s="1"/>
  <c r="O146" i="1"/>
  <c r="M152" i="1"/>
  <c r="N152" i="1" s="1"/>
  <c r="S158" i="1"/>
  <c r="T158" i="1" s="1"/>
  <c r="M164" i="1"/>
  <c r="N164" i="1" s="1"/>
  <c r="O167" i="1"/>
  <c r="M171" i="1"/>
  <c r="N171" i="1" s="1"/>
  <c r="O187" i="1"/>
  <c r="P187" i="1" s="1"/>
  <c r="O190" i="1"/>
  <c r="M191" i="1"/>
  <c r="N191" i="1" s="1"/>
  <c r="M197" i="1"/>
  <c r="N197" i="1" s="1"/>
  <c r="L204" i="1"/>
  <c r="M208" i="1"/>
  <c r="N208" i="1" s="1"/>
  <c r="E224" i="1"/>
  <c r="L226" i="1"/>
  <c r="O226" i="1" s="1"/>
  <c r="L227" i="1"/>
  <c r="O227" i="1" s="1"/>
  <c r="L228" i="1"/>
  <c r="S228" i="1" s="1"/>
  <c r="E234" i="1"/>
  <c r="L237" i="1"/>
  <c r="O237" i="1" s="1"/>
  <c r="L246" i="1"/>
  <c r="O246" i="1" s="1"/>
  <c r="E248" i="1"/>
  <c r="E256" i="1"/>
  <c r="L258" i="1"/>
  <c r="O258" i="1" s="1"/>
  <c r="L259" i="1"/>
  <c r="O259" i="1" s="1"/>
  <c r="L260" i="1"/>
  <c r="S260" i="1" s="1"/>
  <c r="E266" i="1"/>
  <c r="L274" i="1"/>
  <c r="O274" i="1" s="1"/>
  <c r="E286" i="1"/>
  <c r="E294" i="1"/>
  <c r="E302" i="1"/>
  <c r="E310" i="1"/>
  <c r="L317" i="1"/>
  <c r="O317" i="1" s="1"/>
  <c r="L318" i="1"/>
  <c r="S318" i="1" s="1"/>
  <c r="L327" i="1"/>
  <c r="O327" i="1" s="1"/>
  <c r="E330" i="1"/>
  <c r="E337" i="1"/>
  <c r="E342" i="1"/>
  <c r="L354" i="1"/>
  <c r="Q354" i="1" s="1"/>
  <c r="L355" i="1"/>
  <c r="O355" i="1" s="1"/>
  <c r="L367" i="1"/>
  <c r="L389" i="1"/>
  <c r="S389" i="1" s="1"/>
  <c r="L411" i="1"/>
  <c r="M411" i="1" s="1"/>
  <c r="N411" i="1" s="1"/>
  <c r="L428" i="1"/>
  <c r="O428" i="1" s="1"/>
  <c r="E434" i="1"/>
  <c r="Q454" i="1"/>
  <c r="T454" i="1" s="1"/>
  <c r="L459" i="1"/>
  <c r="L462" i="1"/>
  <c r="Q462" i="1" s="1"/>
  <c r="R462" i="1" s="1"/>
  <c r="L478" i="1"/>
  <c r="L483" i="1"/>
  <c r="O483" i="1" s="1"/>
  <c r="S493" i="1"/>
  <c r="T493" i="1" s="1"/>
  <c r="E500" i="1"/>
  <c r="O509" i="1"/>
  <c r="O521" i="1"/>
  <c r="E126" i="1"/>
  <c r="E135" i="1"/>
  <c r="O139" i="1"/>
  <c r="E158" i="1"/>
  <c r="O178" i="1"/>
  <c r="E183" i="1"/>
  <c r="E187" i="1"/>
  <c r="S190" i="1"/>
  <c r="T190" i="1" s="1"/>
  <c r="O208" i="1"/>
  <c r="E233" i="1"/>
  <c r="E241" i="1"/>
  <c r="E265" i="1"/>
  <c r="E270" i="1"/>
  <c r="E285" i="1"/>
  <c r="E293" i="1"/>
  <c r="E301" i="1"/>
  <c r="E309" i="1"/>
  <c r="E325" i="1"/>
  <c r="E333" i="1"/>
  <c r="E336" i="1"/>
  <c r="E352" i="1"/>
  <c r="E449" i="1"/>
  <c r="E508" i="1"/>
  <c r="E509" i="1"/>
  <c r="S509" i="1"/>
  <c r="T509" i="1" s="1"/>
  <c r="O512" i="1"/>
  <c r="P512" i="1" s="1"/>
  <c r="M523" i="1"/>
  <c r="M525" i="1"/>
  <c r="N525" i="1" s="1"/>
  <c r="E7" i="1"/>
  <c r="E15" i="1"/>
  <c r="E138" i="1"/>
  <c r="E139" i="1"/>
  <c r="E167" i="1"/>
  <c r="E171" i="1"/>
  <c r="O171" i="1"/>
  <c r="E186" i="1"/>
  <c r="E190" i="1"/>
  <c r="E218" i="1"/>
  <c r="E232" i="1"/>
  <c r="E240" i="1"/>
  <c r="E250" i="1"/>
  <c r="E264" i="1"/>
  <c r="E282" i="1"/>
  <c r="E290" i="1"/>
  <c r="E298" i="1"/>
  <c r="E306" i="1"/>
  <c r="E314" i="1"/>
  <c r="E324" i="1"/>
  <c r="E332" i="1"/>
  <c r="E344" i="1"/>
  <c r="E351" i="1"/>
  <c r="E444" i="1"/>
  <c r="E503" i="1"/>
  <c r="S13" i="1"/>
  <c r="M13" i="1"/>
  <c r="N13" i="1" s="1"/>
  <c r="Q13" i="1"/>
  <c r="R13" i="1" s="1"/>
  <c r="S3" i="1"/>
  <c r="M3" i="1"/>
  <c r="N3" i="1" s="1"/>
  <c r="Q3" i="1"/>
  <c r="R3" i="1" s="1"/>
  <c r="S11" i="1"/>
  <c r="M11" i="1"/>
  <c r="N11" i="1" s="1"/>
  <c r="Q11" i="1"/>
  <c r="S19" i="1"/>
  <c r="M19" i="1"/>
  <c r="N19" i="1" s="1"/>
  <c r="Q19" i="1"/>
  <c r="R19" i="1" s="1"/>
  <c r="S9" i="1"/>
  <c r="M9" i="1"/>
  <c r="N9" i="1" s="1"/>
  <c r="Q9" i="1"/>
  <c r="R9" i="1" s="1"/>
  <c r="S17" i="1"/>
  <c r="M17" i="1"/>
  <c r="N17" i="1" s="1"/>
  <c r="Q17" i="1"/>
  <c r="R17" i="1" s="1"/>
  <c r="S7" i="1"/>
  <c r="Q7" i="1"/>
  <c r="R7" i="1" s="1"/>
  <c r="M7" i="1"/>
  <c r="N7" i="1" s="1"/>
  <c r="S15" i="1"/>
  <c r="Q15" i="1"/>
  <c r="R15" i="1" s="1"/>
  <c r="M15" i="1"/>
  <c r="N15" i="1" s="1"/>
  <c r="S5" i="1"/>
  <c r="M5" i="1"/>
  <c r="N5" i="1" s="1"/>
  <c r="Q5" i="1"/>
  <c r="R5" i="1" s="1"/>
  <c r="M4" i="1"/>
  <c r="N4" i="1" s="1"/>
  <c r="M8" i="1"/>
  <c r="N8" i="1" s="1"/>
  <c r="M14" i="1"/>
  <c r="N14" i="1" s="1"/>
  <c r="S147" i="1"/>
  <c r="T147" i="1" s="1"/>
  <c r="E416" i="1"/>
  <c r="L416" i="1"/>
  <c r="E431" i="1"/>
  <c r="L431" i="1"/>
  <c r="E466" i="1"/>
  <c r="L466" i="1"/>
  <c r="Q466" i="1" s="1"/>
  <c r="Q4" i="1"/>
  <c r="R4" i="1" s="1"/>
  <c r="Q8" i="1"/>
  <c r="T8" i="1" s="1"/>
  <c r="Q10" i="1"/>
  <c r="R10" i="1" s="1"/>
  <c r="Q12" i="1"/>
  <c r="T12" i="1" s="1"/>
  <c r="Q18" i="1"/>
  <c r="M124" i="1"/>
  <c r="N124" i="1" s="1"/>
  <c r="O134" i="1"/>
  <c r="S146" i="1"/>
  <c r="T146" i="1" s="1"/>
  <c r="M147" i="1"/>
  <c r="O150" i="1"/>
  <c r="P150" i="1" s="1"/>
  <c r="O166" i="1"/>
  <c r="S183" i="1"/>
  <c r="T183" i="1" s="1"/>
  <c r="M188" i="1"/>
  <c r="N188" i="1" s="1"/>
  <c r="L222" i="1"/>
  <c r="Q222" i="1" s="1"/>
  <c r="L223" i="1"/>
  <c r="O223" i="1" s="1"/>
  <c r="L263" i="1"/>
  <c r="O263" i="1" s="1"/>
  <c r="L321" i="1"/>
  <c r="O321" i="1" s="1"/>
  <c r="E348" i="1"/>
  <c r="L348" i="1"/>
  <c r="M348" i="1" s="1"/>
  <c r="L359" i="1"/>
  <c r="O359" i="1" s="1"/>
  <c r="L381" i="1"/>
  <c r="S381" i="1" s="1"/>
  <c r="E383" i="1"/>
  <c r="L383" i="1"/>
  <c r="S383" i="1" s="1"/>
  <c r="E404" i="1"/>
  <c r="L404" i="1"/>
  <c r="O404" i="1" s="1"/>
  <c r="O408" i="1"/>
  <c r="S408" i="1"/>
  <c r="S411" i="1"/>
  <c r="E424" i="1"/>
  <c r="L424" i="1"/>
  <c r="Q424" i="1" s="1"/>
  <c r="M2" i="1"/>
  <c r="N2" i="1" s="1"/>
  <c r="M10" i="1"/>
  <c r="N10" i="1" s="1"/>
  <c r="M18" i="1"/>
  <c r="N18" i="1" s="1"/>
  <c r="S131" i="1"/>
  <c r="T131" i="1" s="1"/>
  <c r="S163" i="1"/>
  <c r="T163" i="1" s="1"/>
  <c r="S179" i="1"/>
  <c r="T179" i="1" s="1"/>
  <c r="E393" i="1"/>
  <c r="L393" i="1"/>
  <c r="S393" i="1" s="1"/>
  <c r="E456" i="1"/>
  <c r="L456" i="1"/>
  <c r="O456" i="1" s="1"/>
  <c r="Q2" i="1"/>
  <c r="R2" i="1" s="1"/>
  <c r="O118" i="1"/>
  <c r="P118" i="1" s="1"/>
  <c r="S119" i="1"/>
  <c r="S130" i="1"/>
  <c r="M131" i="1"/>
  <c r="S135" i="1"/>
  <c r="M140" i="1"/>
  <c r="N140" i="1" s="1"/>
  <c r="N143" i="1"/>
  <c r="S151" i="1"/>
  <c r="M156" i="1"/>
  <c r="M163" i="1"/>
  <c r="S167" i="1"/>
  <c r="T167" i="1" s="1"/>
  <c r="M172" i="1"/>
  <c r="M179" i="1"/>
  <c r="O182" i="1"/>
  <c r="L202" i="1"/>
  <c r="L231" i="1"/>
  <c r="O231" i="1" s="1"/>
  <c r="L238" i="1"/>
  <c r="Q238" i="1" s="1"/>
  <c r="L239" i="1"/>
  <c r="O239" i="1" s="1"/>
  <c r="L247" i="1"/>
  <c r="O247" i="1" s="1"/>
  <c r="L254" i="1"/>
  <c r="M254" i="1" s="1"/>
  <c r="L255" i="1"/>
  <c r="O255" i="1" s="1"/>
  <c r="L275" i="1"/>
  <c r="O275" i="1" s="1"/>
  <c r="S118" i="1"/>
  <c r="M119" i="1"/>
  <c r="O122" i="1"/>
  <c r="S123" i="1"/>
  <c r="T123" i="1" s="1"/>
  <c r="E127" i="1"/>
  <c r="O127" i="1"/>
  <c r="M128" i="1"/>
  <c r="N128" i="1" s="1"/>
  <c r="E130" i="1"/>
  <c r="S134" i="1"/>
  <c r="T134" i="1" s="1"/>
  <c r="M135" i="1"/>
  <c r="O138" i="1"/>
  <c r="P138" i="1" s="1"/>
  <c r="S139" i="1"/>
  <c r="T139" i="1" s="1"/>
  <c r="E143" i="1"/>
  <c r="O143" i="1"/>
  <c r="P143" i="1" s="1"/>
  <c r="M144" i="1"/>
  <c r="E146" i="1"/>
  <c r="S150" i="1"/>
  <c r="M151" i="1"/>
  <c r="O154" i="1"/>
  <c r="S155" i="1"/>
  <c r="T155" i="1" s="1"/>
  <c r="E159" i="1"/>
  <c r="O159" i="1"/>
  <c r="M160" i="1"/>
  <c r="N160" i="1" s="1"/>
  <c r="E162" i="1"/>
  <c r="S166" i="1"/>
  <c r="T166" i="1" s="1"/>
  <c r="M167" i="1"/>
  <c r="O170" i="1"/>
  <c r="S171" i="1"/>
  <c r="T171" i="1" s="1"/>
  <c r="E175" i="1"/>
  <c r="O175" i="1"/>
  <c r="M176" i="1"/>
  <c r="N176" i="1" s="1"/>
  <c r="E178" i="1"/>
  <c r="S182" i="1"/>
  <c r="T182" i="1" s="1"/>
  <c r="M183" i="1"/>
  <c r="O186" i="1"/>
  <c r="S187" i="1"/>
  <c r="E191" i="1"/>
  <c r="O191" i="1"/>
  <c r="M192" i="1"/>
  <c r="N192" i="1" s="1"/>
  <c r="L201" i="1"/>
  <c r="O201" i="1" s="1"/>
  <c r="L206" i="1"/>
  <c r="Q206" i="1" s="1"/>
  <c r="R206" i="1" s="1"/>
  <c r="Q208" i="1"/>
  <c r="R208" i="1" s="1"/>
  <c r="E269" i="1"/>
  <c r="L273" i="1"/>
  <c r="O273" i="1" s="1"/>
  <c r="E277" i="1"/>
  <c r="L281" i="1"/>
  <c r="O281" i="1" s="1"/>
  <c r="E284" i="1"/>
  <c r="E288" i="1"/>
  <c r="E292" i="1"/>
  <c r="E296" i="1"/>
  <c r="E300" i="1"/>
  <c r="E304" i="1"/>
  <c r="E308" i="1"/>
  <c r="E312" i="1"/>
  <c r="L320" i="1"/>
  <c r="Q320" i="1" s="1"/>
  <c r="E323" i="1"/>
  <c r="E345" i="1"/>
  <c r="E350" i="1"/>
  <c r="L358" i="1"/>
  <c r="S358" i="1" s="1"/>
  <c r="E369" i="1"/>
  <c r="L369" i="1"/>
  <c r="S369" i="1" s="1"/>
  <c r="E397" i="1"/>
  <c r="L397" i="1"/>
  <c r="O397" i="1" s="1"/>
  <c r="E403" i="1"/>
  <c r="L403" i="1"/>
  <c r="M408" i="1"/>
  <c r="N408" i="1" s="1"/>
  <c r="S415" i="1"/>
  <c r="Q441" i="1"/>
  <c r="R441" i="1" s="1"/>
  <c r="M441" i="1"/>
  <c r="N441" i="1" s="1"/>
  <c r="E118" i="1"/>
  <c r="S127" i="1"/>
  <c r="T127" i="1" s="1"/>
  <c r="E131" i="1"/>
  <c r="O131" i="1"/>
  <c r="E134" i="1"/>
  <c r="S143" i="1"/>
  <c r="T143" i="1" s="1"/>
  <c r="E147" i="1"/>
  <c r="O147" i="1"/>
  <c r="E150" i="1"/>
  <c r="S159" i="1"/>
  <c r="T159" i="1" s="1"/>
  <c r="E163" i="1"/>
  <c r="O163" i="1"/>
  <c r="E166" i="1"/>
  <c r="S170" i="1"/>
  <c r="T170" i="1" s="1"/>
  <c r="S175" i="1"/>
  <c r="T175" i="1" s="1"/>
  <c r="E179" i="1"/>
  <c r="O179" i="1"/>
  <c r="E182" i="1"/>
  <c r="S186" i="1"/>
  <c r="T186" i="1" s="1"/>
  <c r="S191" i="1"/>
  <c r="T191" i="1" s="1"/>
  <c r="E276" i="1"/>
  <c r="E283" i="1"/>
  <c r="E287" i="1"/>
  <c r="E291" i="1"/>
  <c r="E295" i="1"/>
  <c r="E299" i="1"/>
  <c r="E303" i="1"/>
  <c r="E307" i="1"/>
  <c r="E311" i="1"/>
  <c r="E315" i="1"/>
  <c r="E322" i="1"/>
  <c r="E341" i="1"/>
  <c r="L341" i="1"/>
  <c r="O341" i="1" s="1"/>
  <c r="L353" i="1"/>
  <c r="O353" i="1" s="1"/>
  <c r="E353" i="1"/>
  <c r="L360" i="1"/>
  <c r="O360" i="1" s="1"/>
  <c r="E360" i="1"/>
  <c r="E373" i="1"/>
  <c r="L373" i="1"/>
  <c r="S373" i="1" s="1"/>
  <c r="E412" i="1"/>
  <c r="L412" i="1"/>
  <c r="M412" i="1" s="1"/>
  <c r="E427" i="1"/>
  <c r="L427" i="1"/>
  <c r="E437" i="1"/>
  <c r="L437" i="1"/>
  <c r="S437" i="1" s="1"/>
  <c r="E385" i="1"/>
  <c r="L385" i="1"/>
  <c r="S385" i="1" s="1"/>
  <c r="Q395" i="1"/>
  <c r="R395" i="1" s="1"/>
  <c r="S395" i="1"/>
  <c r="E399" i="1"/>
  <c r="L399" i="1"/>
  <c r="E474" i="1"/>
  <c r="L474" i="1"/>
  <c r="S474" i="1" s="1"/>
  <c r="L492" i="1"/>
  <c r="E492" i="1"/>
  <c r="L496" i="1"/>
  <c r="E496" i="1"/>
  <c r="L505" i="1"/>
  <c r="E505" i="1"/>
  <c r="L507" i="1"/>
  <c r="E507" i="1"/>
  <c r="L340" i="1"/>
  <c r="L365" i="1"/>
  <c r="S365" i="1" s="1"/>
  <c r="L375" i="1"/>
  <c r="O375" i="1" s="1"/>
  <c r="E377" i="1"/>
  <c r="L377" i="1"/>
  <c r="S377" i="1" s="1"/>
  <c r="M395" i="1"/>
  <c r="N395" i="1" s="1"/>
  <c r="L396" i="1"/>
  <c r="S396" i="1" s="1"/>
  <c r="L407" i="1"/>
  <c r="L421" i="1"/>
  <c r="Q421" i="1" s="1"/>
  <c r="R421" i="1" s="1"/>
  <c r="E440" i="1"/>
  <c r="E443" i="1"/>
  <c r="Q478" i="1"/>
  <c r="R478" i="1" s="1"/>
  <c r="S478" i="1"/>
  <c r="O478" i="1"/>
  <c r="M478" i="1"/>
  <c r="N478" i="1" s="1"/>
  <c r="Q526" i="1"/>
  <c r="S526" i="1"/>
  <c r="M526" i="1"/>
  <c r="N526" i="1" s="1"/>
  <c r="E413" i="1"/>
  <c r="L413" i="1"/>
  <c r="E423" i="1"/>
  <c r="L423" i="1"/>
  <c r="Q501" i="1"/>
  <c r="M501" i="1"/>
  <c r="N501" i="1" s="1"/>
  <c r="L513" i="1"/>
  <c r="E513" i="1"/>
  <c r="L519" i="1"/>
  <c r="M519" i="1" s="1"/>
  <c r="E519" i="1"/>
  <c r="L467" i="1"/>
  <c r="L471" i="1"/>
  <c r="O471" i="1" s="1"/>
  <c r="L476" i="1"/>
  <c r="O476" i="1" s="1"/>
  <c r="L479" i="1"/>
  <c r="L485" i="1"/>
  <c r="S485" i="1" s="1"/>
  <c r="O499" i="1"/>
  <c r="S500" i="1"/>
  <c r="T500" i="1" s="1"/>
  <c r="M511" i="1"/>
  <c r="E517" i="1"/>
  <c r="O517" i="1"/>
  <c r="P517" i="1" s="1"/>
  <c r="E521" i="1"/>
  <c r="S521" i="1"/>
  <c r="E523" i="1"/>
  <c r="Q523" i="1"/>
  <c r="T523" i="1" s="1"/>
  <c r="O524" i="1"/>
  <c r="P524" i="1" s="1"/>
  <c r="S525" i="1"/>
  <c r="M527" i="1"/>
  <c r="N527" i="1" s="1"/>
  <c r="E529" i="1"/>
  <c r="E530" i="1"/>
  <c r="O511" i="1"/>
  <c r="S517" i="1"/>
  <c r="T517" i="1" s="1"/>
  <c r="Q524" i="1"/>
  <c r="R524" i="1" s="1"/>
  <c r="R21" i="1"/>
  <c r="R28" i="1"/>
  <c r="R35" i="1"/>
  <c r="R37" i="1"/>
  <c r="R43" i="1"/>
  <c r="R46" i="1"/>
  <c r="R89" i="1"/>
  <c r="N117" i="1"/>
  <c r="T122" i="1"/>
  <c r="R128" i="1"/>
  <c r="N133" i="1"/>
  <c r="N138" i="1"/>
  <c r="T154" i="1"/>
  <c r="R154" i="1"/>
  <c r="N165" i="1"/>
  <c r="R167" i="1"/>
  <c r="R170" i="1"/>
  <c r="N181" i="1"/>
  <c r="R183" i="1"/>
  <c r="R186" i="1"/>
  <c r="R23" i="1"/>
  <c r="R24" i="1"/>
  <c r="R29" i="1"/>
  <c r="R39" i="1"/>
  <c r="R40" i="1"/>
  <c r="R51" i="1"/>
  <c r="R54" i="1"/>
  <c r="R59" i="1"/>
  <c r="R63" i="1"/>
  <c r="R73" i="1"/>
  <c r="R88" i="1"/>
  <c r="T18" i="1"/>
  <c r="N121" i="1"/>
  <c r="R123" i="1"/>
  <c r="N126" i="1"/>
  <c r="R137" i="1"/>
  <c r="R139" i="1"/>
  <c r="R148" i="1"/>
  <c r="N153" i="1"/>
  <c r="R155" i="1"/>
  <c r="R158" i="1"/>
  <c r="N169" i="1"/>
  <c r="R171" i="1"/>
  <c r="N185" i="1"/>
  <c r="R190" i="1"/>
  <c r="R20" i="1"/>
  <c r="R27" i="1"/>
  <c r="R32" i="1"/>
  <c r="R41" i="1"/>
  <c r="R57" i="1"/>
  <c r="R70" i="1"/>
  <c r="R78" i="1"/>
  <c r="R86" i="1"/>
  <c r="R94" i="1"/>
  <c r="R98" i="1"/>
  <c r="R102" i="1"/>
  <c r="R103" i="1"/>
  <c r="R105" i="1"/>
  <c r="N130" i="1"/>
  <c r="R136" i="1"/>
  <c r="R143" i="1"/>
  <c r="N157" i="1"/>
  <c r="R159" i="1"/>
  <c r="N173" i="1"/>
  <c r="R175" i="1"/>
  <c r="R178" i="1"/>
  <c r="N189" i="1"/>
  <c r="R191" i="1"/>
  <c r="R25" i="1"/>
  <c r="R31" i="1"/>
  <c r="R33" i="1"/>
  <c r="R36" i="1"/>
  <c r="R47" i="1"/>
  <c r="R55" i="1"/>
  <c r="R62" i="1"/>
  <c r="R67" i="1"/>
  <c r="R71" i="1"/>
  <c r="R75" i="1"/>
  <c r="R79" i="1"/>
  <c r="R83" i="1"/>
  <c r="R87" i="1"/>
  <c r="R91" i="1"/>
  <c r="R93" i="1"/>
  <c r="R95" i="1"/>
  <c r="R99" i="1"/>
  <c r="R104" i="1"/>
  <c r="R107" i="1"/>
  <c r="R111" i="1"/>
  <c r="N125" i="1"/>
  <c r="R127" i="1"/>
  <c r="R146" i="1"/>
  <c r="N118" i="1"/>
  <c r="R131" i="1"/>
  <c r="R134" i="1"/>
  <c r="R140" i="1"/>
  <c r="N145" i="1"/>
  <c r="R147" i="1"/>
  <c r="N150" i="1"/>
  <c r="N161" i="1"/>
  <c r="R163" i="1"/>
  <c r="R166" i="1"/>
  <c r="N177" i="1"/>
  <c r="R179" i="1"/>
  <c r="R182" i="1"/>
  <c r="N193" i="1"/>
  <c r="M110" i="1"/>
  <c r="Q110" i="1"/>
  <c r="M111" i="1"/>
  <c r="M112" i="1"/>
  <c r="N115" i="1"/>
  <c r="Q117" i="1"/>
  <c r="Q121" i="1"/>
  <c r="Q129" i="1"/>
  <c r="Q133" i="1"/>
  <c r="Q141" i="1"/>
  <c r="Q149" i="1"/>
  <c r="Q153" i="1"/>
  <c r="Q157" i="1"/>
  <c r="Q169" i="1"/>
  <c r="Q173" i="1"/>
  <c r="Q181" i="1"/>
  <c r="R18" i="1"/>
  <c r="Q118" i="1"/>
  <c r="Q126" i="1"/>
  <c r="S128" i="1"/>
  <c r="T128" i="1" s="1"/>
  <c r="M129" i="1"/>
  <c r="Q130" i="1"/>
  <c r="S136" i="1"/>
  <c r="T136" i="1" s="1"/>
  <c r="M137" i="1"/>
  <c r="Q138" i="1"/>
  <c r="S140" i="1"/>
  <c r="T140" i="1" s="1"/>
  <c r="M141" i="1"/>
  <c r="S148" i="1"/>
  <c r="T148" i="1" s="1"/>
  <c r="M149" i="1"/>
  <c r="Q150" i="1"/>
  <c r="O2" i="1"/>
  <c r="O3" i="1"/>
  <c r="O4" i="1"/>
  <c r="O5" i="1"/>
  <c r="P5" i="1" s="1"/>
  <c r="O7" i="1"/>
  <c r="O8" i="1"/>
  <c r="O9" i="1"/>
  <c r="P9" i="1" s="1"/>
  <c r="O10" i="1"/>
  <c r="O11" i="1"/>
  <c r="O13" i="1"/>
  <c r="O15" i="1"/>
  <c r="O17" i="1"/>
  <c r="O18" i="1"/>
  <c r="O19" i="1"/>
  <c r="O20" i="1"/>
  <c r="S20" i="1"/>
  <c r="O21" i="1"/>
  <c r="S21" i="1"/>
  <c r="T21" i="1" s="1"/>
  <c r="O23" i="1"/>
  <c r="S23" i="1"/>
  <c r="T23" i="1" s="1"/>
  <c r="O24" i="1"/>
  <c r="S24" i="1"/>
  <c r="T24" i="1" s="1"/>
  <c r="O25" i="1"/>
  <c r="S25" i="1"/>
  <c r="T25" i="1" s="1"/>
  <c r="O27" i="1"/>
  <c r="S27" i="1"/>
  <c r="T27" i="1" s="1"/>
  <c r="O28" i="1"/>
  <c r="S28" i="1"/>
  <c r="T28" i="1" s="1"/>
  <c r="O29" i="1"/>
  <c r="S29" i="1"/>
  <c r="T29" i="1" s="1"/>
  <c r="O31" i="1"/>
  <c r="S31" i="1"/>
  <c r="T31" i="1" s="1"/>
  <c r="O32" i="1"/>
  <c r="S32" i="1"/>
  <c r="T32" i="1" s="1"/>
  <c r="O33" i="1"/>
  <c r="S33" i="1"/>
  <c r="T33" i="1" s="1"/>
  <c r="O35" i="1"/>
  <c r="S35" i="1"/>
  <c r="T35" i="1" s="1"/>
  <c r="O36" i="1"/>
  <c r="S36" i="1"/>
  <c r="T36" i="1" s="1"/>
  <c r="O37" i="1"/>
  <c r="S37" i="1"/>
  <c r="T37" i="1" s="1"/>
  <c r="O39" i="1"/>
  <c r="S39" i="1"/>
  <c r="T39" i="1" s="1"/>
  <c r="O40" i="1"/>
  <c r="S40" i="1"/>
  <c r="T40" i="1" s="1"/>
  <c r="O41" i="1"/>
  <c r="S41" i="1"/>
  <c r="T41" i="1" s="1"/>
  <c r="O43" i="1"/>
  <c r="S43" i="1"/>
  <c r="T43" i="1" s="1"/>
  <c r="O46" i="1"/>
  <c r="S46" i="1"/>
  <c r="T46" i="1" s="1"/>
  <c r="O47" i="1"/>
  <c r="S47" i="1"/>
  <c r="T47" i="1" s="1"/>
  <c r="S48" i="1"/>
  <c r="T48" i="1" s="1"/>
  <c r="O51" i="1"/>
  <c r="S51" i="1"/>
  <c r="T51" i="1" s="1"/>
  <c r="O54" i="1"/>
  <c r="S54" i="1"/>
  <c r="T54" i="1" s="1"/>
  <c r="O55" i="1"/>
  <c r="S55" i="1"/>
  <c r="T55" i="1" s="1"/>
  <c r="O57" i="1"/>
  <c r="S57" i="1"/>
  <c r="T57" i="1" s="1"/>
  <c r="O59" i="1"/>
  <c r="S59" i="1"/>
  <c r="T59" i="1" s="1"/>
  <c r="S61" i="1"/>
  <c r="T61" i="1" s="1"/>
  <c r="O62" i="1"/>
  <c r="S62" i="1"/>
  <c r="T62" i="1" s="1"/>
  <c r="O63" i="1"/>
  <c r="S63" i="1"/>
  <c r="T63" i="1" s="1"/>
  <c r="S66" i="1"/>
  <c r="T66" i="1" s="1"/>
  <c r="O67" i="1"/>
  <c r="S67" i="1"/>
  <c r="T67" i="1" s="1"/>
  <c r="O70" i="1"/>
  <c r="S70" i="1"/>
  <c r="T70" i="1" s="1"/>
  <c r="O71" i="1"/>
  <c r="S71" i="1"/>
  <c r="T71" i="1" s="1"/>
  <c r="S72" i="1"/>
  <c r="T72" i="1" s="1"/>
  <c r="O73" i="1"/>
  <c r="S73" i="1"/>
  <c r="T73" i="1" s="1"/>
  <c r="O75" i="1"/>
  <c r="S75" i="1"/>
  <c r="T75" i="1" s="1"/>
  <c r="O78" i="1"/>
  <c r="S78" i="1"/>
  <c r="T78" i="1" s="1"/>
  <c r="O79" i="1"/>
  <c r="S79" i="1"/>
  <c r="T79" i="1" s="1"/>
  <c r="S80" i="1"/>
  <c r="T80" i="1" s="1"/>
  <c r="O83" i="1"/>
  <c r="S83" i="1"/>
  <c r="T83" i="1" s="1"/>
  <c r="O86" i="1"/>
  <c r="S86" i="1"/>
  <c r="T86" i="1" s="1"/>
  <c r="O87" i="1"/>
  <c r="S87" i="1"/>
  <c r="T87" i="1" s="1"/>
  <c r="O89" i="1"/>
  <c r="S89" i="1"/>
  <c r="T89" i="1" s="1"/>
  <c r="O91" i="1"/>
  <c r="S91" i="1"/>
  <c r="T91" i="1" s="1"/>
  <c r="S93" i="1"/>
  <c r="T93" i="1" s="1"/>
  <c r="O94" i="1"/>
  <c r="S94" i="1"/>
  <c r="T94" i="1" s="1"/>
  <c r="O95" i="1"/>
  <c r="S95" i="1"/>
  <c r="T95" i="1" s="1"/>
  <c r="S98" i="1"/>
  <c r="T98" i="1" s="1"/>
  <c r="O99" i="1"/>
  <c r="S99" i="1"/>
  <c r="T99" i="1" s="1"/>
  <c r="O102" i="1"/>
  <c r="S102" i="1"/>
  <c r="T102" i="1" s="1"/>
  <c r="O103" i="1"/>
  <c r="S103" i="1"/>
  <c r="T103" i="1" s="1"/>
  <c r="S104" i="1"/>
  <c r="T104" i="1" s="1"/>
  <c r="O105" i="1"/>
  <c r="S105" i="1"/>
  <c r="T105" i="1" s="1"/>
  <c r="O107" i="1"/>
  <c r="S107" i="1"/>
  <c r="T107" i="1" s="1"/>
  <c r="O110" i="1"/>
  <c r="O111" i="1"/>
  <c r="S111" i="1"/>
  <c r="T111" i="1" s="1"/>
  <c r="O113" i="1"/>
  <c r="O114" i="1"/>
  <c r="E116" i="1"/>
  <c r="O116" i="1"/>
  <c r="S117" i="1"/>
  <c r="E120" i="1"/>
  <c r="O120" i="1"/>
  <c r="P120" i="1" s="1"/>
  <c r="S121" i="1"/>
  <c r="M122" i="1"/>
  <c r="E124" i="1"/>
  <c r="O124" i="1"/>
  <c r="S125" i="1"/>
  <c r="E128" i="1"/>
  <c r="O128" i="1"/>
  <c r="S129" i="1"/>
  <c r="E132" i="1"/>
  <c r="O132" i="1"/>
  <c r="S133" i="1"/>
  <c r="M134" i="1"/>
  <c r="E136" i="1"/>
  <c r="O136" i="1"/>
  <c r="S137" i="1"/>
  <c r="T137" i="1" s="1"/>
  <c r="E140" i="1"/>
  <c r="O140" i="1"/>
  <c r="S141" i="1"/>
  <c r="E144" i="1"/>
  <c r="O144" i="1"/>
  <c r="S145" i="1"/>
  <c r="M146" i="1"/>
  <c r="E148" i="1"/>
  <c r="O148" i="1"/>
  <c r="S149" i="1"/>
  <c r="E152" i="1"/>
  <c r="O152" i="1"/>
  <c r="S153" i="1"/>
  <c r="M154" i="1"/>
  <c r="E156" i="1"/>
  <c r="O156" i="1"/>
  <c r="S157" i="1"/>
  <c r="M158" i="1"/>
  <c r="E160" i="1"/>
  <c r="O160" i="1"/>
  <c r="S161" i="1"/>
  <c r="M162" i="1"/>
  <c r="E164" i="1"/>
  <c r="O164" i="1"/>
  <c r="P164" i="1" s="1"/>
  <c r="S165" i="1"/>
  <c r="M166" i="1"/>
  <c r="E168" i="1"/>
  <c r="O168" i="1"/>
  <c r="P168" i="1" s="1"/>
  <c r="S169" i="1"/>
  <c r="M170" i="1"/>
  <c r="E172" i="1"/>
  <c r="O172" i="1"/>
  <c r="S173" i="1"/>
  <c r="M174" i="1"/>
  <c r="E176" i="1"/>
  <c r="O176" i="1"/>
  <c r="S177" i="1"/>
  <c r="M178" i="1"/>
  <c r="E180" i="1"/>
  <c r="O180" i="1"/>
  <c r="P180" i="1" s="1"/>
  <c r="S181" i="1"/>
  <c r="M182" i="1"/>
  <c r="E184" i="1"/>
  <c r="O184" i="1"/>
  <c r="S185" i="1"/>
  <c r="M186" i="1"/>
  <c r="E188" i="1"/>
  <c r="O188" i="1"/>
  <c r="S189" i="1"/>
  <c r="M190" i="1"/>
  <c r="E192" i="1"/>
  <c r="O192" i="1"/>
  <c r="S193" i="1"/>
  <c r="L198" i="1"/>
  <c r="M204" i="1"/>
  <c r="E207" i="1"/>
  <c r="L207" i="1"/>
  <c r="L209" i="1"/>
  <c r="E212" i="1"/>
  <c r="L212" i="1"/>
  <c r="E216" i="1"/>
  <c r="L216" i="1"/>
  <c r="Q221" i="1"/>
  <c r="M221" i="1"/>
  <c r="S221" i="1"/>
  <c r="M228" i="1"/>
  <c r="Q230" i="1"/>
  <c r="M230" i="1"/>
  <c r="S230" i="1"/>
  <c r="O244" i="1"/>
  <c r="Q246" i="1"/>
  <c r="M246" i="1"/>
  <c r="S246" i="1"/>
  <c r="Q253" i="1"/>
  <c r="M253" i="1"/>
  <c r="S253" i="1"/>
  <c r="Q116" i="1"/>
  <c r="E117" i="1"/>
  <c r="O117" i="1"/>
  <c r="P117" i="1" s="1"/>
  <c r="Q120" i="1"/>
  <c r="E121" i="1"/>
  <c r="O121" i="1"/>
  <c r="P121" i="1" s="1"/>
  <c r="Q124" i="1"/>
  <c r="E125" i="1"/>
  <c r="O125" i="1"/>
  <c r="P125" i="1" s="1"/>
  <c r="E129" i="1"/>
  <c r="Q132" i="1"/>
  <c r="E133" i="1"/>
  <c r="O133" i="1"/>
  <c r="P133" i="1" s="1"/>
  <c r="E137" i="1"/>
  <c r="O137" i="1"/>
  <c r="E141" i="1"/>
  <c r="Q144" i="1"/>
  <c r="E145" i="1"/>
  <c r="O145" i="1"/>
  <c r="P145" i="1" s="1"/>
  <c r="E149" i="1"/>
  <c r="Q152" i="1"/>
  <c r="E153" i="1"/>
  <c r="O153" i="1"/>
  <c r="P153" i="1" s="1"/>
  <c r="Q156" i="1"/>
  <c r="E157" i="1"/>
  <c r="O157" i="1"/>
  <c r="P157" i="1" s="1"/>
  <c r="Q160" i="1"/>
  <c r="E161" i="1"/>
  <c r="O161" i="1"/>
  <c r="P161" i="1" s="1"/>
  <c r="Q164" i="1"/>
  <c r="E165" i="1"/>
  <c r="O165" i="1"/>
  <c r="P165" i="1" s="1"/>
  <c r="Q168" i="1"/>
  <c r="E169" i="1"/>
  <c r="O169" i="1"/>
  <c r="P169" i="1" s="1"/>
  <c r="Q172" i="1"/>
  <c r="E173" i="1"/>
  <c r="O173" i="1"/>
  <c r="P173" i="1" s="1"/>
  <c r="Q176" i="1"/>
  <c r="E177" i="1"/>
  <c r="O177" i="1"/>
  <c r="P177" i="1" s="1"/>
  <c r="Q180" i="1"/>
  <c r="E181" i="1"/>
  <c r="O181" i="1"/>
  <c r="P181" i="1" s="1"/>
  <c r="Q184" i="1"/>
  <c r="E185" i="1"/>
  <c r="O185" i="1"/>
  <c r="P185" i="1" s="1"/>
  <c r="Q188" i="1"/>
  <c r="E189" i="1"/>
  <c r="O189" i="1"/>
  <c r="P189" i="1" s="1"/>
  <c r="Q192" i="1"/>
  <c r="E193" i="1"/>
  <c r="O193" i="1"/>
  <c r="P193" i="1" s="1"/>
  <c r="E195" i="1"/>
  <c r="L195" i="1"/>
  <c r="Q218" i="1"/>
  <c r="M218" i="1"/>
  <c r="S218" i="1"/>
  <c r="Q225" i="1"/>
  <c r="M225" i="1"/>
  <c r="S225" i="1"/>
  <c r="Q232" i="1"/>
  <c r="M232" i="1"/>
  <c r="S232" i="1"/>
  <c r="O232" i="1"/>
  <c r="Q234" i="1"/>
  <c r="M234" i="1"/>
  <c r="S234" i="1"/>
  <c r="Q241" i="1"/>
  <c r="M241" i="1"/>
  <c r="S241" i="1"/>
  <c r="Q248" i="1"/>
  <c r="M248" i="1"/>
  <c r="S248" i="1"/>
  <c r="O248" i="1"/>
  <c r="Q250" i="1"/>
  <c r="M250" i="1"/>
  <c r="S250" i="1"/>
  <c r="Q264" i="1"/>
  <c r="M264" i="1"/>
  <c r="S264" i="1"/>
  <c r="O264" i="1"/>
  <c r="Q266" i="1"/>
  <c r="M266" i="1"/>
  <c r="S266" i="1"/>
  <c r="M20" i="1"/>
  <c r="M21" i="1"/>
  <c r="M23" i="1"/>
  <c r="M24" i="1"/>
  <c r="M25" i="1"/>
  <c r="M27" i="1"/>
  <c r="M28" i="1"/>
  <c r="M29" i="1"/>
  <c r="M31" i="1"/>
  <c r="M32" i="1"/>
  <c r="M33" i="1"/>
  <c r="M35" i="1"/>
  <c r="M36" i="1"/>
  <c r="M37" i="1"/>
  <c r="M39" i="1"/>
  <c r="M40" i="1"/>
  <c r="M41" i="1"/>
  <c r="M43" i="1"/>
  <c r="M46" i="1"/>
  <c r="M47" i="1"/>
  <c r="M51" i="1"/>
  <c r="M54" i="1"/>
  <c r="M55" i="1"/>
  <c r="M57" i="1"/>
  <c r="M59" i="1"/>
  <c r="M62" i="1"/>
  <c r="M63" i="1"/>
  <c r="M67" i="1"/>
  <c r="M70" i="1"/>
  <c r="M71" i="1"/>
  <c r="M72" i="1"/>
  <c r="M73" i="1"/>
  <c r="M75" i="1"/>
  <c r="M78" i="1"/>
  <c r="M79" i="1"/>
  <c r="M80" i="1"/>
  <c r="M83" i="1"/>
  <c r="M86" i="1"/>
  <c r="M87" i="1"/>
  <c r="M89" i="1"/>
  <c r="M91" i="1"/>
  <c r="M93" i="1"/>
  <c r="M94" i="1"/>
  <c r="M95" i="1"/>
  <c r="M98" i="1"/>
  <c r="M99" i="1"/>
  <c r="M102" i="1"/>
  <c r="M103" i="1"/>
  <c r="M105" i="1"/>
  <c r="M107" i="1"/>
  <c r="M116" i="1"/>
  <c r="Q125" i="1"/>
  <c r="Q145" i="1"/>
  <c r="Q161" i="1"/>
  <c r="Q165" i="1"/>
  <c r="Q177" i="1"/>
  <c r="Q185" i="1"/>
  <c r="Q189" i="1"/>
  <c r="Q193" i="1"/>
  <c r="E199" i="1"/>
  <c r="L199" i="1"/>
  <c r="E210" i="1"/>
  <c r="L210" i="1"/>
  <c r="E214" i="1"/>
  <c r="L214" i="1"/>
  <c r="S220" i="1"/>
  <c r="S238" i="1"/>
  <c r="Q245" i="1"/>
  <c r="M245" i="1"/>
  <c r="S245" i="1"/>
  <c r="M261" i="1"/>
  <c r="S273" i="1"/>
  <c r="N168" i="1"/>
  <c r="N180" i="1"/>
  <c r="L194" i="1"/>
  <c r="M201" i="1"/>
  <c r="E203" i="1"/>
  <c r="L203" i="1"/>
  <c r="L205" i="1"/>
  <c r="Q217" i="1"/>
  <c r="M217" i="1"/>
  <c r="S217" i="1"/>
  <c r="Q224" i="1"/>
  <c r="M224" i="1"/>
  <c r="S224" i="1"/>
  <c r="O224" i="1"/>
  <c r="Q233" i="1"/>
  <c r="M233" i="1"/>
  <c r="S233" i="1"/>
  <c r="Q240" i="1"/>
  <c r="M240" i="1"/>
  <c r="S240" i="1"/>
  <c r="O240" i="1"/>
  <c r="S242" i="1"/>
  <c r="O245" i="1"/>
  <c r="Q256" i="1"/>
  <c r="M256" i="1"/>
  <c r="S256" i="1"/>
  <c r="O256" i="1"/>
  <c r="Q265" i="1"/>
  <c r="M265" i="1"/>
  <c r="S265" i="1"/>
  <c r="Q269" i="1"/>
  <c r="M269" i="1"/>
  <c r="S269" i="1"/>
  <c r="Q276" i="1"/>
  <c r="M276" i="1"/>
  <c r="S276" i="1"/>
  <c r="O276" i="1"/>
  <c r="E211" i="1"/>
  <c r="L211" i="1"/>
  <c r="E213" i="1"/>
  <c r="L213" i="1"/>
  <c r="E215" i="1"/>
  <c r="L215" i="1"/>
  <c r="Q223" i="1"/>
  <c r="Q227" i="1"/>
  <c r="M227" i="1"/>
  <c r="S227" i="1"/>
  <c r="Q235" i="1"/>
  <c r="M235" i="1"/>
  <c r="S235" i="1"/>
  <c r="M239" i="1"/>
  <c r="S255" i="1"/>
  <c r="Q259" i="1"/>
  <c r="M259" i="1"/>
  <c r="S259" i="1"/>
  <c r="Q267" i="1"/>
  <c r="M267" i="1"/>
  <c r="S267" i="1"/>
  <c r="M271" i="1"/>
  <c r="S275" i="1"/>
  <c r="Q279" i="1"/>
  <c r="M279" i="1"/>
  <c r="S279" i="1"/>
  <c r="Q270" i="1"/>
  <c r="M270" i="1"/>
  <c r="S270" i="1"/>
  <c r="Q278" i="1"/>
  <c r="M278" i="1"/>
  <c r="S278" i="1"/>
  <c r="S282" i="1"/>
  <c r="O282" i="1"/>
  <c r="Q282" i="1"/>
  <c r="M282" i="1"/>
  <c r="S284" i="1"/>
  <c r="O284" i="1"/>
  <c r="Q284" i="1"/>
  <c r="M284" i="1"/>
  <c r="S286" i="1"/>
  <c r="O286" i="1"/>
  <c r="Q286" i="1"/>
  <c r="M286" i="1"/>
  <c r="S288" i="1"/>
  <c r="O288" i="1"/>
  <c r="Q288" i="1"/>
  <c r="M288" i="1"/>
  <c r="S290" i="1"/>
  <c r="O290" i="1"/>
  <c r="Q290" i="1"/>
  <c r="M290" i="1"/>
  <c r="S292" i="1"/>
  <c r="O292" i="1"/>
  <c r="Q292" i="1"/>
  <c r="M292" i="1"/>
  <c r="S294" i="1"/>
  <c r="O294" i="1"/>
  <c r="Q294" i="1"/>
  <c r="M294" i="1"/>
  <c r="S296" i="1"/>
  <c r="O296" i="1"/>
  <c r="Q296" i="1"/>
  <c r="M296" i="1"/>
  <c r="S298" i="1"/>
  <c r="O298" i="1"/>
  <c r="Q298" i="1"/>
  <c r="M298" i="1"/>
  <c r="S300" i="1"/>
  <c r="O300" i="1"/>
  <c r="Q300" i="1"/>
  <c r="M300" i="1"/>
  <c r="S302" i="1"/>
  <c r="O302" i="1"/>
  <c r="Q302" i="1"/>
  <c r="M302" i="1"/>
  <c r="S304" i="1"/>
  <c r="O304" i="1"/>
  <c r="Q304" i="1"/>
  <c r="M304" i="1"/>
  <c r="S306" i="1"/>
  <c r="O306" i="1"/>
  <c r="Q306" i="1"/>
  <c r="M306" i="1"/>
  <c r="S308" i="1"/>
  <c r="O308" i="1"/>
  <c r="Q308" i="1"/>
  <c r="M308" i="1"/>
  <c r="Q277" i="1"/>
  <c r="M277" i="1"/>
  <c r="S277" i="1"/>
  <c r="Q280" i="1"/>
  <c r="S280" i="1"/>
  <c r="S283" i="1"/>
  <c r="O283" i="1"/>
  <c r="Q283" i="1"/>
  <c r="M283" i="1"/>
  <c r="S285" i="1"/>
  <c r="O285" i="1"/>
  <c r="Q285" i="1"/>
  <c r="M285" i="1"/>
  <c r="S287" i="1"/>
  <c r="O287" i="1"/>
  <c r="Q287" i="1"/>
  <c r="M287" i="1"/>
  <c r="S289" i="1"/>
  <c r="O289" i="1"/>
  <c r="Q289" i="1"/>
  <c r="M289" i="1"/>
  <c r="S291" i="1"/>
  <c r="O291" i="1"/>
  <c r="Q291" i="1"/>
  <c r="M291" i="1"/>
  <c r="S293" i="1"/>
  <c r="O293" i="1"/>
  <c r="Q293" i="1"/>
  <c r="M293" i="1"/>
  <c r="S295" i="1"/>
  <c r="O295" i="1"/>
  <c r="Q295" i="1"/>
  <c r="M295" i="1"/>
  <c r="O297" i="1"/>
  <c r="M297" i="1"/>
  <c r="S299" i="1"/>
  <c r="O299" i="1"/>
  <c r="Q299" i="1"/>
  <c r="M299" i="1"/>
  <c r="S301" i="1"/>
  <c r="O301" i="1"/>
  <c r="Q301" i="1"/>
  <c r="M301" i="1"/>
  <c r="S303" i="1"/>
  <c r="O303" i="1"/>
  <c r="Q303" i="1"/>
  <c r="M303" i="1"/>
  <c r="S305" i="1"/>
  <c r="O305" i="1"/>
  <c r="Q305" i="1"/>
  <c r="M305" i="1"/>
  <c r="S307" i="1"/>
  <c r="O307" i="1"/>
  <c r="Q307" i="1"/>
  <c r="M307" i="1"/>
  <c r="S309" i="1"/>
  <c r="O309" i="1"/>
  <c r="Q309" i="1"/>
  <c r="M309" i="1"/>
  <c r="S320" i="1"/>
  <c r="M328" i="1"/>
  <c r="S328" i="1"/>
  <c r="Q336" i="1"/>
  <c r="M336" i="1"/>
  <c r="O336" i="1"/>
  <c r="S336" i="1"/>
  <c r="Q344" i="1"/>
  <c r="M344" i="1"/>
  <c r="O344" i="1"/>
  <c r="S344" i="1"/>
  <c r="Q352" i="1"/>
  <c r="M352" i="1"/>
  <c r="O352" i="1"/>
  <c r="S352" i="1"/>
  <c r="E370" i="1"/>
  <c r="L370" i="1"/>
  <c r="S371" i="1"/>
  <c r="O371" i="1"/>
  <c r="E378" i="1"/>
  <c r="L378" i="1"/>
  <c r="Q379" i="1"/>
  <c r="S379" i="1"/>
  <c r="S310" i="1"/>
  <c r="O310" i="1"/>
  <c r="Q310" i="1"/>
  <c r="M310" i="1"/>
  <c r="S311" i="1"/>
  <c r="O311" i="1"/>
  <c r="Q311" i="1"/>
  <c r="M311" i="1"/>
  <c r="S312" i="1"/>
  <c r="O312" i="1"/>
  <c r="Q312" i="1"/>
  <c r="M312" i="1"/>
  <c r="S313" i="1"/>
  <c r="O313" i="1"/>
  <c r="Q313" i="1"/>
  <c r="M313" i="1"/>
  <c r="Q326" i="1"/>
  <c r="M326" i="1"/>
  <c r="O326" i="1"/>
  <c r="S326" i="1"/>
  <c r="M334" i="1"/>
  <c r="Q342" i="1"/>
  <c r="M342" i="1"/>
  <c r="O342" i="1"/>
  <c r="S342" i="1"/>
  <c r="Q350" i="1"/>
  <c r="M350" i="1"/>
  <c r="O350" i="1"/>
  <c r="S350" i="1"/>
  <c r="O358" i="1"/>
  <c r="Q316" i="1"/>
  <c r="M316" i="1"/>
  <c r="O316" i="1"/>
  <c r="S316" i="1"/>
  <c r="Q324" i="1"/>
  <c r="M324" i="1"/>
  <c r="O324" i="1"/>
  <c r="S324" i="1"/>
  <c r="Q332" i="1"/>
  <c r="M332" i="1"/>
  <c r="O332" i="1"/>
  <c r="S332" i="1"/>
  <c r="Q340" i="1"/>
  <c r="M340" i="1"/>
  <c r="O340" i="1"/>
  <c r="S340" i="1"/>
  <c r="Q348" i="1"/>
  <c r="S348" i="1"/>
  <c r="O364" i="1"/>
  <c r="E366" i="1"/>
  <c r="L366" i="1"/>
  <c r="Q367" i="1"/>
  <c r="M367" i="1"/>
  <c r="S367" i="1"/>
  <c r="O367" i="1"/>
  <c r="E374" i="1"/>
  <c r="L374" i="1"/>
  <c r="E382" i="1"/>
  <c r="L382" i="1"/>
  <c r="Q383" i="1"/>
  <c r="M383" i="1"/>
  <c r="Q314" i="1"/>
  <c r="M314" i="1"/>
  <c r="O314" i="1"/>
  <c r="S314" i="1"/>
  <c r="Q322" i="1"/>
  <c r="M322" i="1"/>
  <c r="O322" i="1"/>
  <c r="S322" i="1"/>
  <c r="Q330" i="1"/>
  <c r="M330" i="1"/>
  <c r="O330" i="1"/>
  <c r="S330" i="1"/>
  <c r="Q338" i="1"/>
  <c r="M338" i="1"/>
  <c r="Q346" i="1"/>
  <c r="O354" i="1"/>
  <c r="S354" i="1"/>
  <c r="Q362" i="1"/>
  <c r="M362" i="1"/>
  <c r="O362" i="1"/>
  <c r="S362" i="1"/>
  <c r="Q391" i="1"/>
  <c r="M391" i="1"/>
  <c r="M397" i="1"/>
  <c r="E398" i="1"/>
  <c r="L398" i="1"/>
  <c r="O413" i="1"/>
  <c r="S413" i="1"/>
  <c r="M413" i="1"/>
  <c r="E414" i="1"/>
  <c r="L414" i="1"/>
  <c r="R429" i="1"/>
  <c r="N434" i="1"/>
  <c r="E446" i="1"/>
  <c r="L446" i="1"/>
  <c r="E460" i="1"/>
  <c r="L460" i="1"/>
  <c r="L386" i="1"/>
  <c r="L390" i="1"/>
  <c r="O391" i="1"/>
  <c r="L394" i="1"/>
  <c r="Q408" i="1"/>
  <c r="L409" i="1"/>
  <c r="E410" i="1"/>
  <c r="L410" i="1"/>
  <c r="S412" i="1"/>
  <c r="M420" i="1"/>
  <c r="L425" i="1"/>
  <c r="E426" i="1"/>
  <c r="L426" i="1"/>
  <c r="S435" i="1"/>
  <c r="O435" i="1"/>
  <c r="Q435" i="1"/>
  <c r="M435" i="1"/>
  <c r="S443" i="1"/>
  <c r="O443" i="1"/>
  <c r="Q443" i="1"/>
  <c r="M443" i="1"/>
  <c r="Q447" i="1"/>
  <c r="M447" i="1"/>
  <c r="S447" i="1"/>
  <c r="O447" i="1"/>
  <c r="R454" i="1"/>
  <c r="Q315" i="1"/>
  <c r="M315" i="1"/>
  <c r="Q317" i="1"/>
  <c r="M317" i="1"/>
  <c r="Q321" i="1"/>
  <c r="Q323" i="1"/>
  <c r="M323" i="1"/>
  <c r="Q325" i="1"/>
  <c r="M325" i="1"/>
  <c r="Q327" i="1"/>
  <c r="M327" i="1"/>
  <c r="Q331" i="1"/>
  <c r="M331" i="1"/>
  <c r="Q333" i="1"/>
  <c r="M333" i="1"/>
  <c r="M335" i="1"/>
  <c r="Q337" i="1"/>
  <c r="M337" i="1"/>
  <c r="M341" i="1"/>
  <c r="Q343" i="1"/>
  <c r="M343" i="1"/>
  <c r="Q345" i="1"/>
  <c r="M345" i="1"/>
  <c r="Q347" i="1"/>
  <c r="M347" i="1"/>
  <c r="Q349" i="1"/>
  <c r="Q351" i="1"/>
  <c r="M351" i="1"/>
  <c r="Q353" i="1"/>
  <c r="M353" i="1"/>
  <c r="Q361" i="1"/>
  <c r="M361" i="1"/>
  <c r="Q363" i="1"/>
  <c r="Q365" i="1"/>
  <c r="M365" i="1"/>
  <c r="Q373" i="1"/>
  <c r="Q377" i="1"/>
  <c r="M377" i="1"/>
  <c r="Q381" i="1"/>
  <c r="Q385" i="1"/>
  <c r="M385" i="1"/>
  <c r="Q397" i="1"/>
  <c r="E406" i="1"/>
  <c r="L406" i="1"/>
  <c r="Q413" i="1"/>
  <c r="Q420" i="1"/>
  <c r="E422" i="1"/>
  <c r="L422" i="1"/>
  <c r="E430" i="1"/>
  <c r="L430" i="1"/>
  <c r="S315" i="1"/>
  <c r="S317" i="1"/>
  <c r="S323" i="1"/>
  <c r="S325" i="1"/>
  <c r="S327" i="1"/>
  <c r="S329" i="1"/>
  <c r="S331" i="1"/>
  <c r="S333" i="1"/>
  <c r="S337" i="1"/>
  <c r="S343" i="1"/>
  <c r="S345" i="1"/>
  <c r="S347" i="1"/>
  <c r="S349" i="1"/>
  <c r="S351" i="1"/>
  <c r="S353" i="1"/>
  <c r="S361" i="1"/>
  <c r="S363" i="1"/>
  <c r="O365" i="1"/>
  <c r="L368" i="1"/>
  <c r="L372" i="1"/>
  <c r="L376" i="1"/>
  <c r="O377" i="1"/>
  <c r="L380" i="1"/>
  <c r="L384" i="1"/>
  <c r="O385" i="1"/>
  <c r="S387" i="1"/>
  <c r="L388" i="1"/>
  <c r="S391" i="1"/>
  <c r="L392" i="1"/>
  <c r="L401" i="1"/>
  <c r="E402" i="1"/>
  <c r="L402" i="1"/>
  <c r="L417" i="1"/>
  <c r="E418" i="1"/>
  <c r="L418" i="1"/>
  <c r="S420" i="1"/>
  <c r="O429" i="1"/>
  <c r="S429" i="1"/>
  <c r="M429" i="1"/>
  <c r="E455" i="1"/>
  <c r="L455" i="1"/>
  <c r="E475" i="1"/>
  <c r="L475" i="1"/>
  <c r="E482" i="1"/>
  <c r="L482" i="1"/>
  <c r="E486" i="1"/>
  <c r="L486" i="1"/>
  <c r="E489" i="1"/>
  <c r="L489" i="1"/>
  <c r="L491" i="1"/>
  <c r="E491" i="1"/>
  <c r="Q445" i="1"/>
  <c r="M445" i="1"/>
  <c r="O445" i="1"/>
  <c r="E448" i="1"/>
  <c r="O451" i="1"/>
  <c r="Q451" i="1"/>
  <c r="E452" i="1"/>
  <c r="L452" i="1"/>
  <c r="L495" i="1"/>
  <c r="E495" i="1"/>
  <c r="S431" i="1"/>
  <c r="O431" i="1"/>
  <c r="Q448" i="1"/>
  <c r="M448" i="1"/>
  <c r="S448" i="1"/>
  <c r="S470" i="1"/>
  <c r="O474" i="1"/>
  <c r="E484" i="1"/>
  <c r="L484" i="1"/>
  <c r="S441" i="1"/>
  <c r="O441" i="1"/>
  <c r="Q450" i="1"/>
  <c r="M450" i="1"/>
  <c r="O454" i="1"/>
  <c r="M454" i="1"/>
  <c r="S434" i="1"/>
  <c r="O434" i="1"/>
  <c r="P434" i="1" s="1"/>
  <c r="Q434" i="1"/>
  <c r="S436" i="1"/>
  <c r="S438" i="1"/>
  <c r="O438" i="1"/>
  <c r="P438" i="1" s="1"/>
  <c r="Q438" i="1"/>
  <c r="S440" i="1"/>
  <c r="O440" i="1"/>
  <c r="P440" i="1" s="1"/>
  <c r="Q440" i="1"/>
  <c r="S444" i="1"/>
  <c r="O444" i="1"/>
  <c r="P444" i="1" s="1"/>
  <c r="Q444" i="1"/>
  <c r="Q449" i="1"/>
  <c r="M449" i="1"/>
  <c r="E453" i="1"/>
  <c r="L453" i="1"/>
  <c r="E463" i="1"/>
  <c r="L463" i="1"/>
  <c r="Q479" i="1"/>
  <c r="M479" i="1"/>
  <c r="S479" i="1"/>
  <c r="O479" i="1"/>
  <c r="M483" i="1"/>
  <c r="E488" i="1"/>
  <c r="L488" i="1"/>
  <c r="E457" i="1"/>
  <c r="L457" i="1"/>
  <c r="O459" i="1"/>
  <c r="M459" i="1"/>
  <c r="E468" i="1"/>
  <c r="L468" i="1"/>
  <c r="E469" i="1"/>
  <c r="L469" i="1"/>
  <c r="R509" i="1"/>
  <c r="E473" i="1"/>
  <c r="L473" i="1"/>
  <c r="E461" i="1"/>
  <c r="L461" i="1"/>
  <c r="Q467" i="1"/>
  <c r="E477" i="1"/>
  <c r="L477" i="1"/>
  <c r="E480" i="1"/>
  <c r="L480" i="1"/>
  <c r="E465" i="1"/>
  <c r="L465" i="1"/>
  <c r="S467" i="1"/>
  <c r="M472" i="1"/>
  <c r="Q485" i="1"/>
  <c r="M485" i="1"/>
  <c r="O485" i="1"/>
  <c r="Q487" i="1"/>
  <c r="M487" i="1"/>
  <c r="S487" i="1"/>
  <c r="L490" i="1"/>
  <c r="E490" i="1"/>
  <c r="N493" i="1"/>
  <c r="L498" i="1"/>
  <c r="E498" i="1"/>
  <c r="R500" i="1"/>
  <c r="L502" i="1"/>
  <c r="E502" i="1"/>
  <c r="R499" i="1"/>
  <c r="R508" i="1"/>
  <c r="L494" i="1"/>
  <c r="E494" i="1"/>
  <c r="E499" i="1"/>
  <c r="S503" i="1"/>
  <c r="T503" i="1" s="1"/>
  <c r="O503" i="1"/>
  <c r="M503" i="1"/>
  <c r="L504" i="1"/>
  <c r="E504" i="1"/>
  <c r="L515" i="1"/>
  <c r="E515" i="1"/>
  <c r="S499" i="1"/>
  <c r="T499" i="1" s="1"/>
  <c r="M499" i="1"/>
  <c r="N511" i="1"/>
  <c r="L514" i="1"/>
  <c r="E514" i="1"/>
  <c r="S520" i="1"/>
  <c r="T525" i="1"/>
  <c r="R525" i="1"/>
  <c r="S508" i="1"/>
  <c r="T508" i="1" s="1"/>
  <c r="R512" i="1"/>
  <c r="L518" i="1"/>
  <c r="E518" i="1"/>
  <c r="N520" i="1"/>
  <c r="S524" i="1"/>
  <c r="E493" i="1"/>
  <c r="O493" i="1"/>
  <c r="P493" i="1" s="1"/>
  <c r="E497" i="1"/>
  <c r="O497" i="1"/>
  <c r="E501" i="1"/>
  <c r="O501" i="1"/>
  <c r="P501" i="1" s="1"/>
  <c r="L506" i="1"/>
  <c r="E506" i="1"/>
  <c r="N508" i="1"/>
  <c r="E511" i="1"/>
  <c r="Q511" i="1"/>
  <c r="S512" i="1"/>
  <c r="T512" i="1" s="1"/>
  <c r="E516" i="1"/>
  <c r="Q516" i="1"/>
  <c r="R517" i="1"/>
  <c r="O520" i="1"/>
  <c r="P520" i="1" s="1"/>
  <c r="L522" i="1"/>
  <c r="E522" i="1"/>
  <c r="N524" i="1"/>
  <c r="R526" i="1"/>
  <c r="P500" i="1"/>
  <c r="O508" i="1"/>
  <c r="P508" i="1" s="1"/>
  <c r="L510" i="1"/>
  <c r="E510" i="1"/>
  <c r="S516" i="1"/>
  <c r="E520" i="1"/>
  <c r="Q520" i="1"/>
  <c r="T521" i="1"/>
  <c r="R521" i="1"/>
  <c r="N523" i="1"/>
  <c r="L528" i="1"/>
  <c r="E528" i="1"/>
  <c r="E526" i="1"/>
  <c r="O526" i="1"/>
  <c r="S527" i="1"/>
  <c r="T527" i="1" s="1"/>
  <c r="Q529" i="1"/>
  <c r="E527" i="1"/>
  <c r="O527" i="1"/>
  <c r="M529" i="1"/>
  <c r="S530" i="1"/>
  <c r="O530" i="1"/>
  <c r="Q530" i="1"/>
  <c r="M530" i="1"/>
  <c r="T429" i="1" l="1"/>
  <c r="P395" i="1"/>
  <c r="P4" i="1"/>
  <c r="P526" i="1"/>
  <c r="M359" i="1"/>
  <c r="Q274" i="1"/>
  <c r="R274" i="1" s="1"/>
  <c r="S263" i="1"/>
  <c r="S464" i="1"/>
  <c r="T464" i="1" s="1"/>
  <c r="S481" i="1"/>
  <c r="Q458" i="1"/>
  <c r="R458" i="1" s="1"/>
  <c r="M219" i="1"/>
  <c r="S272" i="1"/>
  <c r="O92" i="1"/>
  <c r="O369" i="1"/>
  <c r="O356" i="1"/>
  <c r="M249" i="1"/>
  <c r="P249" i="1" s="1"/>
  <c r="M108" i="1"/>
  <c r="N108" i="1" s="1"/>
  <c r="M52" i="1"/>
  <c r="N52" i="1" s="1"/>
  <c r="M44" i="1"/>
  <c r="P148" i="1"/>
  <c r="P516" i="1"/>
  <c r="M481" i="1"/>
  <c r="N481" i="1" s="1"/>
  <c r="Q359" i="1"/>
  <c r="M251" i="1"/>
  <c r="P251" i="1" s="1"/>
  <c r="O60" i="1"/>
  <c r="Q432" i="1"/>
  <c r="S359" i="1"/>
  <c r="O405" i="1"/>
  <c r="P405" i="1" s="1"/>
  <c r="M369" i="1"/>
  <c r="N369" i="1" s="1"/>
  <c r="M357" i="1"/>
  <c r="N357" i="1" s="1"/>
  <c r="M319" i="1"/>
  <c r="Q356" i="1"/>
  <c r="T356" i="1" s="1"/>
  <c r="S247" i="1"/>
  <c r="Q268" i="1"/>
  <c r="R268" i="1" s="1"/>
  <c r="M405" i="1"/>
  <c r="S200" i="1"/>
  <c r="M69" i="1"/>
  <c r="O464" i="1"/>
  <c r="O442" i="1"/>
  <c r="P442" i="1" s="1"/>
  <c r="S432" i="1"/>
  <c r="S357" i="1"/>
  <c r="S458" i="1"/>
  <c r="M355" i="1"/>
  <c r="M243" i="1"/>
  <c r="N243" i="1" s="1"/>
  <c r="M84" i="1"/>
  <c r="M263" i="1"/>
  <c r="P263" i="1" s="1"/>
  <c r="O85" i="1"/>
  <c r="O53" i="1"/>
  <c r="P53" i="1" s="1"/>
  <c r="T115" i="1"/>
  <c r="Q263" i="1"/>
  <c r="T263" i="1" s="1"/>
  <c r="O101" i="1"/>
  <c r="O90" i="1"/>
  <c r="P90" i="1" s="1"/>
  <c r="O69" i="1"/>
  <c r="O58" i="1"/>
  <c r="P509" i="1"/>
  <c r="P159" i="1"/>
  <c r="R523" i="1"/>
  <c r="N509" i="1"/>
  <c r="M464" i="1"/>
  <c r="Q481" i="1"/>
  <c r="T481" i="1" s="1"/>
  <c r="S442" i="1"/>
  <c r="O432" i="1"/>
  <c r="P432" i="1" s="1"/>
  <c r="O437" i="1"/>
  <c r="S319" i="1"/>
  <c r="O458" i="1"/>
  <c r="P458" i="1" s="1"/>
  <c r="S405" i="1"/>
  <c r="T405" i="1" s="1"/>
  <c r="Q341" i="1"/>
  <c r="Q319" i="1"/>
  <c r="R319" i="1" s="1"/>
  <c r="M356" i="1"/>
  <c r="N356" i="1" s="1"/>
  <c r="Q251" i="1"/>
  <c r="Q243" i="1"/>
  <c r="Q219" i="1"/>
  <c r="T219" i="1" s="1"/>
  <c r="Q249" i="1"/>
  <c r="R249" i="1" s="1"/>
  <c r="O268" i="1"/>
  <c r="P268" i="1" s="1"/>
  <c r="M92" i="1"/>
  <c r="M76" i="1"/>
  <c r="P76" i="1" s="1"/>
  <c r="M68" i="1"/>
  <c r="N68" i="1" s="1"/>
  <c r="M60" i="1"/>
  <c r="N60" i="1" s="1"/>
  <c r="M272" i="1"/>
  <c r="Q200" i="1"/>
  <c r="R200" i="1" s="1"/>
  <c r="Q237" i="1"/>
  <c r="R237" i="1" s="1"/>
  <c r="O200" i="1"/>
  <c r="P200" i="1" s="1"/>
  <c r="P184" i="1"/>
  <c r="P152" i="1"/>
  <c r="S100" i="1"/>
  <c r="T100" i="1" s="1"/>
  <c r="S84" i="1"/>
  <c r="T84" i="1" s="1"/>
  <c r="S68" i="1"/>
  <c r="T68" i="1" s="1"/>
  <c r="S52" i="1"/>
  <c r="T52" i="1" s="1"/>
  <c r="T10" i="1"/>
  <c r="S231" i="1"/>
  <c r="Q258" i="1"/>
  <c r="S268" i="1"/>
  <c r="Q254" i="1"/>
  <c r="M106" i="1"/>
  <c r="N106" i="1" s="1"/>
  <c r="M101" i="1"/>
  <c r="Q272" i="1"/>
  <c r="R272" i="1" s="1"/>
  <c r="S197" i="1"/>
  <c r="P132" i="1"/>
  <c r="S108" i="1"/>
  <c r="T108" i="1" s="1"/>
  <c r="S106" i="1"/>
  <c r="T106" i="1" s="1"/>
  <c r="O100" i="1"/>
  <c r="O84" i="1"/>
  <c r="S76" i="1"/>
  <c r="T76" i="1" s="1"/>
  <c r="S74" i="1"/>
  <c r="T74" i="1" s="1"/>
  <c r="O68" i="1"/>
  <c r="O52" i="1"/>
  <c r="S44" i="1"/>
  <c r="T44" i="1" s="1"/>
  <c r="S419" i="1"/>
  <c r="T419" i="1" s="1"/>
  <c r="T187" i="1"/>
  <c r="Q16" i="1"/>
  <c r="R16" i="1" s="1"/>
  <c r="M16" i="1"/>
  <c r="N16" i="1" s="1"/>
  <c r="P523" i="1"/>
  <c r="P497" i="1"/>
  <c r="Q442" i="1"/>
  <c r="R442" i="1" s="1"/>
  <c r="M474" i="1"/>
  <c r="S355" i="1"/>
  <c r="Q357" i="1"/>
  <c r="R357" i="1" s="1"/>
  <c r="S251" i="1"/>
  <c r="S243" i="1"/>
  <c r="S219" i="1"/>
  <c r="S249" i="1"/>
  <c r="M100" i="1"/>
  <c r="M90" i="1"/>
  <c r="M85" i="1"/>
  <c r="N85" i="1" s="1"/>
  <c r="M74" i="1"/>
  <c r="N74" i="1" s="1"/>
  <c r="M58" i="1"/>
  <c r="N58" i="1" s="1"/>
  <c r="M53" i="1"/>
  <c r="Q197" i="1"/>
  <c r="O108" i="1"/>
  <c r="O106" i="1"/>
  <c r="S101" i="1"/>
  <c r="T101" i="1" s="1"/>
  <c r="S92" i="1"/>
  <c r="T92" i="1" s="1"/>
  <c r="S90" i="1"/>
  <c r="T90" i="1" s="1"/>
  <c r="S85" i="1"/>
  <c r="T85" i="1" s="1"/>
  <c r="O76" i="1"/>
  <c r="O74" i="1"/>
  <c r="S69" i="1"/>
  <c r="T69" i="1" s="1"/>
  <c r="S60" i="1"/>
  <c r="T60" i="1" s="1"/>
  <c r="S58" i="1"/>
  <c r="T58" i="1" s="1"/>
  <c r="S53" i="1"/>
  <c r="T53" i="1" s="1"/>
  <c r="O44" i="1"/>
  <c r="O16" i="1"/>
  <c r="S476" i="1"/>
  <c r="Q483" i="1"/>
  <c r="T483" i="1" s="1"/>
  <c r="M329" i="1"/>
  <c r="N329" i="1" s="1"/>
  <c r="M387" i="1"/>
  <c r="N387" i="1" s="1"/>
  <c r="S346" i="1"/>
  <c r="M364" i="1"/>
  <c r="N364" i="1" s="1"/>
  <c r="Q334" i="1"/>
  <c r="M275" i="1"/>
  <c r="P275" i="1" s="1"/>
  <c r="Q271" i="1"/>
  <c r="Q239" i="1"/>
  <c r="R239" i="1" s="1"/>
  <c r="M242" i="1"/>
  <c r="N242" i="1" s="1"/>
  <c r="M273" i="1"/>
  <c r="N273" i="1" s="1"/>
  <c r="Q261" i="1"/>
  <c r="M220" i="1"/>
  <c r="P220" i="1" s="1"/>
  <c r="M109" i="1"/>
  <c r="N109" i="1" s="1"/>
  <c r="M96" i="1"/>
  <c r="N96" i="1" s="1"/>
  <c r="M88" i="1"/>
  <c r="M50" i="1"/>
  <c r="N50" i="1" s="1"/>
  <c r="M45" i="1"/>
  <c r="M260" i="1"/>
  <c r="N260" i="1" s="1"/>
  <c r="S244" i="1"/>
  <c r="O104" i="1"/>
  <c r="O98" i="1"/>
  <c r="P98" i="1" s="1"/>
  <c r="O93" i="1"/>
  <c r="P93" i="1" s="1"/>
  <c r="O80" i="1"/>
  <c r="O72" i="1"/>
  <c r="P72" i="1" s="1"/>
  <c r="O66" i="1"/>
  <c r="O61" i="1"/>
  <c r="O48" i="1"/>
  <c r="O12" i="1"/>
  <c r="Q114" i="1"/>
  <c r="R114" i="1" s="1"/>
  <c r="M433" i="1"/>
  <c r="N433" i="1" s="1"/>
  <c r="Q415" i="1"/>
  <c r="R415" i="1" s="1"/>
  <c r="M12" i="1"/>
  <c r="N12" i="1" s="1"/>
  <c r="O433" i="1"/>
  <c r="O470" i="1"/>
  <c r="P470" i="1" s="1"/>
  <c r="Q387" i="1"/>
  <c r="O346" i="1"/>
  <c r="P346" i="1" s="1"/>
  <c r="Q364" i="1"/>
  <c r="T364" i="1" s="1"/>
  <c r="S334" i="1"/>
  <c r="O318" i="1"/>
  <c r="Q275" i="1"/>
  <c r="R275" i="1" s="1"/>
  <c r="O261" i="1"/>
  <c r="P261" i="1" s="1"/>
  <c r="Q242" i="1"/>
  <c r="T242" i="1" s="1"/>
  <c r="Q273" i="1"/>
  <c r="Q220" i="1"/>
  <c r="R220" i="1" s="1"/>
  <c r="M104" i="1"/>
  <c r="M66" i="1"/>
  <c r="N66" i="1" s="1"/>
  <c r="M61" i="1"/>
  <c r="M48" i="1"/>
  <c r="P48" i="1" s="1"/>
  <c r="M244" i="1"/>
  <c r="P244" i="1" s="1"/>
  <c r="O112" i="1"/>
  <c r="P112" i="1" s="1"/>
  <c r="S109" i="1"/>
  <c r="T109" i="1" s="1"/>
  <c r="S96" i="1"/>
  <c r="T96" i="1" s="1"/>
  <c r="S88" i="1"/>
  <c r="T88" i="1" s="1"/>
  <c r="S82" i="1"/>
  <c r="T82" i="1" s="1"/>
  <c r="S77" i="1"/>
  <c r="T77" i="1" s="1"/>
  <c r="S64" i="1"/>
  <c r="T64" i="1" s="1"/>
  <c r="S56" i="1"/>
  <c r="T56" i="1" s="1"/>
  <c r="S50" i="1"/>
  <c r="T50" i="1" s="1"/>
  <c r="S45" i="1"/>
  <c r="T45" i="1" s="1"/>
  <c r="M114" i="1"/>
  <c r="P114" i="1" s="1"/>
  <c r="Q433" i="1"/>
  <c r="R433" i="1" s="1"/>
  <c r="M415" i="1"/>
  <c r="N415" i="1" s="1"/>
  <c r="M439" i="1"/>
  <c r="N439" i="1" s="1"/>
  <c r="Q470" i="1"/>
  <c r="T470" i="1" s="1"/>
  <c r="O439" i="1"/>
  <c r="O389" i="1"/>
  <c r="Q329" i="1"/>
  <c r="S483" i="1"/>
  <c r="S439" i="1"/>
  <c r="T439" i="1" s="1"/>
  <c r="M396" i="1"/>
  <c r="N396" i="1" s="1"/>
  <c r="Q389" i="1"/>
  <c r="Q318" i="1"/>
  <c r="T318" i="1" s="1"/>
  <c r="S271" i="1"/>
  <c r="S239" i="1"/>
  <c r="S201" i="1"/>
  <c r="M82" i="1"/>
  <c r="P82" i="1" s="1"/>
  <c r="M77" i="1"/>
  <c r="M64" i="1"/>
  <c r="N64" i="1" s="1"/>
  <c r="M56" i="1"/>
  <c r="Q201" i="1"/>
  <c r="R201" i="1" s="1"/>
  <c r="O109" i="1"/>
  <c r="O96" i="1"/>
  <c r="O88" i="1"/>
  <c r="O82" i="1"/>
  <c r="O77" i="1"/>
  <c r="O64" i="1"/>
  <c r="O56" i="1"/>
  <c r="O50" i="1"/>
  <c r="O45" i="1"/>
  <c r="O14" i="1"/>
  <c r="P14" i="1" s="1"/>
  <c r="Q112" i="1"/>
  <c r="Q14" i="1"/>
  <c r="R14" i="1" s="1"/>
  <c r="T162" i="1"/>
  <c r="T497" i="1"/>
  <c r="P123" i="1"/>
  <c r="P171" i="1"/>
  <c r="P115" i="1"/>
  <c r="P441" i="1"/>
  <c r="P478" i="1"/>
  <c r="S341" i="1"/>
  <c r="T341" i="1" s="1"/>
  <c r="Q369" i="1"/>
  <c r="R369" i="1" s="1"/>
  <c r="M339" i="1"/>
  <c r="M354" i="1"/>
  <c r="P354" i="1" s="1"/>
  <c r="S375" i="1"/>
  <c r="M371" i="1"/>
  <c r="N371" i="1" s="1"/>
  <c r="Q252" i="1"/>
  <c r="M42" i="1"/>
  <c r="S196" i="1"/>
  <c r="S262" i="1"/>
  <c r="S97" i="1"/>
  <c r="T97" i="1" s="1"/>
  <c r="S81" i="1"/>
  <c r="T81" i="1" s="1"/>
  <c r="S65" i="1"/>
  <c r="T65" i="1" s="1"/>
  <c r="S49" i="1"/>
  <c r="T49" i="1" s="1"/>
  <c r="O400" i="1"/>
  <c r="P400" i="1" s="1"/>
  <c r="O411" i="1"/>
  <c r="P139" i="1"/>
  <c r="T524" i="1"/>
  <c r="O436" i="1"/>
  <c r="P436" i="1" s="1"/>
  <c r="S339" i="1"/>
  <c r="M421" i="1"/>
  <c r="Q236" i="1"/>
  <c r="R236" i="1" s="1"/>
  <c r="M97" i="1"/>
  <c r="M81" i="1"/>
  <c r="M65" i="1"/>
  <c r="M49" i="1"/>
  <c r="N49" i="1" s="1"/>
  <c r="M257" i="1"/>
  <c r="M262" i="1"/>
  <c r="P262" i="1" s="1"/>
  <c r="O97" i="1"/>
  <c r="O81" i="1"/>
  <c r="O65" i="1"/>
  <c r="O49" i="1"/>
  <c r="P19" i="1"/>
  <c r="Q113" i="1"/>
  <c r="R113" i="1" s="1"/>
  <c r="T2" i="1"/>
  <c r="Q411" i="1"/>
  <c r="R411" i="1" s="1"/>
  <c r="O229" i="1"/>
  <c r="M206" i="1"/>
  <c r="N206" i="1" s="1"/>
  <c r="Q262" i="1"/>
  <c r="O34" i="1"/>
  <c r="M113" i="1"/>
  <c r="N113" i="1" s="1"/>
  <c r="P155" i="1"/>
  <c r="P127" i="1"/>
  <c r="T135" i="1"/>
  <c r="T174" i="1"/>
  <c r="R8" i="1"/>
  <c r="R162" i="1"/>
  <c r="T4" i="1"/>
  <c r="S451" i="1"/>
  <c r="M451" i="1"/>
  <c r="N451" i="1" s="1"/>
  <c r="Q474" i="1"/>
  <c r="Q355" i="1"/>
  <c r="R355" i="1" s="1"/>
  <c r="Q339" i="1"/>
  <c r="R339" i="1" s="1"/>
  <c r="Q335" i="1"/>
  <c r="S338" i="1"/>
  <c r="T338" i="1" s="1"/>
  <c r="O383" i="1"/>
  <c r="P383" i="1" s="1"/>
  <c r="O348" i="1"/>
  <c r="P348" i="1" s="1"/>
  <c r="M360" i="1"/>
  <c r="P360" i="1" s="1"/>
  <c r="S281" i="1"/>
  <c r="M231" i="1"/>
  <c r="N231" i="1" s="1"/>
  <c r="O254" i="1"/>
  <c r="P254" i="1" s="1"/>
  <c r="S226" i="1"/>
  <c r="O252" i="1"/>
  <c r="P252" i="1" s="1"/>
  <c r="O236" i="1"/>
  <c r="P236" i="1" s="1"/>
  <c r="S229" i="1"/>
  <c r="T229" i="1" s="1"/>
  <c r="Q257" i="1"/>
  <c r="R257" i="1" s="1"/>
  <c r="S42" i="1"/>
  <c r="T42" i="1" s="1"/>
  <c r="S26" i="1"/>
  <c r="T26" i="1" s="1"/>
  <c r="P511" i="1"/>
  <c r="T526" i="1"/>
  <c r="T478" i="1"/>
  <c r="M196" i="1"/>
  <c r="Q476" i="1"/>
  <c r="M476" i="1"/>
  <c r="P476" i="1" s="1"/>
  <c r="Q436" i="1"/>
  <c r="T436" i="1" s="1"/>
  <c r="S335" i="1"/>
  <c r="M349" i="1"/>
  <c r="N349" i="1" s="1"/>
  <c r="M281" i="1"/>
  <c r="P281" i="1" s="1"/>
  <c r="S274" i="1"/>
  <c r="Q231" i="1"/>
  <c r="R231" i="1" s="1"/>
  <c r="S223" i="1"/>
  <c r="T223" i="1" s="1"/>
  <c r="S258" i="1"/>
  <c r="T258" i="1" s="1"/>
  <c r="M226" i="1"/>
  <c r="N226" i="1" s="1"/>
  <c r="S254" i="1"/>
  <c r="S252" i="1"/>
  <c r="S236" i="1"/>
  <c r="M229" i="1"/>
  <c r="M26" i="1"/>
  <c r="N26" i="1" s="1"/>
  <c r="S237" i="1"/>
  <c r="P136" i="1"/>
  <c r="O42" i="1"/>
  <c r="O26" i="1"/>
  <c r="P10" i="1"/>
  <c r="T16" i="1"/>
  <c r="S400" i="1"/>
  <c r="P411" i="1"/>
  <c r="P521" i="1"/>
  <c r="O450" i="1"/>
  <c r="P450" i="1" s="1"/>
  <c r="T119" i="1"/>
  <c r="T151" i="1"/>
  <c r="Q281" i="1"/>
  <c r="M274" i="1"/>
  <c r="N274" i="1" s="1"/>
  <c r="M223" i="1"/>
  <c r="P223" i="1" s="1"/>
  <c r="M258" i="1"/>
  <c r="N258" i="1" s="1"/>
  <c r="Q226" i="1"/>
  <c r="R226" i="1" s="1"/>
  <c r="P197" i="1"/>
  <c r="M34" i="1"/>
  <c r="N34" i="1" s="1"/>
  <c r="S257" i="1"/>
  <c r="M237" i="1"/>
  <c r="N237" i="1" s="1"/>
  <c r="Q196" i="1"/>
  <c r="R196" i="1" s="1"/>
  <c r="S34" i="1"/>
  <c r="T34" i="1" s="1"/>
  <c r="Q400" i="1"/>
  <c r="R400" i="1" s="1"/>
  <c r="Q472" i="1"/>
  <c r="R472" i="1" s="1"/>
  <c r="O472" i="1"/>
  <c r="P472" i="1" s="1"/>
  <c r="O419" i="1"/>
  <c r="M419" i="1"/>
  <c r="M142" i="1"/>
  <c r="O142" i="1"/>
  <c r="S142" i="1"/>
  <c r="P525" i="1"/>
  <c r="Q471" i="1"/>
  <c r="R471" i="1" s="1"/>
  <c r="Q456" i="1"/>
  <c r="R456" i="1" s="1"/>
  <c r="O393" i="1"/>
  <c r="O381" i="1"/>
  <c r="O373" i="1"/>
  <c r="S421" i="1"/>
  <c r="T421" i="1" s="1"/>
  <c r="Q404" i="1"/>
  <c r="R404" i="1" s="1"/>
  <c r="M393" i="1"/>
  <c r="N393" i="1" s="1"/>
  <c r="M363" i="1"/>
  <c r="N363" i="1" s="1"/>
  <c r="S397" i="1"/>
  <c r="T397" i="1" s="1"/>
  <c r="M375" i="1"/>
  <c r="P375" i="1" s="1"/>
  <c r="M358" i="1"/>
  <c r="N358" i="1" s="1"/>
  <c r="M318" i="1"/>
  <c r="N318" i="1" s="1"/>
  <c r="M379" i="1"/>
  <c r="N379" i="1" s="1"/>
  <c r="O328" i="1"/>
  <c r="P328" i="1" s="1"/>
  <c r="O320" i="1"/>
  <c r="Q297" i="1"/>
  <c r="T297" i="1" s="1"/>
  <c r="M280" i="1"/>
  <c r="N280" i="1" s="1"/>
  <c r="M255" i="1"/>
  <c r="P255" i="1" s="1"/>
  <c r="O238" i="1"/>
  <c r="M238" i="1"/>
  <c r="N238" i="1" s="1"/>
  <c r="Q260" i="1"/>
  <c r="T260" i="1" s="1"/>
  <c r="Q228" i="1"/>
  <c r="T228" i="1" s="1"/>
  <c r="P124" i="1"/>
  <c r="O6" i="1"/>
  <c r="R12" i="1"/>
  <c r="R174" i="1"/>
  <c r="R151" i="1"/>
  <c r="R119" i="1"/>
  <c r="P191" i="1"/>
  <c r="P175" i="1"/>
  <c r="Q255" i="1"/>
  <c r="R255" i="1" s="1"/>
  <c r="M38" i="1"/>
  <c r="N38" i="1" s="1"/>
  <c r="M30" i="1"/>
  <c r="M22" i="1"/>
  <c r="N22" i="1" s="1"/>
  <c r="P208" i="1"/>
  <c r="O260" i="1"/>
  <c r="O228" i="1"/>
  <c r="P228" i="1" s="1"/>
  <c r="P188" i="1"/>
  <c r="S38" i="1"/>
  <c r="T38" i="1" s="1"/>
  <c r="S30" i="1"/>
  <c r="T30" i="1" s="1"/>
  <c r="S22" i="1"/>
  <c r="T22" i="1" s="1"/>
  <c r="Q142" i="1"/>
  <c r="M456" i="1"/>
  <c r="P456" i="1" s="1"/>
  <c r="O421" i="1"/>
  <c r="Q393" i="1"/>
  <c r="R393" i="1" s="1"/>
  <c r="Q375" i="1"/>
  <c r="R375" i="1" s="1"/>
  <c r="Q358" i="1"/>
  <c r="R358" i="1" s="1"/>
  <c r="M320" i="1"/>
  <c r="P527" i="1"/>
  <c r="S456" i="1"/>
  <c r="S404" i="1"/>
  <c r="S321" i="1"/>
  <c r="T321" i="1" s="1"/>
  <c r="M389" i="1"/>
  <c r="M381" i="1"/>
  <c r="N381" i="1" s="1"/>
  <c r="M373" i="1"/>
  <c r="N373" i="1" s="1"/>
  <c r="M321" i="1"/>
  <c r="N321" i="1" s="1"/>
  <c r="M404" i="1"/>
  <c r="N404" i="1" s="1"/>
  <c r="O38" i="1"/>
  <c r="O30" i="1"/>
  <c r="O22" i="1"/>
  <c r="M6" i="1"/>
  <c r="N6" i="1" s="1"/>
  <c r="S204" i="1"/>
  <c r="Q204" i="1"/>
  <c r="O204" i="1"/>
  <c r="P204" i="1" s="1"/>
  <c r="P144" i="1"/>
  <c r="Q6" i="1"/>
  <c r="T6" i="1" s="1"/>
  <c r="T11" i="1"/>
  <c r="S462" i="1"/>
  <c r="T462" i="1" s="1"/>
  <c r="O462" i="1"/>
  <c r="M462" i="1"/>
  <c r="Q428" i="1"/>
  <c r="S428" i="1"/>
  <c r="M428" i="1"/>
  <c r="N428" i="1" s="1"/>
  <c r="S459" i="1"/>
  <c r="Q459" i="1"/>
  <c r="N144" i="1"/>
  <c r="P192" i="1"/>
  <c r="P176" i="1"/>
  <c r="P160" i="1"/>
  <c r="P128" i="1"/>
  <c r="P17" i="1"/>
  <c r="T441" i="1"/>
  <c r="T395" i="1"/>
  <c r="P8" i="1"/>
  <c r="P13" i="1"/>
  <c r="P408" i="1"/>
  <c r="T208" i="1"/>
  <c r="P172" i="1"/>
  <c r="P156" i="1"/>
  <c r="P140" i="1"/>
  <c r="P7" i="1"/>
  <c r="P3" i="1"/>
  <c r="R11" i="1"/>
  <c r="T7" i="1"/>
  <c r="T19" i="1"/>
  <c r="P18" i="1"/>
  <c r="T5" i="1"/>
  <c r="T15" i="1"/>
  <c r="T9" i="1"/>
  <c r="T13" i="1"/>
  <c r="Q423" i="1"/>
  <c r="S423" i="1"/>
  <c r="O423" i="1"/>
  <c r="M423" i="1"/>
  <c r="Q407" i="1"/>
  <c r="M407" i="1"/>
  <c r="S407" i="1"/>
  <c r="O407" i="1"/>
  <c r="M437" i="1"/>
  <c r="N437" i="1" s="1"/>
  <c r="Q437" i="1"/>
  <c r="R437" i="1" s="1"/>
  <c r="O412" i="1"/>
  <c r="P412" i="1" s="1"/>
  <c r="Q412" i="1"/>
  <c r="R412" i="1" s="1"/>
  <c r="Q403" i="1"/>
  <c r="S403" i="1"/>
  <c r="O403" i="1"/>
  <c r="M403" i="1"/>
  <c r="Q202" i="1"/>
  <c r="R202" i="1" s="1"/>
  <c r="O202" i="1"/>
  <c r="Q431" i="1"/>
  <c r="R431" i="1" s="1"/>
  <c r="M431" i="1"/>
  <c r="N431" i="1" s="1"/>
  <c r="Q360" i="1"/>
  <c r="R360" i="1" s="1"/>
  <c r="M247" i="1"/>
  <c r="P247" i="1" s="1"/>
  <c r="O222" i="1"/>
  <c r="O206" i="1"/>
  <c r="N172" i="1"/>
  <c r="N156" i="1"/>
  <c r="S222" i="1"/>
  <c r="T222" i="1" s="1"/>
  <c r="S206" i="1"/>
  <c r="T206" i="1" s="1"/>
  <c r="P15" i="1"/>
  <c r="P11" i="1"/>
  <c r="M471" i="1"/>
  <c r="N471" i="1" s="1"/>
  <c r="S471" i="1"/>
  <c r="S519" i="1"/>
  <c r="Q519" i="1"/>
  <c r="O519" i="1"/>
  <c r="P519" i="1" s="1"/>
  <c r="T501" i="1"/>
  <c r="R501" i="1"/>
  <c r="O396" i="1"/>
  <c r="Q396" i="1"/>
  <c r="R396" i="1" s="1"/>
  <c r="S507" i="1"/>
  <c r="Q507" i="1"/>
  <c r="O507" i="1"/>
  <c r="M507" i="1"/>
  <c r="Q496" i="1"/>
  <c r="O496" i="1"/>
  <c r="M496" i="1"/>
  <c r="S496" i="1"/>
  <c r="P131" i="1"/>
  <c r="N131" i="1"/>
  <c r="O424" i="1"/>
  <c r="S424" i="1"/>
  <c r="T424" i="1" s="1"/>
  <c r="M424" i="1"/>
  <c r="P147" i="1"/>
  <c r="N147" i="1"/>
  <c r="T431" i="1"/>
  <c r="S360" i="1"/>
  <c r="Q247" i="1"/>
  <c r="R247" i="1" s="1"/>
  <c r="M222" i="1"/>
  <c r="N222" i="1" s="1"/>
  <c r="M202" i="1"/>
  <c r="P2" i="1"/>
  <c r="O467" i="1"/>
  <c r="M467" i="1"/>
  <c r="Q399" i="1"/>
  <c r="M399" i="1"/>
  <c r="O399" i="1"/>
  <c r="S399" i="1"/>
  <c r="Q427" i="1"/>
  <c r="M427" i="1"/>
  <c r="S427" i="1"/>
  <c r="O427" i="1"/>
  <c r="P179" i="1"/>
  <c r="N179" i="1"/>
  <c r="P163" i="1"/>
  <c r="N163" i="1"/>
  <c r="S466" i="1"/>
  <c r="T466" i="1" s="1"/>
  <c r="O466" i="1"/>
  <c r="M466" i="1"/>
  <c r="O416" i="1"/>
  <c r="M416" i="1"/>
  <c r="S416" i="1"/>
  <c r="Q416" i="1"/>
  <c r="T17" i="1"/>
  <c r="T3" i="1"/>
  <c r="S202" i="1"/>
  <c r="Q513" i="1"/>
  <c r="O513" i="1"/>
  <c r="M513" i="1"/>
  <c r="S513" i="1"/>
  <c r="Q505" i="1"/>
  <c r="S505" i="1"/>
  <c r="O505" i="1"/>
  <c r="M505" i="1"/>
  <c r="Q492" i="1"/>
  <c r="O492" i="1"/>
  <c r="M492" i="1"/>
  <c r="S492" i="1"/>
  <c r="P183" i="1"/>
  <c r="N183" i="1"/>
  <c r="P167" i="1"/>
  <c r="N167" i="1"/>
  <c r="P151" i="1"/>
  <c r="N151" i="1"/>
  <c r="P135" i="1"/>
  <c r="N135" i="1"/>
  <c r="P119" i="1"/>
  <c r="N119" i="1"/>
  <c r="T530" i="1"/>
  <c r="R530" i="1"/>
  <c r="O510" i="1"/>
  <c r="Q510" i="1"/>
  <c r="M510" i="1"/>
  <c r="S510" i="1"/>
  <c r="N519" i="1"/>
  <c r="T511" i="1"/>
  <c r="R511" i="1"/>
  <c r="P503" i="1"/>
  <c r="N503" i="1"/>
  <c r="N485" i="1"/>
  <c r="P485" i="1"/>
  <c r="N472" i="1"/>
  <c r="Q480" i="1"/>
  <c r="M480" i="1"/>
  <c r="O480" i="1"/>
  <c r="S480" i="1"/>
  <c r="N464" i="1"/>
  <c r="Q457" i="1"/>
  <c r="M457" i="1"/>
  <c r="S457" i="1"/>
  <c r="O457" i="1"/>
  <c r="P449" i="1"/>
  <c r="N449" i="1"/>
  <c r="T440" i="1"/>
  <c r="R440" i="1"/>
  <c r="R450" i="1"/>
  <c r="T450" i="1"/>
  <c r="N448" i="1"/>
  <c r="P448" i="1"/>
  <c r="S452" i="1"/>
  <c r="M452" i="1"/>
  <c r="O452" i="1"/>
  <c r="Q452" i="1"/>
  <c r="S491" i="1"/>
  <c r="M491" i="1"/>
  <c r="O491" i="1"/>
  <c r="Q491" i="1"/>
  <c r="S418" i="1"/>
  <c r="M418" i="1"/>
  <c r="Q418" i="1"/>
  <c r="O418" i="1"/>
  <c r="O401" i="1"/>
  <c r="S401" i="1"/>
  <c r="M401" i="1"/>
  <c r="Q401" i="1"/>
  <c r="Q392" i="1"/>
  <c r="M392" i="1"/>
  <c r="S392" i="1"/>
  <c r="O392" i="1"/>
  <c r="Q380" i="1"/>
  <c r="M380" i="1"/>
  <c r="S380" i="1"/>
  <c r="O380" i="1"/>
  <c r="Q372" i="1"/>
  <c r="M372" i="1"/>
  <c r="S372" i="1"/>
  <c r="O372" i="1"/>
  <c r="N458" i="1"/>
  <c r="R413" i="1"/>
  <c r="T413" i="1"/>
  <c r="R397" i="1"/>
  <c r="R389" i="1"/>
  <c r="T389" i="1"/>
  <c r="R381" i="1"/>
  <c r="T381" i="1"/>
  <c r="R373" i="1"/>
  <c r="T373" i="1"/>
  <c r="R365" i="1"/>
  <c r="T365" i="1"/>
  <c r="R361" i="1"/>
  <c r="T361" i="1"/>
  <c r="R353" i="1"/>
  <c r="T353" i="1"/>
  <c r="R349" i="1"/>
  <c r="T349" i="1"/>
  <c r="R345" i="1"/>
  <c r="T345" i="1"/>
  <c r="R341" i="1"/>
  <c r="R337" i="1"/>
  <c r="T337" i="1"/>
  <c r="R333" i="1"/>
  <c r="T333" i="1"/>
  <c r="R329" i="1"/>
  <c r="T329" i="1"/>
  <c r="R325" i="1"/>
  <c r="T325" i="1"/>
  <c r="R321" i="1"/>
  <c r="R317" i="1"/>
  <c r="T317" i="1"/>
  <c r="T447" i="1"/>
  <c r="R447" i="1"/>
  <c r="S410" i="1"/>
  <c r="M410" i="1"/>
  <c r="Q410" i="1"/>
  <c r="O410" i="1"/>
  <c r="S460" i="1"/>
  <c r="M460" i="1"/>
  <c r="Q460" i="1"/>
  <c r="O460" i="1"/>
  <c r="N391" i="1"/>
  <c r="P391" i="1"/>
  <c r="Q382" i="1"/>
  <c r="M382" i="1"/>
  <c r="O382" i="1"/>
  <c r="S382" i="1"/>
  <c r="N375" i="1"/>
  <c r="Q366" i="1"/>
  <c r="M366" i="1"/>
  <c r="O366" i="1"/>
  <c r="S366" i="1"/>
  <c r="P364" i="1"/>
  <c r="N348" i="1"/>
  <c r="P340" i="1"/>
  <c r="N340" i="1"/>
  <c r="P332" i="1"/>
  <c r="N332" i="1"/>
  <c r="P324" i="1"/>
  <c r="N324" i="1"/>
  <c r="P316" i="1"/>
  <c r="N316" i="1"/>
  <c r="P350" i="1"/>
  <c r="N350" i="1"/>
  <c r="P342" i="1"/>
  <c r="N342" i="1"/>
  <c r="P334" i="1"/>
  <c r="N334" i="1"/>
  <c r="P326" i="1"/>
  <c r="N326" i="1"/>
  <c r="Q370" i="1"/>
  <c r="M370" i="1"/>
  <c r="O370" i="1"/>
  <c r="S370" i="1"/>
  <c r="P352" i="1"/>
  <c r="N352" i="1"/>
  <c r="P344" i="1"/>
  <c r="N344" i="1"/>
  <c r="P336" i="1"/>
  <c r="N336" i="1"/>
  <c r="N328" i="1"/>
  <c r="T280" i="1"/>
  <c r="R280" i="1"/>
  <c r="R308" i="1"/>
  <c r="T308" i="1"/>
  <c r="R306" i="1"/>
  <c r="T306" i="1"/>
  <c r="R304" i="1"/>
  <c r="T304" i="1"/>
  <c r="R302" i="1"/>
  <c r="T302" i="1"/>
  <c r="R300" i="1"/>
  <c r="T300" i="1"/>
  <c r="R298" i="1"/>
  <c r="T298" i="1"/>
  <c r="R296" i="1"/>
  <c r="T296" i="1"/>
  <c r="R294" i="1"/>
  <c r="T294" i="1"/>
  <c r="R292" i="1"/>
  <c r="T292" i="1"/>
  <c r="R290" i="1"/>
  <c r="T290" i="1"/>
  <c r="R288" i="1"/>
  <c r="T288" i="1"/>
  <c r="R286" i="1"/>
  <c r="T286" i="1"/>
  <c r="R284" i="1"/>
  <c r="T284" i="1"/>
  <c r="R282" i="1"/>
  <c r="T282" i="1"/>
  <c r="N278" i="1"/>
  <c r="P278" i="1"/>
  <c r="T271" i="1"/>
  <c r="R271" i="1"/>
  <c r="P259" i="1"/>
  <c r="N259" i="1"/>
  <c r="P243" i="1"/>
  <c r="P227" i="1"/>
  <c r="N227" i="1"/>
  <c r="R223" i="1"/>
  <c r="S215" i="1"/>
  <c r="Q215" i="1"/>
  <c r="O215" i="1"/>
  <c r="M215" i="1"/>
  <c r="S211" i="1"/>
  <c r="Q211" i="1"/>
  <c r="O211" i="1"/>
  <c r="M211" i="1"/>
  <c r="N276" i="1"/>
  <c r="P276" i="1"/>
  <c r="P269" i="1"/>
  <c r="N269" i="1"/>
  <c r="R265" i="1"/>
  <c r="T265" i="1"/>
  <c r="R258" i="1"/>
  <c r="T256" i="1"/>
  <c r="R256" i="1"/>
  <c r="T249" i="1"/>
  <c r="T240" i="1"/>
  <c r="R240" i="1"/>
  <c r="R233" i="1"/>
  <c r="T233" i="1"/>
  <c r="T224" i="1"/>
  <c r="R224" i="1"/>
  <c r="R217" i="1"/>
  <c r="T217" i="1"/>
  <c r="N268" i="1"/>
  <c r="R261" i="1"/>
  <c r="T261" i="1"/>
  <c r="N236" i="1"/>
  <c r="R229" i="1"/>
  <c r="O214" i="1"/>
  <c r="M214" i="1"/>
  <c r="S214" i="1"/>
  <c r="Q214" i="1"/>
  <c r="Q199" i="1"/>
  <c r="M199" i="1"/>
  <c r="S199" i="1"/>
  <c r="O199" i="1"/>
  <c r="T193" i="1"/>
  <c r="R193" i="1"/>
  <c r="T185" i="1"/>
  <c r="R185" i="1"/>
  <c r="T145" i="1"/>
  <c r="R145" i="1"/>
  <c r="P116" i="1"/>
  <c r="N116" i="1"/>
  <c r="N102" i="1"/>
  <c r="P102" i="1"/>
  <c r="N98" i="1"/>
  <c r="P94" i="1"/>
  <c r="N94" i="1"/>
  <c r="N90" i="1"/>
  <c r="N86" i="1"/>
  <c r="P86" i="1"/>
  <c r="N78" i="1"/>
  <c r="P78" i="1"/>
  <c r="N70" i="1"/>
  <c r="P70" i="1"/>
  <c r="N62" i="1"/>
  <c r="P62" i="1"/>
  <c r="N54" i="1"/>
  <c r="P54" i="1"/>
  <c r="P50" i="1"/>
  <c r="P46" i="1"/>
  <c r="N46" i="1"/>
  <c r="N42" i="1"/>
  <c r="N266" i="1"/>
  <c r="P266" i="1"/>
  <c r="N264" i="1"/>
  <c r="P264" i="1"/>
  <c r="N234" i="1"/>
  <c r="P234" i="1"/>
  <c r="N232" i="1"/>
  <c r="P232" i="1"/>
  <c r="R225" i="1"/>
  <c r="T225" i="1"/>
  <c r="Q195" i="1"/>
  <c r="O195" i="1"/>
  <c r="M195" i="1"/>
  <c r="S195" i="1"/>
  <c r="T192" i="1"/>
  <c r="R192" i="1"/>
  <c r="T176" i="1"/>
  <c r="R176" i="1"/>
  <c r="T160" i="1"/>
  <c r="R160" i="1"/>
  <c r="T132" i="1"/>
  <c r="R132" i="1"/>
  <c r="T124" i="1"/>
  <c r="R124" i="1"/>
  <c r="R253" i="1"/>
  <c r="T253" i="1"/>
  <c r="N230" i="1"/>
  <c r="P230" i="1"/>
  <c r="N228" i="1"/>
  <c r="R221" i="1"/>
  <c r="T221" i="1"/>
  <c r="R197" i="1"/>
  <c r="P146" i="1"/>
  <c r="N146" i="1"/>
  <c r="P122" i="1"/>
  <c r="N122" i="1"/>
  <c r="P149" i="1"/>
  <c r="N149" i="1"/>
  <c r="P141" i="1"/>
  <c r="N141" i="1"/>
  <c r="P137" i="1"/>
  <c r="N137" i="1"/>
  <c r="T181" i="1"/>
  <c r="R181" i="1"/>
  <c r="T153" i="1"/>
  <c r="R153" i="1"/>
  <c r="T141" i="1"/>
  <c r="R141" i="1"/>
  <c r="T129" i="1"/>
  <c r="R129" i="1"/>
  <c r="N114" i="1"/>
  <c r="N112" i="1"/>
  <c r="T20" i="1"/>
  <c r="O514" i="1"/>
  <c r="Q514" i="1"/>
  <c r="S514" i="1"/>
  <c r="M514" i="1"/>
  <c r="S515" i="1"/>
  <c r="Q515" i="1"/>
  <c r="O515" i="1"/>
  <c r="M515" i="1"/>
  <c r="N487" i="1"/>
  <c r="P487" i="1"/>
  <c r="R485" i="1"/>
  <c r="T485" i="1"/>
  <c r="R467" i="1"/>
  <c r="T467" i="1"/>
  <c r="S468" i="1"/>
  <c r="M468" i="1"/>
  <c r="O468" i="1"/>
  <c r="Q468" i="1"/>
  <c r="N483" i="1"/>
  <c r="P483" i="1"/>
  <c r="N479" i="1"/>
  <c r="P479" i="1"/>
  <c r="O463" i="1"/>
  <c r="M463" i="1"/>
  <c r="S463" i="1"/>
  <c r="Q463" i="1"/>
  <c r="R449" i="1"/>
  <c r="T449" i="1"/>
  <c r="R434" i="1"/>
  <c r="T434" i="1"/>
  <c r="N454" i="1"/>
  <c r="P454" i="1"/>
  <c r="Q484" i="1"/>
  <c r="M484" i="1"/>
  <c r="O484" i="1"/>
  <c r="S484" i="1"/>
  <c r="N474" i="1"/>
  <c r="P474" i="1"/>
  <c r="T448" i="1"/>
  <c r="R448" i="1"/>
  <c r="Q489" i="1"/>
  <c r="M489" i="1"/>
  <c r="O489" i="1"/>
  <c r="S489" i="1"/>
  <c r="Q482" i="1"/>
  <c r="M482" i="1"/>
  <c r="O482" i="1"/>
  <c r="S482" i="1"/>
  <c r="O455" i="1"/>
  <c r="Q455" i="1"/>
  <c r="S455" i="1"/>
  <c r="M455" i="1"/>
  <c r="N429" i="1"/>
  <c r="P429" i="1"/>
  <c r="O430" i="1"/>
  <c r="S430" i="1"/>
  <c r="M430" i="1"/>
  <c r="Q430" i="1"/>
  <c r="S422" i="1"/>
  <c r="M422" i="1"/>
  <c r="Q422" i="1"/>
  <c r="O422" i="1"/>
  <c r="S406" i="1"/>
  <c r="M406" i="1"/>
  <c r="Q406" i="1"/>
  <c r="O406" i="1"/>
  <c r="N385" i="1"/>
  <c r="P385" i="1"/>
  <c r="N377" i="1"/>
  <c r="P377" i="1"/>
  <c r="N359" i="1"/>
  <c r="P359" i="1"/>
  <c r="N355" i="1"/>
  <c r="P355" i="1"/>
  <c r="N351" i="1"/>
  <c r="P351" i="1"/>
  <c r="N347" i="1"/>
  <c r="P347" i="1"/>
  <c r="N343" i="1"/>
  <c r="P343" i="1"/>
  <c r="N339" i="1"/>
  <c r="P339" i="1"/>
  <c r="N335" i="1"/>
  <c r="P335" i="1"/>
  <c r="N331" i="1"/>
  <c r="P331" i="1"/>
  <c r="N327" i="1"/>
  <c r="P327" i="1"/>
  <c r="N323" i="1"/>
  <c r="P323" i="1"/>
  <c r="N319" i="1"/>
  <c r="P319" i="1"/>
  <c r="N315" i="1"/>
  <c r="P315" i="1"/>
  <c r="N443" i="1"/>
  <c r="P443" i="1"/>
  <c r="O425" i="1"/>
  <c r="S425" i="1"/>
  <c r="M425" i="1"/>
  <c r="Q425" i="1"/>
  <c r="N420" i="1"/>
  <c r="P420" i="1"/>
  <c r="S394" i="1"/>
  <c r="Q394" i="1"/>
  <c r="M394" i="1"/>
  <c r="O394" i="1"/>
  <c r="Q386" i="1"/>
  <c r="M386" i="1"/>
  <c r="O386" i="1"/>
  <c r="S386" i="1"/>
  <c r="S414" i="1"/>
  <c r="M414" i="1"/>
  <c r="Q414" i="1"/>
  <c r="O414" i="1"/>
  <c r="N397" i="1"/>
  <c r="P397" i="1"/>
  <c r="R391" i="1"/>
  <c r="T391" i="1"/>
  <c r="T348" i="1"/>
  <c r="R348" i="1"/>
  <c r="T340" i="1"/>
  <c r="R340" i="1"/>
  <c r="T332" i="1"/>
  <c r="R332" i="1"/>
  <c r="T324" i="1"/>
  <c r="R324" i="1"/>
  <c r="T316" i="1"/>
  <c r="R316" i="1"/>
  <c r="T350" i="1"/>
  <c r="R350" i="1"/>
  <c r="T342" i="1"/>
  <c r="R342" i="1"/>
  <c r="T326" i="1"/>
  <c r="R326" i="1"/>
  <c r="R318" i="1"/>
  <c r="R379" i="1"/>
  <c r="T379" i="1"/>
  <c r="T352" i="1"/>
  <c r="R352" i="1"/>
  <c r="T344" i="1"/>
  <c r="R344" i="1"/>
  <c r="T336" i="1"/>
  <c r="R336" i="1"/>
  <c r="T328" i="1"/>
  <c r="R328" i="1"/>
  <c r="T320" i="1"/>
  <c r="R320" i="1"/>
  <c r="P277" i="1"/>
  <c r="N277" i="1"/>
  <c r="R278" i="1"/>
  <c r="T278" i="1"/>
  <c r="P279" i="1"/>
  <c r="N279" i="1"/>
  <c r="T275" i="1"/>
  <c r="R259" i="1"/>
  <c r="T259" i="1"/>
  <c r="R243" i="1"/>
  <c r="T243" i="1"/>
  <c r="R227" i="1"/>
  <c r="T227" i="1"/>
  <c r="T276" i="1"/>
  <c r="R276" i="1"/>
  <c r="T269" i="1"/>
  <c r="R269" i="1"/>
  <c r="N201" i="1"/>
  <c r="P201" i="1"/>
  <c r="T273" i="1"/>
  <c r="R273" i="1"/>
  <c r="P245" i="1"/>
  <c r="N245" i="1"/>
  <c r="T238" i="1"/>
  <c r="R238" i="1"/>
  <c r="T161" i="1"/>
  <c r="R161" i="1"/>
  <c r="N105" i="1"/>
  <c r="P105" i="1"/>
  <c r="N101" i="1"/>
  <c r="P101" i="1"/>
  <c r="N97" i="1"/>
  <c r="N93" i="1"/>
  <c r="N89" i="1"/>
  <c r="P89" i="1"/>
  <c r="N81" i="1"/>
  <c r="P73" i="1"/>
  <c r="N73" i="1"/>
  <c r="N65" i="1"/>
  <c r="N61" i="1"/>
  <c r="P57" i="1"/>
  <c r="N57" i="1"/>
  <c r="N53" i="1"/>
  <c r="P41" i="1"/>
  <c r="N41" i="1"/>
  <c r="P37" i="1"/>
  <c r="N37" i="1"/>
  <c r="P33" i="1"/>
  <c r="N33" i="1"/>
  <c r="P29" i="1"/>
  <c r="N29" i="1"/>
  <c r="P25" i="1"/>
  <c r="N25" i="1"/>
  <c r="P21" i="1"/>
  <c r="N21" i="1"/>
  <c r="N272" i="1"/>
  <c r="P272" i="1"/>
  <c r="T266" i="1"/>
  <c r="R266" i="1"/>
  <c r="T264" i="1"/>
  <c r="R264" i="1"/>
  <c r="P241" i="1"/>
  <c r="N241" i="1"/>
  <c r="T234" i="1"/>
  <c r="R234" i="1"/>
  <c r="T232" i="1"/>
  <c r="R232" i="1"/>
  <c r="T180" i="1"/>
  <c r="R180" i="1"/>
  <c r="T164" i="1"/>
  <c r="R164" i="1"/>
  <c r="R262" i="1"/>
  <c r="T230" i="1"/>
  <c r="R230" i="1"/>
  <c r="Q216" i="1"/>
  <c r="S216" i="1"/>
  <c r="O216" i="1"/>
  <c r="M216" i="1"/>
  <c r="O209" i="1"/>
  <c r="Q209" i="1"/>
  <c r="M209" i="1"/>
  <c r="S209" i="1"/>
  <c r="N204" i="1"/>
  <c r="P190" i="1"/>
  <c r="N190" i="1"/>
  <c r="P186" i="1"/>
  <c r="N186" i="1"/>
  <c r="P182" i="1"/>
  <c r="N182" i="1"/>
  <c r="P178" i="1"/>
  <c r="N178" i="1"/>
  <c r="P174" i="1"/>
  <c r="N174" i="1"/>
  <c r="P170" i="1"/>
  <c r="N170" i="1"/>
  <c r="P166" i="1"/>
  <c r="N166" i="1"/>
  <c r="P162" i="1"/>
  <c r="N162" i="1"/>
  <c r="P158" i="1"/>
  <c r="N158" i="1"/>
  <c r="P154" i="1"/>
  <c r="N154" i="1"/>
  <c r="T173" i="1"/>
  <c r="R173" i="1"/>
  <c r="T117" i="1"/>
  <c r="R117" i="1"/>
  <c r="P111" i="1"/>
  <c r="N111" i="1"/>
  <c r="P529" i="1"/>
  <c r="N529" i="1"/>
  <c r="O506" i="1"/>
  <c r="S506" i="1"/>
  <c r="M506" i="1"/>
  <c r="Q506" i="1"/>
  <c r="T529" i="1"/>
  <c r="R529" i="1"/>
  <c r="T520" i="1"/>
  <c r="R520" i="1"/>
  <c r="O522" i="1"/>
  <c r="S522" i="1"/>
  <c r="M522" i="1"/>
  <c r="Q522" i="1"/>
  <c r="P499" i="1"/>
  <c r="N499" i="1"/>
  <c r="O494" i="1"/>
  <c r="S494" i="1"/>
  <c r="Q494" i="1"/>
  <c r="M494" i="1"/>
  <c r="O502" i="1"/>
  <c r="S502" i="1"/>
  <c r="Q502" i="1"/>
  <c r="M502" i="1"/>
  <c r="O498" i="1"/>
  <c r="S498" i="1"/>
  <c r="Q498" i="1"/>
  <c r="M498" i="1"/>
  <c r="R487" i="1"/>
  <c r="T487" i="1"/>
  <c r="R466" i="1"/>
  <c r="N459" i="1"/>
  <c r="P459" i="1"/>
  <c r="Q488" i="1"/>
  <c r="M488" i="1"/>
  <c r="S488" i="1"/>
  <c r="O488" i="1"/>
  <c r="R481" i="1"/>
  <c r="R479" i="1"/>
  <c r="T479" i="1"/>
  <c r="Q453" i="1"/>
  <c r="O453" i="1"/>
  <c r="M453" i="1"/>
  <c r="S453" i="1"/>
  <c r="T444" i="1"/>
  <c r="R444" i="1"/>
  <c r="R451" i="1"/>
  <c r="T451" i="1"/>
  <c r="P445" i="1"/>
  <c r="N445" i="1"/>
  <c r="O417" i="1"/>
  <c r="S417" i="1"/>
  <c r="M417" i="1"/>
  <c r="Q417" i="1"/>
  <c r="S402" i="1"/>
  <c r="M402" i="1"/>
  <c r="Q402" i="1"/>
  <c r="O402" i="1"/>
  <c r="Q384" i="1"/>
  <c r="M384" i="1"/>
  <c r="S384" i="1"/>
  <c r="O384" i="1"/>
  <c r="Q376" i="1"/>
  <c r="M376" i="1"/>
  <c r="S376" i="1"/>
  <c r="O376" i="1"/>
  <c r="Q368" i="1"/>
  <c r="M368" i="1"/>
  <c r="S368" i="1"/>
  <c r="O368" i="1"/>
  <c r="R420" i="1"/>
  <c r="T420" i="1"/>
  <c r="R385" i="1"/>
  <c r="T385" i="1"/>
  <c r="R377" i="1"/>
  <c r="T377" i="1"/>
  <c r="R363" i="1"/>
  <c r="T363" i="1"/>
  <c r="R359" i="1"/>
  <c r="T359" i="1"/>
  <c r="T355" i="1"/>
  <c r="R351" i="1"/>
  <c r="T351" i="1"/>
  <c r="R347" i="1"/>
  <c r="T347" i="1"/>
  <c r="R343" i="1"/>
  <c r="T343" i="1"/>
  <c r="R331" i="1"/>
  <c r="T331" i="1"/>
  <c r="R327" i="1"/>
  <c r="T327" i="1"/>
  <c r="R323" i="1"/>
  <c r="T323" i="1"/>
  <c r="R315" i="1"/>
  <c r="T315" i="1"/>
  <c r="T443" i="1"/>
  <c r="R443" i="1"/>
  <c r="N435" i="1"/>
  <c r="P435" i="1"/>
  <c r="R424" i="1"/>
  <c r="O409" i="1"/>
  <c r="S409" i="1"/>
  <c r="M409" i="1"/>
  <c r="Q409" i="1"/>
  <c r="Q446" i="1"/>
  <c r="M446" i="1"/>
  <c r="S446" i="1"/>
  <c r="O446" i="1"/>
  <c r="P362" i="1"/>
  <c r="N362" i="1"/>
  <c r="N346" i="1"/>
  <c r="P338" i="1"/>
  <c r="N338" i="1"/>
  <c r="P330" i="1"/>
  <c r="N330" i="1"/>
  <c r="P322" i="1"/>
  <c r="N322" i="1"/>
  <c r="P314" i="1"/>
  <c r="N314" i="1"/>
  <c r="N383" i="1"/>
  <c r="Q374" i="1"/>
  <c r="M374" i="1"/>
  <c r="O374" i="1"/>
  <c r="S374" i="1"/>
  <c r="N367" i="1"/>
  <c r="P367" i="1"/>
  <c r="N313" i="1"/>
  <c r="P313" i="1"/>
  <c r="P312" i="1"/>
  <c r="N312" i="1"/>
  <c r="N311" i="1"/>
  <c r="P311" i="1"/>
  <c r="N310" i="1"/>
  <c r="P310" i="1"/>
  <c r="Q378" i="1"/>
  <c r="M378" i="1"/>
  <c r="O378" i="1"/>
  <c r="S378" i="1"/>
  <c r="N309" i="1"/>
  <c r="P309" i="1"/>
  <c r="N307" i="1"/>
  <c r="P307" i="1"/>
  <c r="N305" i="1"/>
  <c r="P305" i="1"/>
  <c r="N303" i="1"/>
  <c r="P303" i="1"/>
  <c r="N301" i="1"/>
  <c r="P301" i="1"/>
  <c r="N299" i="1"/>
  <c r="P299" i="1"/>
  <c r="N297" i="1"/>
  <c r="P297" i="1"/>
  <c r="N295" i="1"/>
  <c r="P295" i="1"/>
  <c r="N293" i="1"/>
  <c r="P293" i="1"/>
  <c r="N291" i="1"/>
  <c r="P291" i="1"/>
  <c r="N289" i="1"/>
  <c r="P289" i="1"/>
  <c r="N287" i="1"/>
  <c r="P287" i="1"/>
  <c r="N285" i="1"/>
  <c r="P285" i="1"/>
  <c r="N283" i="1"/>
  <c r="P283" i="1"/>
  <c r="T277" i="1"/>
  <c r="R277" i="1"/>
  <c r="N270" i="1"/>
  <c r="P270" i="1"/>
  <c r="T279" i="1"/>
  <c r="R279" i="1"/>
  <c r="P267" i="1"/>
  <c r="N267" i="1"/>
  <c r="P235" i="1"/>
  <c r="N235" i="1"/>
  <c r="P219" i="1"/>
  <c r="N219" i="1"/>
  <c r="S213" i="1"/>
  <c r="O213" i="1"/>
  <c r="M213" i="1"/>
  <c r="Q213" i="1"/>
  <c r="O205" i="1"/>
  <c r="S205" i="1"/>
  <c r="Q205" i="1"/>
  <c r="M205" i="1"/>
  <c r="N254" i="1"/>
  <c r="N252" i="1"/>
  <c r="R245" i="1"/>
  <c r="T245" i="1"/>
  <c r="N220" i="1"/>
  <c r="O210" i="1"/>
  <c r="M210" i="1"/>
  <c r="S210" i="1"/>
  <c r="Q210" i="1"/>
  <c r="T189" i="1"/>
  <c r="R189" i="1"/>
  <c r="P96" i="1"/>
  <c r="P92" i="1"/>
  <c r="N92" i="1"/>
  <c r="N88" i="1"/>
  <c r="P88" i="1"/>
  <c r="N84" i="1"/>
  <c r="P80" i="1"/>
  <c r="N80" i="1"/>
  <c r="N76" i="1"/>
  <c r="N72" i="1"/>
  <c r="N56" i="1"/>
  <c r="P56" i="1"/>
  <c r="P52" i="1"/>
  <c r="N48" i="1"/>
  <c r="P44" i="1"/>
  <c r="N44" i="1"/>
  <c r="P40" i="1"/>
  <c r="N40" i="1"/>
  <c r="P36" i="1"/>
  <c r="N36" i="1"/>
  <c r="P32" i="1"/>
  <c r="N32" i="1"/>
  <c r="P28" i="1"/>
  <c r="N28" i="1"/>
  <c r="P24" i="1"/>
  <c r="N24" i="1"/>
  <c r="P20" i="1"/>
  <c r="N20" i="1"/>
  <c r="T272" i="1"/>
  <c r="N250" i="1"/>
  <c r="P250" i="1"/>
  <c r="N248" i="1"/>
  <c r="P248" i="1"/>
  <c r="R241" i="1"/>
  <c r="T241" i="1"/>
  <c r="N218" i="1"/>
  <c r="P218" i="1"/>
  <c r="T184" i="1"/>
  <c r="R184" i="1"/>
  <c r="T168" i="1"/>
  <c r="R168" i="1"/>
  <c r="T152" i="1"/>
  <c r="R152" i="1"/>
  <c r="T144" i="1"/>
  <c r="R144" i="1"/>
  <c r="T116" i="1"/>
  <c r="R116" i="1"/>
  <c r="N246" i="1"/>
  <c r="P246" i="1"/>
  <c r="N244" i="1"/>
  <c r="Q207" i="1"/>
  <c r="O207" i="1"/>
  <c r="M207" i="1"/>
  <c r="S207" i="1"/>
  <c r="P134" i="1"/>
  <c r="N134" i="1"/>
  <c r="T130" i="1"/>
  <c r="R130" i="1"/>
  <c r="T126" i="1"/>
  <c r="R126" i="1"/>
  <c r="T169" i="1"/>
  <c r="R169" i="1"/>
  <c r="T149" i="1"/>
  <c r="R149" i="1"/>
  <c r="T133" i="1"/>
  <c r="R133" i="1"/>
  <c r="R110" i="1"/>
  <c r="T110" i="1"/>
  <c r="P530" i="1"/>
  <c r="N530" i="1"/>
  <c r="O528" i="1"/>
  <c r="S528" i="1"/>
  <c r="M528" i="1"/>
  <c r="Q528" i="1"/>
  <c r="T516" i="1"/>
  <c r="R516" i="1"/>
  <c r="O518" i="1"/>
  <c r="S518" i="1"/>
  <c r="M518" i="1"/>
  <c r="Q518" i="1"/>
  <c r="M504" i="1"/>
  <c r="Q504" i="1"/>
  <c r="O504" i="1"/>
  <c r="S504" i="1"/>
  <c r="O490" i="1"/>
  <c r="S490" i="1"/>
  <c r="Q490" i="1"/>
  <c r="M490" i="1"/>
  <c r="Q465" i="1"/>
  <c r="S465" i="1"/>
  <c r="M465" i="1"/>
  <c r="O465" i="1"/>
  <c r="Q477" i="1"/>
  <c r="M477" i="1"/>
  <c r="S477" i="1"/>
  <c r="O477" i="1"/>
  <c r="Q461" i="1"/>
  <c r="S461" i="1"/>
  <c r="M461" i="1"/>
  <c r="O461" i="1"/>
  <c r="Q473" i="1"/>
  <c r="O473" i="1"/>
  <c r="M473" i="1"/>
  <c r="S473" i="1"/>
  <c r="N476" i="1"/>
  <c r="Q469" i="1"/>
  <c r="O469" i="1"/>
  <c r="S469" i="1"/>
  <c r="M469" i="1"/>
  <c r="T438" i="1"/>
  <c r="R438" i="1"/>
  <c r="N450" i="1"/>
  <c r="R474" i="1"/>
  <c r="T474" i="1"/>
  <c r="N470" i="1"/>
  <c r="S495" i="1"/>
  <c r="M495" i="1"/>
  <c r="Q495" i="1"/>
  <c r="O495" i="1"/>
  <c r="R445" i="1"/>
  <c r="T445" i="1"/>
  <c r="Q486" i="1"/>
  <c r="M486" i="1"/>
  <c r="S486" i="1"/>
  <c r="O486" i="1"/>
  <c r="O475" i="1"/>
  <c r="M475" i="1"/>
  <c r="S475" i="1"/>
  <c r="Q475" i="1"/>
  <c r="N412" i="1"/>
  <c r="Q388" i="1"/>
  <c r="M388" i="1"/>
  <c r="S388" i="1"/>
  <c r="O388" i="1"/>
  <c r="N421" i="1"/>
  <c r="P421" i="1"/>
  <c r="N405" i="1"/>
  <c r="N389" i="1"/>
  <c r="N365" i="1"/>
  <c r="P365" i="1"/>
  <c r="N361" i="1"/>
  <c r="P361" i="1"/>
  <c r="N353" i="1"/>
  <c r="P353" i="1"/>
  <c r="P349" i="1"/>
  <c r="N345" i="1"/>
  <c r="P345" i="1"/>
  <c r="N341" i="1"/>
  <c r="P341" i="1"/>
  <c r="N337" i="1"/>
  <c r="P337" i="1"/>
  <c r="N333" i="1"/>
  <c r="P333" i="1"/>
  <c r="N325" i="1"/>
  <c r="P325" i="1"/>
  <c r="N317" i="1"/>
  <c r="P317" i="1"/>
  <c r="P447" i="1"/>
  <c r="N447" i="1"/>
  <c r="T435" i="1"/>
  <c r="R435" i="1"/>
  <c r="S426" i="1"/>
  <c r="M426" i="1"/>
  <c r="Q426" i="1"/>
  <c r="O426" i="1"/>
  <c r="R408" i="1"/>
  <c r="T408" i="1"/>
  <c r="Q390" i="1"/>
  <c r="M390" i="1"/>
  <c r="O390" i="1"/>
  <c r="S390" i="1"/>
  <c r="N413" i="1"/>
  <c r="P413" i="1"/>
  <c r="S398" i="1"/>
  <c r="M398" i="1"/>
  <c r="Q398" i="1"/>
  <c r="O398" i="1"/>
  <c r="R387" i="1"/>
  <c r="T387" i="1"/>
  <c r="T362" i="1"/>
  <c r="R362" i="1"/>
  <c r="T354" i="1"/>
  <c r="R354" i="1"/>
  <c r="T346" i="1"/>
  <c r="R346" i="1"/>
  <c r="R338" i="1"/>
  <c r="T330" i="1"/>
  <c r="R330" i="1"/>
  <c r="T322" i="1"/>
  <c r="R322" i="1"/>
  <c r="T314" i="1"/>
  <c r="R314" i="1"/>
  <c r="R383" i="1"/>
  <c r="T383" i="1"/>
  <c r="R367" i="1"/>
  <c r="T367" i="1"/>
  <c r="R313" i="1"/>
  <c r="T313" i="1"/>
  <c r="T312" i="1"/>
  <c r="R312" i="1"/>
  <c r="T311" i="1"/>
  <c r="R311" i="1"/>
  <c r="T310" i="1"/>
  <c r="R310" i="1"/>
  <c r="R371" i="1"/>
  <c r="T371" i="1"/>
  <c r="R309" i="1"/>
  <c r="T309" i="1"/>
  <c r="R307" i="1"/>
  <c r="T307" i="1"/>
  <c r="R305" i="1"/>
  <c r="T305" i="1"/>
  <c r="R303" i="1"/>
  <c r="T303" i="1"/>
  <c r="R301" i="1"/>
  <c r="T301" i="1"/>
  <c r="R299" i="1"/>
  <c r="T299" i="1"/>
  <c r="R295" i="1"/>
  <c r="T295" i="1"/>
  <c r="R293" i="1"/>
  <c r="T293" i="1"/>
  <c r="R291" i="1"/>
  <c r="T291" i="1"/>
  <c r="R289" i="1"/>
  <c r="T289" i="1"/>
  <c r="R287" i="1"/>
  <c r="T287" i="1"/>
  <c r="R285" i="1"/>
  <c r="T285" i="1"/>
  <c r="R283" i="1"/>
  <c r="T283" i="1"/>
  <c r="N308" i="1"/>
  <c r="P308" i="1"/>
  <c r="N306" i="1"/>
  <c r="P306" i="1"/>
  <c r="N304" i="1"/>
  <c r="P304" i="1"/>
  <c r="N302" i="1"/>
  <c r="P302" i="1"/>
  <c r="N300" i="1"/>
  <c r="P300" i="1"/>
  <c r="N298" i="1"/>
  <c r="P298" i="1"/>
  <c r="N296" i="1"/>
  <c r="P296" i="1"/>
  <c r="N294" i="1"/>
  <c r="P294" i="1"/>
  <c r="N292" i="1"/>
  <c r="P292" i="1"/>
  <c r="N290" i="1"/>
  <c r="P290" i="1"/>
  <c r="N288" i="1"/>
  <c r="P288" i="1"/>
  <c r="N286" i="1"/>
  <c r="P286" i="1"/>
  <c r="N284" i="1"/>
  <c r="P284" i="1"/>
  <c r="N282" i="1"/>
  <c r="P282" i="1"/>
  <c r="T270" i="1"/>
  <c r="R270" i="1"/>
  <c r="P271" i="1"/>
  <c r="N271" i="1"/>
  <c r="T267" i="1"/>
  <c r="R267" i="1"/>
  <c r="N255" i="1"/>
  <c r="P239" i="1"/>
  <c r="N239" i="1"/>
  <c r="T235" i="1"/>
  <c r="R235" i="1"/>
  <c r="N223" i="1"/>
  <c r="P265" i="1"/>
  <c r="N265" i="1"/>
  <c r="N256" i="1"/>
  <c r="P256" i="1"/>
  <c r="N240" i="1"/>
  <c r="P240" i="1"/>
  <c r="P233" i="1"/>
  <c r="N233" i="1"/>
  <c r="N224" i="1"/>
  <c r="P224" i="1"/>
  <c r="P217" i="1"/>
  <c r="N217" i="1"/>
  <c r="Q203" i="1"/>
  <c r="S203" i="1"/>
  <c r="O203" i="1"/>
  <c r="M203" i="1"/>
  <c r="S194" i="1"/>
  <c r="M194" i="1"/>
  <c r="Q194" i="1"/>
  <c r="O194" i="1"/>
  <c r="N261" i="1"/>
  <c r="R254" i="1"/>
  <c r="R252" i="1"/>
  <c r="R222" i="1"/>
  <c r="T220" i="1"/>
  <c r="T177" i="1"/>
  <c r="R177" i="1"/>
  <c r="T165" i="1"/>
  <c r="R165" i="1"/>
  <c r="T125" i="1"/>
  <c r="R125" i="1"/>
  <c r="P107" i="1"/>
  <c r="N107" i="1"/>
  <c r="P103" i="1"/>
  <c r="N103" i="1"/>
  <c r="P99" i="1"/>
  <c r="N99" i="1"/>
  <c r="P95" i="1"/>
  <c r="N95" i="1"/>
  <c r="N91" i="1"/>
  <c r="P91" i="1"/>
  <c r="P87" i="1"/>
  <c r="N87" i="1"/>
  <c r="P83" i="1"/>
  <c r="N83" i="1"/>
  <c r="N79" i="1"/>
  <c r="P79" i="1"/>
  <c r="P75" i="1"/>
  <c r="N75" i="1"/>
  <c r="P71" i="1"/>
  <c r="N71" i="1"/>
  <c r="N67" i="1"/>
  <c r="P67" i="1"/>
  <c r="N63" i="1"/>
  <c r="P63" i="1"/>
  <c r="P59" i="1"/>
  <c r="N59" i="1"/>
  <c r="P55" i="1"/>
  <c r="N55" i="1"/>
  <c r="P51" i="1"/>
  <c r="N51" i="1"/>
  <c r="P47" i="1"/>
  <c r="N47" i="1"/>
  <c r="P43" i="1"/>
  <c r="N43" i="1"/>
  <c r="P39" i="1"/>
  <c r="N39" i="1"/>
  <c r="P35" i="1"/>
  <c r="N35" i="1"/>
  <c r="P31" i="1"/>
  <c r="N31" i="1"/>
  <c r="P27" i="1"/>
  <c r="N27" i="1"/>
  <c r="P23" i="1"/>
  <c r="N23" i="1"/>
  <c r="P257" i="1"/>
  <c r="N257" i="1"/>
  <c r="T250" i="1"/>
  <c r="R250" i="1"/>
  <c r="T248" i="1"/>
  <c r="R248" i="1"/>
  <c r="P225" i="1"/>
  <c r="N225" i="1"/>
  <c r="T218" i="1"/>
  <c r="R218" i="1"/>
  <c r="T188" i="1"/>
  <c r="R188" i="1"/>
  <c r="T172" i="1"/>
  <c r="R172" i="1"/>
  <c r="T156" i="1"/>
  <c r="R156" i="1"/>
  <c r="T120" i="1"/>
  <c r="R120" i="1"/>
  <c r="P253" i="1"/>
  <c r="N253" i="1"/>
  <c r="T246" i="1"/>
  <c r="R246" i="1"/>
  <c r="T244" i="1"/>
  <c r="R244" i="1"/>
  <c r="P221" i="1"/>
  <c r="N221" i="1"/>
  <c r="O212" i="1"/>
  <c r="S212" i="1"/>
  <c r="Q212" i="1"/>
  <c r="M212" i="1"/>
  <c r="S198" i="1"/>
  <c r="M198" i="1"/>
  <c r="Q198" i="1"/>
  <c r="O198" i="1"/>
  <c r="T150" i="1"/>
  <c r="R150" i="1"/>
  <c r="T142" i="1"/>
  <c r="R142" i="1"/>
  <c r="T138" i="1"/>
  <c r="R138" i="1"/>
  <c r="P129" i="1"/>
  <c r="N129" i="1"/>
  <c r="T118" i="1"/>
  <c r="R118" i="1"/>
  <c r="T157" i="1"/>
  <c r="R157" i="1"/>
  <c r="T121" i="1"/>
  <c r="R121" i="1"/>
  <c r="T112" i="1"/>
  <c r="R112" i="1"/>
  <c r="P110" i="1"/>
  <c r="N110" i="1"/>
  <c r="N82" i="1" l="1"/>
  <c r="N249" i="1"/>
  <c r="P258" i="1"/>
  <c r="R219" i="1"/>
  <c r="N251" i="1"/>
  <c r="N354" i="1"/>
  <c r="P404" i="1"/>
  <c r="T319" i="1"/>
  <c r="T393" i="1"/>
  <c r="R470" i="1"/>
  <c r="R483" i="1"/>
  <c r="T200" i="1"/>
  <c r="P85" i="1"/>
  <c r="R356" i="1"/>
  <c r="T201" i="1"/>
  <c r="T415" i="1"/>
  <c r="T14" i="1"/>
  <c r="P358" i="1"/>
  <c r="P231" i="1"/>
  <c r="P26" i="1"/>
  <c r="P12" i="1"/>
  <c r="T476" i="1"/>
  <c r="P97" i="1"/>
  <c r="P65" i="1"/>
  <c r="P242" i="1"/>
  <c r="P113" i="1"/>
  <c r="P108" i="1"/>
  <c r="R476" i="1"/>
  <c r="P356" i="1"/>
  <c r="T335" i="1"/>
  <c r="T262" i="1"/>
  <c r="T239" i="1"/>
  <c r="P389" i="1"/>
  <c r="P61" i="1"/>
  <c r="P100" i="1"/>
  <c r="T231" i="1"/>
  <c r="P464" i="1"/>
  <c r="T432" i="1"/>
  <c r="P369" i="1"/>
  <c r="T358" i="1"/>
  <c r="T114" i="1"/>
  <c r="P68" i="1"/>
  <c r="P106" i="1"/>
  <c r="P379" i="1"/>
  <c r="P481" i="1"/>
  <c r="P58" i="1"/>
  <c r="P280" i="1"/>
  <c r="P387" i="1"/>
  <c r="P371" i="1"/>
  <c r="R335" i="1"/>
  <c r="T113" i="1"/>
  <c r="P273" i="1"/>
  <c r="T251" i="1"/>
  <c r="T268" i="1"/>
  <c r="T252" i="1"/>
  <c r="P34" i="1"/>
  <c r="R251" i="1"/>
  <c r="P357" i="1"/>
  <c r="P64" i="1"/>
  <c r="N100" i="1"/>
  <c r="N263" i="1"/>
  <c r="P260" i="1"/>
  <c r="R242" i="1"/>
  <c r="T274" i="1"/>
  <c r="R432" i="1"/>
  <c r="P415" i="1"/>
  <c r="P104" i="1"/>
  <c r="P274" i="1"/>
  <c r="T458" i="1"/>
  <c r="R263" i="1"/>
  <c r="P396" i="1"/>
  <c r="T257" i="1"/>
  <c r="N360" i="1"/>
  <c r="T369" i="1"/>
  <c r="R260" i="1"/>
  <c r="T442" i="1"/>
  <c r="P206" i="1"/>
  <c r="N275" i="1"/>
  <c r="N262" i="1"/>
  <c r="T226" i="1"/>
  <c r="R297" i="1"/>
  <c r="P237" i="1"/>
  <c r="P363" i="1"/>
  <c r="P42" i="1"/>
  <c r="T255" i="1"/>
  <c r="T196" i="1"/>
  <c r="P439" i="1"/>
  <c r="P66" i="1"/>
  <c r="T334" i="1"/>
  <c r="T197" i="1"/>
  <c r="P77" i="1"/>
  <c r="P45" i="1"/>
  <c r="T254" i="1"/>
  <c r="P84" i="1"/>
  <c r="P69" i="1"/>
  <c r="P60" i="1"/>
  <c r="T471" i="1"/>
  <c r="P22" i="1"/>
  <c r="P320" i="1"/>
  <c r="P30" i="1"/>
  <c r="P393" i="1"/>
  <c r="P229" i="1"/>
  <c r="P49" i="1"/>
  <c r="P81" i="1"/>
  <c r="T339" i="1"/>
  <c r="T237" i="1"/>
  <c r="N104" i="1"/>
  <c r="T404" i="1"/>
  <c r="N45" i="1"/>
  <c r="N69" i="1"/>
  <c r="N77" i="1"/>
  <c r="P109" i="1"/>
  <c r="R334" i="1"/>
  <c r="R364" i="1"/>
  <c r="N30" i="1"/>
  <c r="N320" i="1"/>
  <c r="T357" i="1"/>
  <c r="N456" i="1"/>
  <c r="T247" i="1"/>
  <c r="T236" i="1"/>
  <c r="N229" i="1"/>
  <c r="P226" i="1"/>
  <c r="P329" i="1"/>
  <c r="R228" i="1"/>
  <c r="P74" i="1"/>
  <c r="T433" i="1"/>
  <c r="T411" i="1"/>
  <c r="P321" i="1"/>
  <c r="N247" i="1"/>
  <c r="P16" i="1"/>
  <c r="T400" i="1"/>
  <c r="P202" i="1"/>
  <c r="P222" i="1"/>
  <c r="P381" i="1"/>
  <c r="P238" i="1"/>
  <c r="P451" i="1"/>
  <c r="P433" i="1"/>
  <c r="P38" i="1"/>
  <c r="T456" i="1"/>
  <c r="T281" i="1"/>
  <c r="P318" i="1"/>
  <c r="R6" i="1"/>
  <c r="P373" i="1"/>
  <c r="R436" i="1"/>
  <c r="P419" i="1"/>
  <c r="N419" i="1"/>
  <c r="T472" i="1"/>
  <c r="R281" i="1"/>
  <c r="N202" i="1"/>
  <c r="N281" i="1"/>
  <c r="T375" i="1"/>
  <c r="N196" i="1"/>
  <c r="P196" i="1"/>
  <c r="T412" i="1"/>
  <c r="P431" i="1"/>
  <c r="N142" i="1"/>
  <c r="P142" i="1"/>
  <c r="R204" i="1"/>
  <c r="T204" i="1"/>
  <c r="T360" i="1"/>
  <c r="R459" i="1"/>
  <c r="T459" i="1"/>
  <c r="R428" i="1"/>
  <c r="T428" i="1"/>
  <c r="P428" i="1"/>
  <c r="P462" i="1"/>
  <c r="N462" i="1"/>
  <c r="P6" i="1"/>
  <c r="T437" i="1"/>
  <c r="T202" i="1"/>
  <c r="T396" i="1"/>
  <c r="P471" i="1"/>
  <c r="P437" i="1"/>
  <c r="N505" i="1"/>
  <c r="P505" i="1"/>
  <c r="N467" i="1"/>
  <c r="P467" i="1"/>
  <c r="N496" i="1"/>
  <c r="P496" i="1"/>
  <c r="T519" i="1"/>
  <c r="R519" i="1"/>
  <c r="N403" i="1"/>
  <c r="P403" i="1"/>
  <c r="N423" i="1"/>
  <c r="P423" i="1"/>
  <c r="N492" i="1"/>
  <c r="P492" i="1"/>
  <c r="N513" i="1"/>
  <c r="P513" i="1"/>
  <c r="R416" i="1"/>
  <c r="T416" i="1"/>
  <c r="N466" i="1"/>
  <c r="P466" i="1"/>
  <c r="T507" i="1"/>
  <c r="R507" i="1"/>
  <c r="N427" i="1"/>
  <c r="P427" i="1"/>
  <c r="P399" i="1"/>
  <c r="N399" i="1"/>
  <c r="P424" i="1"/>
  <c r="N424" i="1"/>
  <c r="T496" i="1"/>
  <c r="R496" i="1"/>
  <c r="P407" i="1"/>
  <c r="N407" i="1"/>
  <c r="T492" i="1"/>
  <c r="R492" i="1"/>
  <c r="R505" i="1"/>
  <c r="T505" i="1"/>
  <c r="T513" i="1"/>
  <c r="R513" i="1"/>
  <c r="N416" i="1"/>
  <c r="P416" i="1"/>
  <c r="R427" i="1"/>
  <c r="T427" i="1"/>
  <c r="R399" i="1"/>
  <c r="T399" i="1"/>
  <c r="P507" i="1"/>
  <c r="N507" i="1"/>
  <c r="R403" i="1"/>
  <c r="T403" i="1"/>
  <c r="R407" i="1"/>
  <c r="T407" i="1"/>
  <c r="R423" i="1"/>
  <c r="T423" i="1"/>
  <c r="R198" i="1"/>
  <c r="T198" i="1"/>
  <c r="R212" i="1"/>
  <c r="T212" i="1"/>
  <c r="R194" i="1"/>
  <c r="T194" i="1"/>
  <c r="R486" i="1"/>
  <c r="T486" i="1"/>
  <c r="T495" i="1"/>
  <c r="R495" i="1"/>
  <c r="R469" i="1"/>
  <c r="T469" i="1"/>
  <c r="N473" i="1"/>
  <c r="P473" i="1"/>
  <c r="N461" i="1"/>
  <c r="P461" i="1"/>
  <c r="N465" i="1"/>
  <c r="P465" i="1"/>
  <c r="T490" i="1"/>
  <c r="R490" i="1"/>
  <c r="P518" i="1"/>
  <c r="N518" i="1"/>
  <c r="R210" i="1"/>
  <c r="T210" i="1"/>
  <c r="N378" i="1"/>
  <c r="P378" i="1"/>
  <c r="N446" i="1"/>
  <c r="P446" i="1"/>
  <c r="R409" i="1"/>
  <c r="T409" i="1"/>
  <c r="R417" i="1"/>
  <c r="T417" i="1"/>
  <c r="P498" i="1"/>
  <c r="N498" i="1"/>
  <c r="P502" i="1"/>
  <c r="N502" i="1"/>
  <c r="P494" i="1"/>
  <c r="N494" i="1"/>
  <c r="T216" i="1"/>
  <c r="R216" i="1"/>
  <c r="R414" i="1"/>
  <c r="T414" i="1"/>
  <c r="N394" i="1"/>
  <c r="P394" i="1"/>
  <c r="R482" i="1"/>
  <c r="T482" i="1"/>
  <c r="R489" i="1"/>
  <c r="T489" i="1"/>
  <c r="R484" i="1"/>
  <c r="T484" i="1"/>
  <c r="N214" i="1"/>
  <c r="P214" i="1"/>
  <c r="R211" i="1"/>
  <c r="T211" i="1"/>
  <c r="R215" i="1"/>
  <c r="T215" i="1"/>
  <c r="N382" i="1"/>
  <c r="P382" i="1"/>
  <c r="R401" i="1"/>
  <c r="T401" i="1"/>
  <c r="T491" i="1"/>
  <c r="R491" i="1"/>
  <c r="R452" i="1"/>
  <c r="T452" i="1"/>
  <c r="N480" i="1"/>
  <c r="P480" i="1"/>
  <c r="N198" i="1"/>
  <c r="P198" i="1"/>
  <c r="N194" i="1"/>
  <c r="P194" i="1"/>
  <c r="N390" i="1"/>
  <c r="P390" i="1"/>
  <c r="N388" i="1"/>
  <c r="P388" i="1"/>
  <c r="R475" i="1"/>
  <c r="T475" i="1"/>
  <c r="P495" i="1"/>
  <c r="N495" i="1"/>
  <c r="N469" i="1"/>
  <c r="P469" i="1"/>
  <c r="N477" i="1"/>
  <c r="P477" i="1"/>
  <c r="T504" i="1"/>
  <c r="R504" i="1"/>
  <c r="T528" i="1"/>
  <c r="R528" i="1"/>
  <c r="N207" i="1"/>
  <c r="P207" i="1"/>
  <c r="R378" i="1"/>
  <c r="T378" i="1"/>
  <c r="R446" i="1"/>
  <c r="T446" i="1"/>
  <c r="N409" i="1"/>
  <c r="P409" i="1"/>
  <c r="R402" i="1"/>
  <c r="T402" i="1"/>
  <c r="N417" i="1"/>
  <c r="P417" i="1"/>
  <c r="R453" i="1"/>
  <c r="T453" i="1"/>
  <c r="T498" i="1"/>
  <c r="R498" i="1"/>
  <c r="T502" i="1"/>
  <c r="R502" i="1"/>
  <c r="T494" i="1"/>
  <c r="R494" i="1"/>
  <c r="N216" i="1"/>
  <c r="P216" i="1"/>
  <c r="N414" i="1"/>
  <c r="P414" i="1"/>
  <c r="N386" i="1"/>
  <c r="P386" i="1"/>
  <c r="R394" i="1"/>
  <c r="T394" i="1"/>
  <c r="R425" i="1"/>
  <c r="T425" i="1"/>
  <c r="R430" i="1"/>
  <c r="T430" i="1"/>
  <c r="N455" i="1"/>
  <c r="P455" i="1"/>
  <c r="R463" i="1"/>
  <c r="T463" i="1"/>
  <c r="N468" i="1"/>
  <c r="P468" i="1"/>
  <c r="T515" i="1"/>
  <c r="R515" i="1"/>
  <c r="T514" i="1"/>
  <c r="R514" i="1"/>
  <c r="R195" i="1"/>
  <c r="T195" i="1"/>
  <c r="R382" i="1"/>
  <c r="T382" i="1"/>
  <c r="R460" i="1"/>
  <c r="T460" i="1"/>
  <c r="R410" i="1"/>
  <c r="T410" i="1"/>
  <c r="N401" i="1"/>
  <c r="P401" i="1"/>
  <c r="R418" i="1"/>
  <c r="T418" i="1"/>
  <c r="R480" i="1"/>
  <c r="T480" i="1"/>
  <c r="P510" i="1"/>
  <c r="N510" i="1"/>
  <c r="R203" i="1"/>
  <c r="T203" i="1"/>
  <c r="R398" i="1"/>
  <c r="T398" i="1"/>
  <c r="R390" i="1"/>
  <c r="T390" i="1"/>
  <c r="R426" i="1"/>
  <c r="T426" i="1"/>
  <c r="R388" i="1"/>
  <c r="T388" i="1"/>
  <c r="R473" i="1"/>
  <c r="T473" i="1"/>
  <c r="R461" i="1"/>
  <c r="T461" i="1"/>
  <c r="R477" i="1"/>
  <c r="T477" i="1"/>
  <c r="R465" i="1"/>
  <c r="T465" i="1"/>
  <c r="P504" i="1"/>
  <c r="N504" i="1"/>
  <c r="P528" i="1"/>
  <c r="N528" i="1"/>
  <c r="N210" i="1"/>
  <c r="P210" i="1"/>
  <c r="N205" i="1"/>
  <c r="P205" i="1"/>
  <c r="R213" i="1"/>
  <c r="T213" i="1"/>
  <c r="N374" i="1"/>
  <c r="P374" i="1"/>
  <c r="N368" i="1"/>
  <c r="P368" i="1"/>
  <c r="N376" i="1"/>
  <c r="P376" i="1"/>
  <c r="N384" i="1"/>
  <c r="P384" i="1"/>
  <c r="N402" i="1"/>
  <c r="P402" i="1"/>
  <c r="N488" i="1"/>
  <c r="P488" i="1"/>
  <c r="T522" i="1"/>
  <c r="R522" i="1"/>
  <c r="T506" i="1"/>
  <c r="R506" i="1"/>
  <c r="N209" i="1"/>
  <c r="P209" i="1"/>
  <c r="R386" i="1"/>
  <c r="T386" i="1"/>
  <c r="N425" i="1"/>
  <c r="P425" i="1"/>
  <c r="R406" i="1"/>
  <c r="T406" i="1"/>
  <c r="R422" i="1"/>
  <c r="T422" i="1"/>
  <c r="N430" i="1"/>
  <c r="P430" i="1"/>
  <c r="N199" i="1"/>
  <c r="P199" i="1"/>
  <c r="R214" i="1"/>
  <c r="T214" i="1"/>
  <c r="N211" i="1"/>
  <c r="P211" i="1"/>
  <c r="N215" i="1"/>
  <c r="P215" i="1"/>
  <c r="N370" i="1"/>
  <c r="P370" i="1"/>
  <c r="N366" i="1"/>
  <c r="P366" i="1"/>
  <c r="N460" i="1"/>
  <c r="P460" i="1"/>
  <c r="N410" i="1"/>
  <c r="P410" i="1"/>
  <c r="N372" i="1"/>
  <c r="P372" i="1"/>
  <c r="N380" i="1"/>
  <c r="P380" i="1"/>
  <c r="N392" i="1"/>
  <c r="P392" i="1"/>
  <c r="N418" i="1"/>
  <c r="P418" i="1"/>
  <c r="P491" i="1"/>
  <c r="N491" i="1"/>
  <c r="N452" i="1"/>
  <c r="P452" i="1"/>
  <c r="N457" i="1"/>
  <c r="P457" i="1"/>
  <c r="T510" i="1"/>
  <c r="R510" i="1"/>
  <c r="N212" i="1"/>
  <c r="P212" i="1"/>
  <c r="N203" i="1"/>
  <c r="P203" i="1"/>
  <c r="N398" i="1"/>
  <c r="P398" i="1"/>
  <c r="N426" i="1"/>
  <c r="P426" i="1"/>
  <c r="N475" i="1"/>
  <c r="P475" i="1"/>
  <c r="N486" i="1"/>
  <c r="P486" i="1"/>
  <c r="P490" i="1"/>
  <c r="N490" i="1"/>
  <c r="T518" i="1"/>
  <c r="R518" i="1"/>
  <c r="R207" i="1"/>
  <c r="T207" i="1"/>
  <c r="R205" i="1"/>
  <c r="T205" i="1"/>
  <c r="N213" i="1"/>
  <c r="P213" i="1"/>
  <c r="R374" i="1"/>
  <c r="T374" i="1"/>
  <c r="R368" i="1"/>
  <c r="T368" i="1"/>
  <c r="R376" i="1"/>
  <c r="T376" i="1"/>
  <c r="R384" i="1"/>
  <c r="T384" i="1"/>
  <c r="N453" i="1"/>
  <c r="P453" i="1"/>
  <c r="R488" i="1"/>
  <c r="T488" i="1"/>
  <c r="P522" i="1"/>
  <c r="N522" i="1"/>
  <c r="P506" i="1"/>
  <c r="N506" i="1"/>
  <c r="R209" i="1"/>
  <c r="T209" i="1"/>
  <c r="N406" i="1"/>
  <c r="P406" i="1"/>
  <c r="N422" i="1"/>
  <c r="P422" i="1"/>
  <c r="R455" i="1"/>
  <c r="T455" i="1"/>
  <c r="N482" i="1"/>
  <c r="P482" i="1"/>
  <c r="N489" i="1"/>
  <c r="P489" i="1"/>
  <c r="N484" i="1"/>
  <c r="P484" i="1"/>
  <c r="N463" i="1"/>
  <c r="P463" i="1"/>
  <c r="R468" i="1"/>
  <c r="T468" i="1"/>
  <c r="P515" i="1"/>
  <c r="N515" i="1"/>
  <c r="P514" i="1"/>
  <c r="N514" i="1"/>
  <c r="N195" i="1"/>
  <c r="P195" i="1"/>
  <c r="R199" i="1"/>
  <c r="T199" i="1"/>
  <c r="R370" i="1"/>
  <c r="T370" i="1"/>
  <c r="R366" i="1"/>
  <c r="T366" i="1"/>
  <c r="R372" i="1"/>
  <c r="T372" i="1"/>
  <c r="R380" i="1"/>
  <c r="T380" i="1"/>
  <c r="R392" i="1"/>
  <c r="T392" i="1"/>
  <c r="R457" i="1"/>
  <c r="T457" i="1"/>
</calcChain>
</file>

<file path=xl/sharedStrings.xml><?xml version="1.0" encoding="utf-8"?>
<sst xmlns="http://schemas.openxmlformats.org/spreadsheetml/2006/main" count="549" uniqueCount="408">
  <si>
    <t>Qty Produksi</t>
  </si>
  <si>
    <t>F-AHWP-34B20LX-B0C3-IN-GOA0</t>
  </si>
  <si>
    <t>F-ACDP-65D26RX-B2C3-IS-00A0</t>
  </si>
  <si>
    <t>F-AMWP-115D31R-B8P3-IN-MFL0</t>
  </si>
  <si>
    <t>F-AMWP-4D170RX-D7C3-AM-HDA0</t>
  </si>
  <si>
    <t>F-AMWP-72018LX-E3C3-AM-HDA0</t>
  </si>
  <si>
    <t>F-AMWP-115D31R-B8P3-AM-HDA0</t>
  </si>
  <si>
    <t>F-AMWP-95E41RX-B7C3-AM-PRA0</t>
  </si>
  <si>
    <t>F-AMWP-145G51X-C7C3-AM-PRA0</t>
  </si>
  <si>
    <t>F-AMWP-180G51X-D1C1-AM-HDA0</t>
  </si>
  <si>
    <t>F-AMWP-210H52X-E0C1-AM-HDA0</t>
  </si>
  <si>
    <t>F-AMWP-48D26RX-A8P3-AM-PRA0</t>
  </si>
  <si>
    <t>F-AMWP-65D31RX-B2P3-AM-PRA0</t>
  </si>
  <si>
    <t>F-ACDP-95E41RX-C1C1-AM-HDA0</t>
  </si>
  <si>
    <t>F-ACDP-115F51X-C5C1-AM-HDA0</t>
  </si>
  <si>
    <t>F-ACDP-145G51X-D1C1-AM-HDA0</t>
  </si>
  <si>
    <t>F-ACDP-145G51X-C7C3-TR-00A0</t>
  </si>
  <si>
    <t>F-ACDP-190H52X-E1C1-AM-HDA0</t>
  </si>
  <si>
    <t>F-ACDP-48D26RX-A9C3-AM-PRA0</t>
  </si>
  <si>
    <t>F-ACDP-65D31RX-B5C1-AM-HDA0</t>
  </si>
  <si>
    <t>F-ACDP-65D31RX-B3C3-AM-PRA0</t>
  </si>
  <si>
    <t>F-ACDP-65D31RX-B3C3-TR-00A0</t>
  </si>
  <si>
    <t>F-AMWP-4D200RX-E0C3-AM-HDA0</t>
  </si>
  <si>
    <t>F-AMWP-4D150RX-D1C3-AM-HDA0</t>
  </si>
  <si>
    <t>F-AMWP-115E41R-C1C1-AM-HDA0</t>
  </si>
  <si>
    <t>F-ACDP-65D26RX-B2C3-TR-00A0</t>
  </si>
  <si>
    <t>F-AHWP-46B24RX-B1A3-IN-GOB0</t>
  </si>
  <si>
    <t>F-AHWP-46B24LX-B1A3-IN-GOB0</t>
  </si>
  <si>
    <t>F-AHWP-46B24LS-B1A3-IN-GOB0</t>
  </si>
  <si>
    <t>F-AHWP-32B20RX-A8A3-IN-GOB0</t>
  </si>
  <si>
    <t>F-AHWP-36B20LX-B0A3-IN-GOB0</t>
  </si>
  <si>
    <t>F-AHWP-36B20RX-B0A3-IN-GOB0</t>
  </si>
  <si>
    <t>F-AHWP-32B20LX-A8A3-IN-GOB0</t>
  </si>
  <si>
    <t>F-AHWP-65D26RX-B2A3-IN-GOB0</t>
  </si>
  <si>
    <t>F-AHWP-75D31RX-B4A3-IN-GOB0</t>
  </si>
  <si>
    <t>F-AHWP-65D31RX-B2A3-IN-GOB0</t>
  </si>
  <si>
    <t>F-AHWP-75D31LX-B4A3-IN-GOB0</t>
  </si>
  <si>
    <t>F-AHWP-65D26LX-B2A3-IN-GOB0</t>
  </si>
  <si>
    <t>F-AHWP-55D26RX-B0A3-IN-GOB0</t>
  </si>
  <si>
    <t>F-AHWP-48D26RX-A8A3-IN-GOB0</t>
  </si>
  <si>
    <t>F-AHWP-55D26LX-B0A3-IN-GOB0</t>
  </si>
  <si>
    <t>F-AHWP-34B20LX-B0A3-IN-GOB0</t>
  </si>
  <si>
    <t>F-AHWP-55D23LX-B0A3-IN-GOB0</t>
  </si>
  <si>
    <t>F-AHWP-80D26LX-B3A3-IN-GOB0</t>
  </si>
  <si>
    <t>F-AHWP-95D31LX-B6A3-IN-GOB0</t>
  </si>
  <si>
    <t>F-AMWP-60038LX-B8C3-IN-MFF0</t>
  </si>
  <si>
    <t>F-AMWP-55559LX-B0C3-IN-MFF0</t>
  </si>
  <si>
    <t>F-AMWP-56219LX-B2C3-IN-MFF0</t>
  </si>
  <si>
    <t>F-AMWP-58024LX-B4C3-IN-MFF0</t>
  </si>
  <si>
    <t>F-AMWP-46B24RX-B1P3-IN-MFF0</t>
  </si>
  <si>
    <t>F-AMWP-46B24LS-B1P3-IN-MFF0</t>
  </si>
  <si>
    <t>F-AMWP-46B24LX-B1P3-IN-MFF0</t>
  </si>
  <si>
    <t>F-AVWP-32B20RX-A8A3-IN-MFF0</t>
  </si>
  <si>
    <t>F-AMWP-36B20LX-B0P3-IN-MFF0</t>
  </si>
  <si>
    <t>F-AMWP-36B20RX-B0P3-IN-MFF0</t>
  </si>
  <si>
    <t>F-AVWP-32B20LX-A8A3-IN-MFF0</t>
  </si>
  <si>
    <t>F-AMWP-75D31RX-B3P3-IN-MFF0</t>
  </si>
  <si>
    <t>F-AMWP-65D31RX-B2P3-IN-MFF0</t>
  </si>
  <si>
    <t>F-AMWP-75D31LX-B3P3-IN-MFF0</t>
  </si>
  <si>
    <t>F-AMWP-65D26RX-B3P3-IN-MFF0</t>
  </si>
  <si>
    <t>F-AMWP-65D26LX-B3P3-IN-MFF0</t>
  </si>
  <si>
    <t>F-AMWP-48D26RX-A8P3-IN-MFF0</t>
  </si>
  <si>
    <t>F-AMWP-55D26RX-B0P3-IN-MFF0</t>
  </si>
  <si>
    <t>F-AMWP-55D23LX-B0P3-IN-MFF0</t>
  </si>
  <si>
    <t>F-AMWP-80D26LX-B3P3-IN-MFF0</t>
  </si>
  <si>
    <t>F-AMWP-95D31LX-B4P3-IN-MFF0</t>
  </si>
  <si>
    <t>F-AMWP-95D31RX-B4P3-IN-MFF0</t>
  </si>
  <si>
    <t>F-ACDP-65D26RX-B2C3-IN-PPA0</t>
  </si>
  <si>
    <t>F-ACDP-75D31RX-B4C3-IN-PPA0</t>
  </si>
  <si>
    <t>F-ACDP-65D31RX-B3C3-IN-PPA0</t>
  </si>
  <si>
    <t>F-ACDP-65D26LX-B2C3-IN-PPA0</t>
  </si>
  <si>
    <t>F-ACDP-75D31LX-B4C3-IN-PPA0</t>
  </si>
  <si>
    <t>F-ACDP-55D26RX-B1C3-IN-PPA0</t>
  </si>
  <si>
    <t>F-ACDP-48D26RX-A9C3-IN-PPA0</t>
  </si>
  <si>
    <t>F-ACDP-55D23LX-B0C3-IN-PPA0</t>
  </si>
  <si>
    <t>F-ACDP-36B20RX-B0C3-IN-PPA0</t>
  </si>
  <si>
    <t>F-ACDP-36B20LX-B0C3-IN-PPA0</t>
  </si>
  <si>
    <t>F-ACDP-32B20RX-A9C3-IN-PPA0</t>
  </si>
  <si>
    <t>F-ACDP-32B20LX-A9C3-IN-PPA0</t>
  </si>
  <si>
    <t>F-ACDP-46B24RX-B1C3-IN-PPA0</t>
  </si>
  <si>
    <t>F-ACDP-46B24LX-B1C3-IN-PPA0</t>
  </si>
  <si>
    <t>F-ACDP-46B24LS-B1C3-IN-PPA0</t>
  </si>
  <si>
    <t>F-ACDP-95E41RX-B7C3-IN-PPA0</t>
  </si>
  <si>
    <t>F-ACDP-115F51X-C1C3-IN-PPA0</t>
  </si>
  <si>
    <t>F-ACDP-145G51X-C7C3-IN-PPA0</t>
  </si>
  <si>
    <t>F-ACDP-190H52X-D7C3-IN-PPA0</t>
  </si>
  <si>
    <t>F-ACDP-145G51L-C7C3-IN-PPA0</t>
  </si>
  <si>
    <t>F-ACDP-95D31LX-B7C3-IN-PPA0</t>
  </si>
  <si>
    <t>F-ACDP-80D26LX-B4C3-IN-PPA0</t>
  </si>
  <si>
    <t>F-ACDP-58024LX-B5C3-IN-PPA0</t>
  </si>
  <si>
    <t>F-ACDP-46B24RX-B1C3-AP-PRD0</t>
  </si>
  <si>
    <t>F-ACDP-46B24LX-B1C3-AP-PRD0</t>
  </si>
  <si>
    <t>F-ACDP-46B24LS-B1C3-AP-PRD0</t>
  </si>
  <si>
    <t>F-ACDP-32B20RX-A9C3-AP-PRD0</t>
  </si>
  <si>
    <t>F-ACDP-36B20LX-B0C3-AP-PRD0</t>
  </si>
  <si>
    <t>F-ACDP-36B20RX-B0C3-AP-PRD0</t>
  </si>
  <si>
    <t>F-ACDP-32B20LX-A9C3-AP-PRD0</t>
  </si>
  <si>
    <t>F-ACDP-65D31RX-B3C3-AP-PRD0</t>
  </si>
  <si>
    <t>F-ACDP-55D26RX-B1C3-AP-PRD0</t>
  </si>
  <si>
    <t>F-ACDP-48D26RX-A9C3-AP-PRD0</t>
  </si>
  <si>
    <t>F-ACDP-95E41RX-B7C3-AP-PRC0</t>
  </si>
  <si>
    <t>F-ACDP-115F51X-C1C3-AP-PRC0</t>
  </si>
  <si>
    <t>F-ACDP-145G51X-C7C3-AP-PRC0</t>
  </si>
  <si>
    <t>F-AHWP-32B20RX-A8A3-AP-HYA0</t>
  </si>
  <si>
    <t>F-AHWP-32B20LX-A8A3-AP-HYA0</t>
  </si>
  <si>
    <t>F-AHWP-36B20LX-B0A3-AP-HYA0</t>
  </si>
  <si>
    <t>F-AHWP-36B20RX-B0A3-AP-HYA0</t>
  </si>
  <si>
    <t>F-AHWP-46B24RX-B1A3-AP-HYA0</t>
  </si>
  <si>
    <t>F-AHWP-46B24LX-B1A3-AP-HYA0</t>
  </si>
  <si>
    <t>F-AHWP-46B24LS-B1A3-AP-HYA0</t>
  </si>
  <si>
    <t>F-AHWP-55D26RX-B0A3-AP-HYA0</t>
  </si>
  <si>
    <t>F-AHWP-48D26RX-A8A3-AP-HYA0</t>
  </si>
  <si>
    <t>F-AHWP-65D26RX-B2A3-AP-HYA0</t>
  </si>
  <si>
    <t>F-AHWP-75D31RX-B4A3-AP-HYA0</t>
  </si>
  <si>
    <t>F-AHWP-65D31RX-B2A3-AP-HYA0</t>
  </si>
  <si>
    <t>F-AMWP-36B20RX-B0P3-AP-MFG0</t>
  </si>
  <si>
    <t>F-AMWP-36B20LX-B0P3-AP-MFG0</t>
  </si>
  <si>
    <t>F-AMWP-46B24RX-B1P3-AP-MFG0</t>
  </si>
  <si>
    <t>F-AMWP-46B24LX-B1P3-AP-MFG0</t>
  </si>
  <si>
    <t>F-AMWP-46B24LS-B1P3-AP-MFG0</t>
  </si>
  <si>
    <t>F-AMWP-55D23LX-B0P3-AP-MFG0</t>
  </si>
  <si>
    <t>F-AMWP-80D26LX-B3P3-AP-MFG0</t>
  </si>
  <si>
    <t>F-AMWP-95D31LX-B4P3-AP-MFG0</t>
  </si>
  <si>
    <t>F-ACDP-48D26RX-B2C2-TN-HDA0</t>
  </si>
  <si>
    <t>F-ACDP-65D31RX-B3C3-TN-00A0</t>
  </si>
  <si>
    <t>F-ACDP-95E41RX-B7C3-TN-00A0</t>
  </si>
  <si>
    <t>F-AMWP-95E41RX-B7C3-TN-00A0</t>
  </si>
  <si>
    <t>F-AMWP-75D31LX-B3P3-TN-00A0</t>
  </si>
  <si>
    <t>F-AMWA-SA65XXX-B1C3-IN-00D0</t>
  </si>
  <si>
    <t>F-AMWP-40B20RX-A9P3-OH-MFA0</t>
  </si>
  <si>
    <t>F-AMWP-40B20LX-A9P3-OH-MFA0</t>
  </si>
  <si>
    <t>F-AMWP-80D31LX-B2P3-OH-MFA0</t>
  </si>
  <si>
    <t>F-AMWP-80D31RX-B2P3-OH-MFA0</t>
  </si>
  <si>
    <t>F-ACDP-48D26RX-A9C3-OH-00B0</t>
  </si>
  <si>
    <t>F-ACDP-48D26LX-A9C3-OH-00B0</t>
  </si>
  <si>
    <t>F-ACDP-65D31RX-B3C3-OH-00B0</t>
  </si>
  <si>
    <t>F-ACDP-65D31LX-B3C3-OH-00B0</t>
  </si>
  <si>
    <t>F-ACDP-95E41RX-B7C3-OH-00B0</t>
  </si>
  <si>
    <t>F-ACDP-115F51X-C1C3-OH-00B0</t>
  </si>
  <si>
    <t>F-ACDP-145G51X-C7C3-OH-00B0</t>
  </si>
  <si>
    <t>F-ACDP-95E41RX-B5C4-IN-XPE0</t>
  </si>
  <si>
    <t>F-ACDP-115F51X-B9C4-IN-XPE0</t>
  </si>
  <si>
    <t>F-ACWP-115F51X-B9C4-IN-XPL0</t>
  </si>
  <si>
    <t>F-ACWP-145G51X-C3C5-IN-XPL0</t>
  </si>
  <si>
    <t>F-ACWP-190H52X-D1C6-IN-XPL0</t>
  </si>
  <si>
    <t>F-AMWP-135F51X-C1C3-IN-MFB0</t>
  </si>
  <si>
    <t>F-AMWP-145G51X-C5C4-IN-MFB0</t>
  </si>
  <si>
    <t>F-ACDP-32C24RX-B1C3-IN-XPJ0</t>
  </si>
  <si>
    <t>F-ACDP-95E41RX-B7C3-IN-XPJ0</t>
  </si>
  <si>
    <t>F-ACDP-190H52X-D7C3-IN-XPJ0</t>
  </si>
  <si>
    <t>F-ACDP-48D26LX-A9C3-IN-XPB0</t>
  </si>
  <si>
    <t>F-AHWP-48D26LX-A8A3-IN-GOC0</t>
  </si>
  <si>
    <t>F-ACDP-65D31LX-B3C3-IN-XPB0</t>
  </si>
  <si>
    <t>F-AHWP-65D31LX-B2A3-IN-GOC0</t>
  </si>
  <si>
    <t>F-ACDP-95E41LX-B7C3-IN-XPB0</t>
  </si>
  <si>
    <t>F-ACDP-115F51X-C1C3-IN-XPB0</t>
  </si>
  <si>
    <t>F-ACDP-145G51X-C7C3-IN-XPB0</t>
  </si>
  <si>
    <t>F-ACDP-190H52X-D7C3-IN-XPB0</t>
  </si>
  <si>
    <t>F-AMWP-45B20LX-B0P3-IN-MFE0</t>
  </si>
  <si>
    <t>F-AMWP-60D26LX-B1P2-IN-MFE0</t>
  </si>
  <si>
    <t>F-AMWP-65D31LX-B3P2-IN-MFE0</t>
  </si>
  <si>
    <t>F-AMWP-115E41L-B7C3-IN-MFE0</t>
  </si>
  <si>
    <t>F-AMWP-115F51X-C1C3-IN-MFE0</t>
  </si>
  <si>
    <t>F-AMWP-170G51X-C7C3-IN-MFE0</t>
  </si>
  <si>
    <t>F-AMWP-210H52X-D7C3-IN-MFE0</t>
  </si>
  <si>
    <t>F-AMWP-46B24LX-B1P3-OH-MFE0</t>
  </si>
  <si>
    <t>F-AMWP-55D26LX-A8P3-OH-MFE0</t>
  </si>
  <si>
    <t>F-AMWP-65D31LX-B2P3-OH-MFE0</t>
  </si>
  <si>
    <t>F-AMWP-170G51X-C7C3-OH-MFE0</t>
  </si>
  <si>
    <t>F-ACDP-145G51X-C5C4-BL-00A0</t>
  </si>
  <si>
    <t>F-ACDP-190H52X-D5C4-BL-00A0</t>
  </si>
  <si>
    <t>F-ACDP-95E41LX-B5C4-OH-00H0</t>
  </si>
  <si>
    <t>F-ACDP-145G51X-C5C4-OH-00H0</t>
  </si>
  <si>
    <t>F-AMWP-32B20LX-A9P3-QU-MFI0</t>
  </si>
  <si>
    <t>F-AMWP-32C24LX-B0P3-QU-MFI0</t>
  </si>
  <si>
    <t>F-AMWP-48D26LX-A8P3-QU-MFI0</t>
  </si>
  <si>
    <t>F-AMWP-65D31LX-B2P3-QU-MFI0</t>
  </si>
  <si>
    <t>F-AMWP-95E41LX-B7C3-QU-MFI0</t>
  </si>
  <si>
    <t>F-AMWP-115F51X-C1C3-QU-MFI0</t>
  </si>
  <si>
    <t>F-AMWP-145G51X-C7C3-QU-MFI0</t>
  </si>
  <si>
    <t>F-ACDP-32C24LX-A9C4-QU-00I0</t>
  </si>
  <si>
    <t>F-ACDP-55D26LX-A9C4-QU-00I0</t>
  </si>
  <si>
    <t>F-ACDP-75D31LX-B3C4-QU-00I0</t>
  </si>
  <si>
    <t>F-ACDP-95E41LX-B5C4-QU-00I0</t>
  </si>
  <si>
    <t>F-ACDP-115F51X-B9C4-QU-00I0</t>
  </si>
  <si>
    <t>F-ACDP-145G51X-C3C5-QU-00I0</t>
  </si>
  <si>
    <t>F-AMWP-32B20LX-A9P3-QU-MFH0</t>
  </si>
  <si>
    <t>F-AMWP-48D26LX-A8P3-QU-MFH0</t>
  </si>
  <si>
    <t>F-AMWP-65D31LX-B2P3-QU-MFH0</t>
  </si>
  <si>
    <t>F-AMWP-95E41LX-B7C3-QU-MFH0</t>
  </si>
  <si>
    <t>F-AMWP-115F51X-C1C3-QU-MFH0</t>
  </si>
  <si>
    <t>F-AMWP-145G51X-C7C3-QU-MFH0</t>
  </si>
  <si>
    <t>F-AMWP-190H52X-D7C3-QU-MFH0</t>
  </si>
  <si>
    <t>F-ACDP-32B20LX-A7C4-QU-00G0</t>
  </si>
  <si>
    <t>F-ACDP-32C24LX-A9C4-QU-00C0</t>
  </si>
  <si>
    <t>F-ACDP-55D26LX-A9C4-QU-00G0</t>
  </si>
  <si>
    <t>F-ACDP-75D31LX-B3C4-QU-00G0</t>
  </si>
  <si>
    <t>F-ACDP-95E41LX-B5C4-QU-00G0</t>
  </si>
  <si>
    <t>F-ACDP-115F51X-B9C4-QU-00G0</t>
  </si>
  <si>
    <t>F-ACDP-145G51X-C3C5-QU-00G0</t>
  </si>
  <si>
    <t>F-ACDP-190H52X-C9C7-QU-00G0</t>
  </si>
  <si>
    <t>F-ACDP-48D26RX-A9C3-IN-XPE0</t>
  </si>
  <si>
    <t>F-ACDP-48D26RX-A9C3-AP-PRA0</t>
  </si>
  <si>
    <t>F-ACUP-36B20LX-A7C5-OH-00A0</t>
  </si>
  <si>
    <t>F-ACUP-46B24RS-A9C5-OH-00A0</t>
  </si>
  <si>
    <t>F-ACUP-65D26RX-B1C4-OH-00A0</t>
  </si>
  <si>
    <t>F-ACUP-95D31RX-B3C5-OH-00A0</t>
  </si>
  <si>
    <t>F-ACUP-95D31LX-B3C5-OH-00A0</t>
  </si>
  <si>
    <t>F-ACUP-95E41RX-B5C4-OH-00A0</t>
  </si>
  <si>
    <t>F-ACUP-115F51X-B9C4-OH-00A0</t>
  </si>
  <si>
    <t>F-ACUP-145G51X-C3C5-OH-00A0</t>
  </si>
  <si>
    <t>F-AMUP-EFBM42L-B2P3-QU-MFA0</t>
  </si>
  <si>
    <t>F-AVUP-36B20LX-A7A5-QU-MFA0</t>
  </si>
  <si>
    <t>F-AVUP-46B24RX-A9A5-QU-MFA0</t>
  </si>
  <si>
    <t>F-AVUP-46B24LX-A9A5-QU-MFA0</t>
  </si>
  <si>
    <t>F-AVUP-65D26RX-B0A4-QU-MFA0</t>
  </si>
  <si>
    <t>F-AMUP-95D31RX-B2P5-QU-MFA0</t>
  </si>
  <si>
    <t>F-AMUP-95D31LX-B2P5-QU-MFA0</t>
  </si>
  <si>
    <t>F-AMUP-56638LX-B2C3-QU-MFA0</t>
  </si>
  <si>
    <t>F-AMUP-56640LH-B5C3-QU-MFA0</t>
  </si>
  <si>
    <t>F-AMUP-190H52X-D7C3-QU-MFA0</t>
  </si>
  <si>
    <t>F-ACUP-46B24LS-A9C5-QU-00A0</t>
  </si>
  <si>
    <t>F-ACUP-65D26RX-B1C4-QU-00A0</t>
  </si>
  <si>
    <t>F-ACUP-65D26LX-B1C4-QU-00A0</t>
  </si>
  <si>
    <t>F-ACUP-95D31RX-B3C5-QU-00A0</t>
  </si>
  <si>
    <t>F-ACUP-95D31LX-B3C5-QU-00A0</t>
  </si>
  <si>
    <t>F-ACUP-115F51X-B9C4-QU-00A0</t>
  </si>
  <si>
    <t>F-ACUP-145G51X-C3C5-QU-00A0</t>
  </si>
  <si>
    <t>F-ACUP-95D31RX-B3C5-IN-XPE0</t>
  </si>
  <si>
    <t>F-ACUP-95D31LX-B3C5-IN-XPE0</t>
  </si>
  <si>
    <t>F-ACUP-95E41RX-B5C4-IN-XPE0</t>
  </si>
  <si>
    <t>F-ACUP-115F51X-B9C4-IN-XPE0</t>
  </si>
  <si>
    <t>F-ACUP-145G51X-C3C5-IN-XPE0</t>
  </si>
  <si>
    <t>F-AMWP-50B24LS-B1P3-OH-MFB0</t>
  </si>
  <si>
    <t>F-AMWP-65D23LX-B0P3-OH-MFB0</t>
  </si>
  <si>
    <t>F-AMWP-80D23LX-B3P3-OH-MFB0</t>
  </si>
  <si>
    <t>F-AMWP-90D26LX-B3P3-OH-MFB0</t>
  </si>
  <si>
    <t>F-AMWP-56219LX-B2C3-OH-MFB0</t>
  </si>
  <si>
    <t>F-AMWP-56221RX-B2C3-OH-MFB0</t>
  </si>
  <si>
    <t>F-AMWP-57412LX-B4C3-OH-MFB0</t>
  </si>
  <si>
    <t>F-AMWP-60038LX-B8C3-OH-MFB0</t>
  </si>
  <si>
    <t>F-AMWP-95E41RX-B7C3-OH-MFB0</t>
  </si>
  <si>
    <t>F-AMWP-115F51X-C1C3-OH-MFB0</t>
  </si>
  <si>
    <t>F-AMWP-145G51X-C7C3-OH-MFB0</t>
  </si>
  <si>
    <t>F-ACDP-190H52X-D7C3-OH-00D0</t>
  </si>
  <si>
    <t>F-AMWP-45B20LX-B0P3-IN-MFB0</t>
  </si>
  <si>
    <t>F-AMWP-50B24LX-B1P3-IN-MFB0</t>
  </si>
  <si>
    <t>F-AMWP-65D23LX-B0P3-IN-MFB0</t>
  </si>
  <si>
    <t>F-AMWP-70D26RX-B0P3-IN-MFB0</t>
  </si>
  <si>
    <t>F-AMWP-115E41R-B7C3-IN-MFB0</t>
  </si>
  <si>
    <t>F-AMWP-60038LX-B8C3-IN-MFB0</t>
  </si>
  <si>
    <t>F-AMWP-90D26RX-B3P3-IN-MFB0</t>
  </si>
  <si>
    <t>F-AMWP-170G51X-C7C3-IN-MFB0</t>
  </si>
  <si>
    <t>F-AMWP-55D26LX-A8P3-IN-MFB0</t>
  </si>
  <si>
    <t>F-AMWP-80D31RX-B2P3-IN-MFB0</t>
  </si>
  <si>
    <t>F-ACUP-95E41RX-B5C4-QU-00A0</t>
  </si>
  <si>
    <t>F-ACUP-115F51X-C1C3-QU-00A0</t>
  </si>
  <si>
    <t>F-ACUP-190H52X-C9C7-QU-00F0</t>
  </si>
  <si>
    <t>F-ACUP-190H52X-D1C6-QU-00F0</t>
  </si>
  <si>
    <t>F-ACUP-75D31RX-B5C3-QU-00A0</t>
  </si>
  <si>
    <t>F-ACUP-75D31LX-B5C3-QU-00A0</t>
  </si>
  <si>
    <t>F-ACUP-36B20LX-A9C4-QU-00A0</t>
  </si>
  <si>
    <t>F-ACUP-46B24RS-B1C4-QU-00F0</t>
  </si>
  <si>
    <t>F-ACUP-65D26RX-B2C3-QU-00A0</t>
  </si>
  <si>
    <t>F-ACUP-65D26LX-B1C4-BL-00A0</t>
  </si>
  <si>
    <t>F-ACUP-65D26RX-B1C4-BL-00A0</t>
  </si>
  <si>
    <t>F-ACUP-36B20LX-A9C4-BL-00A0</t>
  </si>
  <si>
    <t>F-ACUP-46B24RS-A9C5-BL-00A0</t>
  </si>
  <si>
    <t>F-ACUP-46B24LS-A9C5-BL-00A0</t>
  </si>
  <si>
    <t>F-ACUP-75D31RX-B5C3-BL-00D0</t>
  </si>
  <si>
    <t>F-ACUP-75D31LX-B5C3-BL-00D0</t>
  </si>
  <si>
    <t>F-ACUP-95E41RX-B7C3-BL-00D0</t>
  </si>
  <si>
    <t>F-ACUP-115F51X-B9C4-BL-00A0</t>
  </si>
  <si>
    <t>F-ACUP-145G51X-C3C5-BL-00A0</t>
  </si>
  <si>
    <t>F-ACUP-190H52X-C9C7-BL-00C0</t>
  </si>
  <si>
    <t>F-ACUP-145G51L-C7C3-BL-00D0</t>
  </si>
  <si>
    <t>F-ACDP-32B20LX-A9C3-OH-00E0</t>
  </si>
  <si>
    <t>F-ACDP-46B24LX-B2C3-OH-00E0</t>
  </si>
  <si>
    <t>F-ACDP-48D26LX-A9C3-OH-00E0</t>
  </si>
  <si>
    <t>F-ACDP-48D26RX-A9C3-OH-00E0</t>
  </si>
  <si>
    <t>F-ACDP-55D26RX-B1C3-OH-00E0</t>
  </si>
  <si>
    <t>F-ACDP-65D31RX-B3C3-OH-00E0</t>
  </si>
  <si>
    <t>F-ACDP-75D31RX-B4C3-OH-00E0</t>
  </si>
  <si>
    <t>F-ACDP-75D31LX-B4C3-OH-00E0</t>
  </si>
  <si>
    <t>F-ACDP-145G51X-C7C3-OH-00E0</t>
  </si>
  <si>
    <t>F-AMWP-80D31RX-B2P3-IN-MFC0</t>
  </si>
  <si>
    <t>F-AMWP-80D31LX-B2P3-IN-MFC0</t>
  </si>
  <si>
    <t>F-AMWP-55D26LX-A8P3-IN-MFC0</t>
  </si>
  <si>
    <t>F-ACUP-46B24RS-A9C5-IN-XPG0</t>
  </si>
  <si>
    <t>F-ACUP-46B24LX-B1C4-IN-XPG0</t>
  </si>
  <si>
    <t>F-ACUP-65D26RX-A9C5-IN-XPG0</t>
  </si>
  <si>
    <t>F-ACUP-65D26LX-A9C5-IN-XPG0</t>
  </si>
  <si>
    <t>F-ACUP-65D26RX-B1C4-IN-XPG0</t>
  </si>
  <si>
    <t>F-ACUP-95D31RX-B3C5-IN-XPG0</t>
  </si>
  <si>
    <t>F-ACUP-75D31LX-B5C3-IN-XPG0</t>
  </si>
  <si>
    <t>F-ACUP-95E41RX-B5C4-IN-XPG0</t>
  </si>
  <si>
    <t>F-ACUP-95E41RX-B7C3-IN-XPG0</t>
  </si>
  <si>
    <t>F-ACUP-115F51X-B9C4-IN-XPG0</t>
  </si>
  <si>
    <t>F-ACUP-115F51X-C1C3-IN-XPG0</t>
  </si>
  <si>
    <t>F-ACUP-145G51X-C3C5-IN-XPG0</t>
  </si>
  <si>
    <t>F-ACUP-145G51X-C7C3-IN-XPG0</t>
  </si>
  <si>
    <t>F-ACUP-65038LX-D1C3-IN-XPG0</t>
  </si>
  <si>
    <t>F-ACUP-95D31LX-B7C3-IN-XPG0</t>
  </si>
  <si>
    <t>F-AMUP-36B20LX-A9P4-IN-MFB0</t>
  </si>
  <si>
    <t>F-AVUP-46B24RS-B0A4-IN-MFB0</t>
  </si>
  <si>
    <t>F-AVUP-46B24LS-B0A4-IN-MFB0</t>
  </si>
  <si>
    <t>F-AVUP-46B24LX-B0A4-IN-MFB0</t>
  </si>
  <si>
    <t>F-AVUP-65D26LX-B0A4-IN-MFB0</t>
  </si>
  <si>
    <t>F-AMUP-95D31LX-B3P4-IN-MFB0</t>
  </si>
  <si>
    <t>F-AMUP-190H52X-D5C4-IN-MFB0</t>
  </si>
  <si>
    <t>F-ACWP-65D26LX-B1C4-AS-HPC0</t>
  </si>
  <si>
    <t>F-ACWP-95D31RX-B5C4-AS-HPC0</t>
  </si>
  <si>
    <t>F-ACWP-95D31LX-B5C4-AS-HPC0</t>
  </si>
  <si>
    <t>F-ACWP-95E41RX-B5C4-AS-HPC0</t>
  </si>
  <si>
    <t>F-ACWP-115F51X-B9C4-AS-HPC0</t>
  </si>
  <si>
    <t>F-ACWP-145G51X-C3C5-AS-HPC0</t>
  </si>
  <si>
    <t>F-ACWP-190H52X-D1C6-AS-HPC0</t>
  </si>
  <si>
    <t>F-AMWP-90D26RX-B3P3-AS-HPC0</t>
  </si>
  <si>
    <t>F-AMWP-90D26LX-B3P3-AS-HPC0</t>
  </si>
  <si>
    <t>F-AMWP-110D31R-B6P3-AS-HPC0</t>
  </si>
  <si>
    <t>F-AMWP-115E41R-B7C3-AS-HPC0</t>
  </si>
  <si>
    <t>F-AMWP-115E41L-B7C3-AS-HPC0</t>
  </si>
  <si>
    <t>F-AMWP-135F51X-C1C3-AS-HPC0</t>
  </si>
  <si>
    <t>F-AMWP-170G51X-C7C3-AS-HPC0</t>
  </si>
  <si>
    <t>F-AMWP-210H52X-D7C3-AS-HPC0</t>
  </si>
  <si>
    <t>F-AMUP-55559LX-B0C3-IN-MFB0</t>
  </si>
  <si>
    <t>F-AMUP-60038LX-B8C3-IN-MFB0</t>
  </si>
  <si>
    <t>F-AMUP-95D31RX-B3P4-IN-MFB0</t>
  </si>
  <si>
    <t>F-AMUP-135F51X-C1C3-IN-MFB0</t>
  </si>
  <si>
    <t>F-AMUP-125D31L-B8P3-IN-MFB0</t>
  </si>
  <si>
    <t>F-AVUP-46B24RS-B0A4-AS-HPB0</t>
  </si>
  <si>
    <t>F-AMUP-65D23LX-B0P3-AS-HPB0</t>
  </si>
  <si>
    <t>F-AMUP-56638LX-B2C3-AS-HPB0</t>
  </si>
  <si>
    <t>F-AMUP-115E41R-B7C3-AS-HPB0</t>
  </si>
  <si>
    <t>F-AMUP-135F51X-C1C3-AS-HPB0</t>
  </si>
  <si>
    <t>F-ACUP-65D26LX-B1C4-OH-00A0</t>
  </si>
  <si>
    <t>F-ACUP-36B20LX-A7C5-QU-00A0</t>
  </si>
  <si>
    <t>F-ACUP-46B24RS-A9C5-QU-00A0</t>
  </si>
  <si>
    <t>F-ACUP-55D23LX-B0C3-QU-00A0</t>
  </si>
  <si>
    <t>F-ACUP-55565RX-B1C3-QU-00A0</t>
  </si>
  <si>
    <t>F-ACUP-65D26LX-B1C4-IN-XPG0</t>
  </si>
  <si>
    <t>F-ACUP-190H52X-D7C3-IN-XPG0</t>
  </si>
  <si>
    <t>F-AMUP-145G51X-C5C4-IN-MFB0</t>
  </si>
  <si>
    <t>F-ACUP-46B24RS-A9C5-AS-HPA0</t>
  </si>
  <si>
    <t>F-ACUP-65D26RX-B1C4-AS-HPA0</t>
  </si>
  <si>
    <t>F-ACUP-115F51X-B9C4-AS-HPA0</t>
  </si>
  <si>
    <t>F-ACUP-115F51X-C1C3-AS-HPA0</t>
  </si>
  <si>
    <t>F-ACUP-145G51X-C3C5-AS-HPA0</t>
  </si>
  <si>
    <t>F-AVUP-46B24LS-B0A4-AS-HPB0</t>
  </si>
  <si>
    <t>F-AVUP-65D26RX-B0A4-AS-HPB0</t>
  </si>
  <si>
    <t>F-AMUP-55565RX-B0C3-AS-HPB0</t>
  </si>
  <si>
    <t>F-AMUP-95D31RX-B3P4-AS-HPB0</t>
  </si>
  <si>
    <t>F-AMUP-95D31LX-B3P4-AS-HPB0</t>
  </si>
  <si>
    <t>F-ACUP-46B24LX-A9C5-QU-00F0</t>
  </si>
  <si>
    <t>F-ACUP-36B20LX-A7C5-BL-00A0</t>
  </si>
  <si>
    <t>F-ACUP-190H52X-D3C5-IN-XPG0</t>
  </si>
  <si>
    <t>F-ACUP-95D31RX-B3C5-BL-00A0</t>
  </si>
  <si>
    <t>F-ACUP-95D31LX-B3C5-BL-00A0</t>
  </si>
  <si>
    <t>F-AVUP-36B20LX-A7A5-OH-MFA0</t>
  </si>
  <si>
    <t>F-AVUP-46B24RS-B0A4-OH-MFA0</t>
  </si>
  <si>
    <t>F-AVUP-46B24RS-B0A4-QU-MFA0</t>
  </si>
  <si>
    <t>F-AVUP-46B24LS-B0A4-QU-MFA0</t>
  </si>
  <si>
    <t>F-AVUP-46B24RX-B0A4-OH-MFA0</t>
  </si>
  <si>
    <t>F-AVUP-46B24LX-B0A4-OH-MFA0</t>
  </si>
  <si>
    <t>F-AVUP-65D26LX-B0A4-OH-MFA0</t>
  </si>
  <si>
    <t>F-AMUP-95D31RX-B2P5-OH-MFA0</t>
  </si>
  <si>
    <t>F-AMUP-95D31LX-B2P5-OH-MFA0</t>
  </si>
  <si>
    <t>F-AVUP-46B24RX-B0A4-QU-MFA0</t>
  </si>
  <si>
    <t>F-AVUP-46B24LX-B0A4-QU-MFA0</t>
  </si>
  <si>
    <t>F-AVUP-65D26LX-B0A4-QU-MFA0</t>
  </si>
  <si>
    <t>F-ACUP-95D31RX-B7C3-OH-00A0</t>
  </si>
  <si>
    <t>F-ACUP-95D31LX-B7C3-OH-00A0</t>
  </si>
  <si>
    <t>F-ACUP-95E41RX-B7C3-OH-00A0</t>
  </si>
  <si>
    <t>F-ACUP-115F51X-C1C3-OH-00A0</t>
  </si>
  <si>
    <t>F-ACUP-145G51X-C7C3-OH-00A0</t>
  </si>
  <si>
    <t>F-ACDP-48D26RX-B1C2-AU-00A0</t>
  </si>
  <si>
    <t>F-ACDP-65D31RX-B5C2-AU-00A0</t>
  </si>
  <si>
    <t>F-ACDP-95E41RX-C0C2-AU-00A0</t>
  </si>
  <si>
    <t>F-AVUP-46B24RX-B0A4-IN-MFB0</t>
  </si>
  <si>
    <t>F-ACUP-36B20LX-A9C4-IN-XPG0</t>
  </si>
  <si>
    <t>F-ACUP-46B24RS-B1C4-IN-XPG0</t>
  </si>
  <si>
    <t>F-ACUP-55D23LX-B0C3-IN-XPG0</t>
  </si>
  <si>
    <t>F-AMUP-50B24LX-B1P3-IN-MFB0</t>
  </si>
  <si>
    <t>F-AVUP-65D26RX-B0A4-IN-MFB0</t>
  </si>
  <si>
    <t>F-AMUP-65D23LX-B0P3-IN-MFB0</t>
  </si>
  <si>
    <t>F-AMUP-95E41RX-B5C4-IN-MFB0</t>
  </si>
  <si>
    <t>F-AMUP-56638LX-B2C3-IN-MFB0</t>
  </si>
  <si>
    <t>F-AMDA-TZ5SKIT-A7C3-AP-MFE0</t>
  </si>
  <si>
    <t>F-AMDA-TZ5SKIT-A7C3-QU-FPA0</t>
  </si>
  <si>
    <t>Spec Code</t>
  </si>
  <si>
    <t>Item Data Infor</t>
  </si>
  <si>
    <t>PN Plate Positif</t>
  </si>
  <si>
    <t>Qty Plate Positif</t>
  </si>
  <si>
    <t>PN Plate Negatif</t>
  </si>
  <si>
    <t>Grid Process Plate Negatif</t>
  </si>
  <si>
    <t>Grid Process Plate Positif</t>
  </si>
  <si>
    <t>Qty Pule Plate Negatif</t>
  </si>
  <si>
    <t>Qty Pule Plate Positif</t>
  </si>
  <si>
    <t>Qty Plate Negatif</t>
  </si>
  <si>
    <t>ITEM</t>
  </si>
  <si>
    <t>PN Customer</t>
  </si>
  <si>
    <t>Periode</t>
  </si>
  <si>
    <t>Tech</t>
  </si>
  <si>
    <t>Separator</t>
  </si>
  <si>
    <t>Battery Type</t>
  </si>
  <si>
    <t>Plate</t>
  </si>
  <si>
    <t>1st Line</t>
  </si>
  <si>
    <t>2nd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</si>
</sst>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js3661\AppData\Local\Microsoft\Windows\INetCache\Content.Outlook\Z0RZWW72\Order%20May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_01\d\WINDOWS\TEMP\COSCAL-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yu/BU%20AGNES/PERUBAHAN%20STD/Perubahan%20Standar/Perubahan%20JKS/2019/2019%20KRW%20NEW%20JKS%20AMB1%20(ASSY%202019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g-win-tc02\users$\ara0630\My%20Documents\Dlama\DATA%20CONTROL%20POINT\Data%20Control%20Point%202018\12.desem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PS-2019-01\02-__.MPS\17.12%20MPS-ONLY-2017-12-R00-INT-R00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s3661/AppData/Local/Microsoft/Windows/INetCache/Content.Outlook/0PKDIO5E/tcibd0501m000_720_20231018-094452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e Infor"/>
      <sheetName val="Data Pule"/>
      <sheetName val="Tipe Plate"/>
      <sheetName val="Order May"/>
      <sheetName val="Data Rate"/>
      <sheetName val="Data MP"/>
      <sheetName val="Resume"/>
      <sheetName val="Sheet1"/>
    </sheetNames>
    <sheetDataSet>
      <sheetData sheetId="0">
        <row r="1">
          <cell r="B1" t="str">
            <v>ItemData</v>
          </cell>
          <cell r="C1" t="str">
            <v>Items</v>
          </cell>
          <cell r="D1" t="str">
            <v>Net Quantity</v>
          </cell>
          <cell r="E1" t="str">
            <v>Items</v>
          </cell>
          <cell r="F1" t="str">
            <v>Net Quantity</v>
          </cell>
        </row>
        <row r="2">
          <cell r="B2" t="str">
            <v>ACDP-105D31L-B8C3</v>
          </cell>
          <cell r="C2" t="str">
            <v>W-FOPL-CG85PXX-L870-02-7S00</v>
          </cell>
          <cell r="D2">
            <v>27</v>
          </cell>
          <cell r="E2" t="str">
            <v>W-FOPL-CG87NXX-T3L0-02-7S00</v>
          </cell>
          <cell r="F2">
            <v>27</v>
          </cell>
        </row>
        <row r="3">
          <cell r="B3" t="str">
            <v>ACDP-105D31R-B6C4</v>
          </cell>
          <cell r="C3" t="str">
            <v>W-FOPL-CG85PXX-L870-02-7S00</v>
          </cell>
          <cell r="D3">
            <v>24</v>
          </cell>
          <cell r="E3" t="str">
            <v>W-FOPL-CG87NXX-T3L0-02-7S00</v>
          </cell>
          <cell r="F3">
            <v>24</v>
          </cell>
        </row>
        <row r="4">
          <cell r="B4" t="str">
            <v>ACDP-105D31R-B8C3</v>
          </cell>
          <cell r="C4" t="str">
            <v>W-FOPL-CG85PXX-L870-02-7S00</v>
          </cell>
          <cell r="D4">
            <v>27</v>
          </cell>
          <cell r="E4" t="str">
            <v>W-FOPL-CG87NXX-T3L0-02-7S00</v>
          </cell>
          <cell r="F4">
            <v>27</v>
          </cell>
        </row>
        <row r="5">
          <cell r="B5" t="str">
            <v>ACDP-115F51L-C1C3</v>
          </cell>
          <cell r="C5" t="str">
            <v>W-FOPL-CG80PXX-L870-02-7S00</v>
          </cell>
          <cell r="D5">
            <v>30</v>
          </cell>
          <cell r="E5" t="str">
            <v>W-FOPL-CG87NXX-T3L0-02-7S00</v>
          </cell>
          <cell r="F5">
            <v>33</v>
          </cell>
        </row>
        <row r="6">
          <cell r="B6" t="str">
            <v>ACDP-115F51X-B9C4</v>
          </cell>
          <cell r="C6" t="str">
            <v>W-FOPL-CG82PXX-L870-02-7S00</v>
          </cell>
          <cell r="D6">
            <v>27</v>
          </cell>
          <cell r="E6" t="str">
            <v>W-FOPL-CG87NXX-T3L0-02-7S00</v>
          </cell>
          <cell r="F6">
            <v>30</v>
          </cell>
        </row>
        <row r="7">
          <cell r="B7" t="str">
            <v>ACDP-115F51X-C1C3</v>
          </cell>
          <cell r="C7" t="str">
            <v>W-FOPL-CG80PXX-L870-02-7S00</v>
          </cell>
          <cell r="D7">
            <v>30</v>
          </cell>
          <cell r="E7" t="str">
            <v>W-FOPL-CG87NXX-T3L0-02-7S00</v>
          </cell>
          <cell r="F7">
            <v>33</v>
          </cell>
        </row>
        <row r="8">
          <cell r="B8" t="str">
            <v>ACDP-115F51X-C4C2</v>
          </cell>
          <cell r="C8" t="str">
            <v>W-FOPL-CG80PXX-L870-02-7S00</v>
          </cell>
          <cell r="D8">
            <v>36</v>
          </cell>
          <cell r="E8" t="str">
            <v>W-FOPL-CG85NXX-T3L0-02-7S00</v>
          </cell>
          <cell r="F8">
            <v>36</v>
          </cell>
        </row>
        <row r="9">
          <cell r="B9" t="str">
            <v>ACDP-115F51X-C5C1</v>
          </cell>
          <cell r="C9" t="str">
            <v>W-FOPL-CG80PXX-L870-02-7S00</v>
          </cell>
          <cell r="D9">
            <v>39</v>
          </cell>
          <cell r="E9" t="str">
            <v>W-FOPL-CG85NXX-T3L0-02-7S00</v>
          </cell>
          <cell r="F9">
            <v>36</v>
          </cell>
        </row>
        <row r="10">
          <cell r="B10" t="str">
            <v>ACDP-130F51X-C5C1</v>
          </cell>
          <cell r="C10" t="str">
            <v>W-FOPL-CG80PXX-L870-02-7S00</v>
          </cell>
          <cell r="D10">
            <v>39</v>
          </cell>
          <cell r="E10" t="str">
            <v>W-FOPL-CG85NXX-T3L0-02-7S00</v>
          </cell>
          <cell r="F10">
            <v>36</v>
          </cell>
        </row>
        <row r="11">
          <cell r="B11" t="str">
            <v>ACDP-145G51L-C7C3</v>
          </cell>
          <cell r="C11" t="str">
            <v>W-FOPL-CG82PXX-L870-02-7S00</v>
          </cell>
          <cell r="D11">
            <v>39</v>
          </cell>
          <cell r="E11" t="str">
            <v>W-FOPL-CG87NXX-T3L0-02-7S00</v>
          </cell>
          <cell r="F11">
            <v>42</v>
          </cell>
        </row>
        <row r="12">
          <cell r="B12" t="str">
            <v>ACDP-145G51X-C3C5</v>
          </cell>
          <cell r="C12" t="str">
            <v>W-FOPL-CG82PXX-L870-02-7S00</v>
          </cell>
          <cell r="D12">
            <v>33</v>
          </cell>
          <cell r="E12" t="str">
            <v>W-FOPL-CG87NXX-T3L0-02-7S00</v>
          </cell>
          <cell r="F12">
            <v>36</v>
          </cell>
        </row>
        <row r="13">
          <cell r="B13" t="str">
            <v>ACDP-145G51X-C5C4</v>
          </cell>
          <cell r="C13" t="str">
            <v>W-FOPL-CG82PXX-L870-02-7S00</v>
          </cell>
          <cell r="D13">
            <v>36</v>
          </cell>
          <cell r="E13" t="str">
            <v>W-FOPL-CG87NXX-T3L0-02-7S00</v>
          </cell>
          <cell r="F13">
            <v>39</v>
          </cell>
        </row>
        <row r="14">
          <cell r="B14" t="str">
            <v>ACDP-145G51X-C7C3</v>
          </cell>
          <cell r="C14" t="str">
            <v>W-FOPL-CG82PXX-L870-02-7S00</v>
          </cell>
          <cell r="D14">
            <v>39</v>
          </cell>
          <cell r="E14" t="str">
            <v>W-FOPL-CG87NXX-T3L0-02-7S00</v>
          </cell>
          <cell r="F14">
            <v>42</v>
          </cell>
        </row>
        <row r="15">
          <cell r="B15" t="str">
            <v>ACDP-145G51X-D0C2</v>
          </cell>
          <cell r="C15" t="str">
            <v>W-FOPL-CG80PXX-L870-02-7S00</v>
          </cell>
          <cell r="D15">
            <v>45</v>
          </cell>
          <cell r="E15" t="str">
            <v>W-FOPL-CG85NXX-T3L0-02-7S00</v>
          </cell>
          <cell r="F15">
            <v>45</v>
          </cell>
        </row>
        <row r="16">
          <cell r="B16" t="str">
            <v>ACDP-145G51X-D1C1</v>
          </cell>
          <cell r="C16" t="str">
            <v>W-FOPL-CG80PXX-L870-02-7S00</v>
          </cell>
          <cell r="D16">
            <v>48</v>
          </cell>
          <cell r="E16" t="str">
            <v>W-FOPL-CG85NXX-T3L0-02-7S00</v>
          </cell>
          <cell r="F16">
            <v>45</v>
          </cell>
        </row>
        <row r="17">
          <cell r="B17" t="str">
            <v>ACDP-155G51X-D1C1</v>
          </cell>
          <cell r="C17" t="str">
            <v>W-FOPL-CG80PXX-L870-02-7S00</v>
          </cell>
          <cell r="D17">
            <v>48</v>
          </cell>
          <cell r="E17" t="str">
            <v>W-FOPL-CG85NXX-T3L0-02-7S00</v>
          </cell>
          <cell r="F17">
            <v>45</v>
          </cell>
        </row>
        <row r="18">
          <cell r="B18" t="str">
            <v>ACDP-165G51L-D1C1</v>
          </cell>
          <cell r="C18" t="str">
            <v>W-FOPL-CG80PXX-L870-02-7S00</v>
          </cell>
          <cell r="D18">
            <v>48</v>
          </cell>
          <cell r="E18" t="str">
            <v>W-FOPL-CG85NXX-T3L0-02-7S00</v>
          </cell>
          <cell r="F18">
            <v>45</v>
          </cell>
        </row>
        <row r="19">
          <cell r="B19" t="str">
            <v>ACDP-165G51X-D1C3</v>
          </cell>
          <cell r="C19" t="str">
            <v>W-FOPL-CG82PXX-L870-02-7S00</v>
          </cell>
          <cell r="D19">
            <v>45</v>
          </cell>
          <cell r="E19" t="str">
            <v>W-FOPL-CG87NXX-T3L0-02-7S00</v>
          </cell>
          <cell r="F19">
            <v>48</v>
          </cell>
        </row>
        <row r="20">
          <cell r="B20" t="str">
            <v>ACDP-190H52X-C9C7</v>
          </cell>
          <cell r="C20" t="str">
            <v>W-FOPL-CG82PXX-L870-02-7S00</v>
          </cell>
          <cell r="D20">
            <v>42</v>
          </cell>
          <cell r="E20" t="str">
            <v>W-FOPL-CG87NXX-T3L0-02-7S00</v>
          </cell>
          <cell r="F20">
            <v>45</v>
          </cell>
        </row>
        <row r="21">
          <cell r="B21" t="str">
            <v>ACDP-190H52X-D1C6</v>
          </cell>
          <cell r="C21" t="str">
            <v>W-FOPL-CG82PXX-L870-02-7S00</v>
          </cell>
          <cell r="D21">
            <v>45</v>
          </cell>
          <cell r="E21" t="str">
            <v>W-FOPL-CG87NXX-T3L0-02-7S00</v>
          </cell>
          <cell r="F21">
            <v>48</v>
          </cell>
        </row>
        <row r="22">
          <cell r="B22" t="str">
            <v>ACDP-190H52X-D5C4</v>
          </cell>
          <cell r="C22" t="str">
            <v>W-FOPL-CG82PXX-L870-02-7S00</v>
          </cell>
          <cell r="D22">
            <v>51</v>
          </cell>
          <cell r="E22" t="str">
            <v>W-FOPL-CG87NXX-T3L0-02-7S00</v>
          </cell>
          <cell r="F22">
            <v>54</v>
          </cell>
        </row>
        <row r="23">
          <cell r="B23" t="str">
            <v>ACDP-190H52X-D7C2</v>
          </cell>
          <cell r="C23" t="str">
            <v>W-FOPL-CG80PXX-L870-02-7S00</v>
          </cell>
          <cell r="D23">
            <v>54</v>
          </cell>
          <cell r="E23" t="str">
            <v>W-FOPL-CG85NXX-T3L0-02-7S00</v>
          </cell>
          <cell r="F23">
            <v>57</v>
          </cell>
        </row>
        <row r="24">
          <cell r="B24" t="str">
            <v>ACDP-190H52X-D7C3</v>
          </cell>
          <cell r="C24" t="str">
            <v>W-FOPL-CG82PXX-L870-02-7S00</v>
          </cell>
          <cell r="D24">
            <v>54</v>
          </cell>
          <cell r="E24" t="str">
            <v>W-FOPL-CG87NXX-T3L0-02-7S00</v>
          </cell>
          <cell r="F24">
            <v>57</v>
          </cell>
        </row>
        <row r="25">
          <cell r="B25" t="str">
            <v>ACDP-190H52X-E1C1</v>
          </cell>
          <cell r="C25" t="str">
            <v>W-FOPL-CG80PXX-L870-02-7S00</v>
          </cell>
          <cell r="D25">
            <v>63</v>
          </cell>
          <cell r="E25" t="str">
            <v>W-FOPL-CG85NXX-T3L0-02-7S00</v>
          </cell>
          <cell r="F25">
            <v>60</v>
          </cell>
        </row>
        <row r="26">
          <cell r="B26" t="str">
            <v>ACDP-210H52X-E1C1</v>
          </cell>
          <cell r="C26" t="str">
            <v>W-FOPL-CG80PXX-L870-02-7S00</v>
          </cell>
          <cell r="D26">
            <v>63</v>
          </cell>
          <cell r="E26" t="str">
            <v>W-FOPL-CG85NXX-T3L0-02-7S00</v>
          </cell>
          <cell r="F26">
            <v>60</v>
          </cell>
        </row>
        <row r="27">
          <cell r="B27" t="str">
            <v>ACDP-32B20LS-A7C4</v>
          </cell>
          <cell r="C27" t="str">
            <v>W-FOPL-CM84APX-L870-02-7S00</v>
          </cell>
          <cell r="D27">
            <v>9</v>
          </cell>
          <cell r="E27" t="str">
            <v>W-FOPL-CM8786N-T3L0-02-7S00</v>
          </cell>
          <cell r="F27">
            <v>12</v>
          </cell>
        </row>
        <row r="28">
          <cell r="B28" t="str">
            <v>ACDP-32B20LS-A9C3</v>
          </cell>
          <cell r="C28" t="str">
            <v>W-FOPL-CM84APX-L870-02-7S00</v>
          </cell>
          <cell r="D28">
            <v>12</v>
          </cell>
          <cell r="E28" t="str">
            <v>W-FOPL-CM8786N-T3L0-02-7S00</v>
          </cell>
          <cell r="F28">
            <v>15</v>
          </cell>
        </row>
        <row r="29">
          <cell r="B29" t="str">
            <v>ACDP-32B20LX-A7C4</v>
          </cell>
          <cell r="C29" t="str">
            <v>W-FOPL-CM84APX-L870-02-7S00</v>
          </cell>
          <cell r="D29">
            <v>9</v>
          </cell>
          <cell r="E29" t="str">
            <v>W-FOPL-CM8786N-T3L0-02-7S00</v>
          </cell>
          <cell r="F29">
            <v>12</v>
          </cell>
        </row>
        <row r="30">
          <cell r="B30" t="str">
            <v>ACDP-32B20LX-A9C3</v>
          </cell>
          <cell r="C30" t="str">
            <v>W-FOPL-CM84APX-L870-02-7S00</v>
          </cell>
          <cell r="D30">
            <v>12</v>
          </cell>
          <cell r="E30" t="str">
            <v>W-FOPL-CM8786N-T3L0-02-7S00</v>
          </cell>
          <cell r="F30">
            <v>15</v>
          </cell>
        </row>
        <row r="31">
          <cell r="B31" t="str">
            <v>ACDP-32B20LX-B0C2</v>
          </cell>
          <cell r="C31" t="str">
            <v>W-FOPL-CM84APX-L870-02-7S00</v>
          </cell>
          <cell r="D31">
            <v>15</v>
          </cell>
          <cell r="E31" t="str">
            <v>W-FOPL-CM8786N-T3L0-02-7S00</v>
          </cell>
          <cell r="F31">
            <v>15</v>
          </cell>
        </row>
        <row r="32">
          <cell r="B32" t="str">
            <v>ACDP-32B20RS-A7C4</v>
          </cell>
          <cell r="C32" t="str">
            <v>W-FOPL-CM84APX-L870-02-7S00</v>
          </cell>
          <cell r="D32">
            <v>9</v>
          </cell>
          <cell r="E32" t="str">
            <v>W-FOPL-CM8786N-T3L0-02-7S00</v>
          </cell>
          <cell r="F32">
            <v>12</v>
          </cell>
        </row>
        <row r="33">
          <cell r="B33" t="str">
            <v>ACDP-32B20RS-A9C3</v>
          </cell>
          <cell r="C33" t="str">
            <v>W-FOPL-CM84APX-L870-02-7S00</v>
          </cell>
          <cell r="D33">
            <v>12</v>
          </cell>
          <cell r="E33" t="str">
            <v>W-FOPL-CM8786N-T3L0-02-7S00</v>
          </cell>
          <cell r="F33">
            <v>15</v>
          </cell>
        </row>
        <row r="34">
          <cell r="B34" t="str">
            <v>ACDP-32B20RX-A7C4</v>
          </cell>
          <cell r="C34" t="str">
            <v>W-FOPL-CM84APX-L870-02-7S00</v>
          </cell>
          <cell r="D34">
            <v>9</v>
          </cell>
          <cell r="E34" t="str">
            <v>W-FOPL-CM8786N-T3L0-02-7S00</v>
          </cell>
          <cell r="F34">
            <v>12</v>
          </cell>
        </row>
        <row r="35">
          <cell r="B35" t="str">
            <v>ACDP-32B20RX-A9C3</v>
          </cell>
          <cell r="C35" t="str">
            <v>W-FOPL-CM84APX-L870-02-7S00</v>
          </cell>
          <cell r="D35">
            <v>12</v>
          </cell>
          <cell r="E35" t="str">
            <v>W-FOPL-CM8786N-T3L0-02-7S00</v>
          </cell>
          <cell r="F35">
            <v>15</v>
          </cell>
        </row>
        <row r="36">
          <cell r="B36" t="str">
            <v>ACDP-32B20RX-B0C2</v>
          </cell>
          <cell r="C36" t="str">
            <v>W-FOPL-CM84APX-L870-02-7S00</v>
          </cell>
          <cell r="D36">
            <v>15</v>
          </cell>
          <cell r="E36" t="str">
            <v>W-FOPL-CM8786N-T3L0-02-7S00</v>
          </cell>
          <cell r="F36">
            <v>15</v>
          </cell>
        </row>
        <row r="37">
          <cell r="B37" t="str">
            <v>ACDP-32C24LX-A9C4</v>
          </cell>
          <cell r="C37" t="str">
            <v>W-FOPL-CM84APX-L870-02-7S00</v>
          </cell>
          <cell r="D37">
            <v>12</v>
          </cell>
          <cell r="E37" t="str">
            <v>W-FOPL-CM8786N-T3L0-02-7S00</v>
          </cell>
          <cell r="F37">
            <v>15</v>
          </cell>
        </row>
        <row r="38">
          <cell r="B38" t="str">
            <v>ACDP-32C24LX-B1C3</v>
          </cell>
          <cell r="C38" t="str">
            <v>W-FOPL-CM84APX-L870-02-7S00</v>
          </cell>
          <cell r="D38">
            <v>15</v>
          </cell>
          <cell r="E38" t="str">
            <v>W-FOPL-CM8786N-T3L0-02-7S00</v>
          </cell>
          <cell r="F38">
            <v>18</v>
          </cell>
        </row>
        <row r="39">
          <cell r="B39" t="str">
            <v>ACDP-32C24LX-B3C2</v>
          </cell>
          <cell r="C39" t="str">
            <v>W-FOPL-CM84APX-L870-02-7S00</v>
          </cell>
          <cell r="D39">
            <v>21</v>
          </cell>
          <cell r="E39" t="str">
            <v>W-FOPL-CM8786N-T3L0-02-7S00</v>
          </cell>
          <cell r="F39">
            <v>18</v>
          </cell>
        </row>
        <row r="40">
          <cell r="B40" t="str">
            <v>ACDP-32C24RX-A9C4</v>
          </cell>
          <cell r="C40" t="str">
            <v>W-FOPL-CM84APX-L870-02-7S00</v>
          </cell>
          <cell r="D40">
            <v>12</v>
          </cell>
          <cell r="E40" t="str">
            <v>W-FOPL-CM8786N-T3L0-02-7S00</v>
          </cell>
          <cell r="F40">
            <v>15</v>
          </cell>
        </row>
        <row r="41">
          <cell r="B41" t="str">
            <v>ACDP-32C24RX-B1C3</v>
          </cell>
          <cell r="C41" t="str">
            <v>W-FOPL-CM84APX-L870-02-7S00</v>
          </cell>
          <cell r="D41">
            <v>15</v>
          </cell>
          <cell r="E41" t="str">
            <v>W-FOPL-CM8786N-T3L0-02-7S00</v>
          </cell>
          <cell r="F41">
            <v>18</v>
          </cell>
        </row>
        <row r="42">
          <cell r="B42" t="str">
            <v>ACDP-32C24RX-B3C2</v>
          </cell>
          <cell r="C42" t="str">
            <v>W-FOPL-CM84APX-L870-02-7S00</v>
          </cell>
          <cell r="D42">
            <v>21</v>
          </cell>
          <cell r="E42" t="str">
            <v>W-FOPL-CM8786N-T3L0-02-7S00</v>
          </cell>
          <cell r="F42">
            <v>18</v>
          </cell>
        </row>
        <row r="43">
          <cell r="B43" t="str">
            <v>ACDP-36B20LS-A9C4</v>
          </cell>
          <cell r="C43" t="str">
            <v>W-FOPL-CM84APX-L870-02-7S00</v>
          </cell>
          <cell r="D43">
            <v>12</v>
          </cell>
          <cell r="E43" t="str">
            <v>W-FOPL-CM8786N-T3L0-02-7S00</v>
          </cell>
          <cell r="F43">
            <v>15</v>
          </cell>
        </row>
        <row r="44">
          <cell r="B44" t="str">
            <v>ACDP-36B20LS-B0C3</v>
          </cell>
          <cell r="C44" t="str">
            <v>W-FOPL-CM84APX-L870-02-7S00</v>
          </cell>
          <cell r="D44">
            <v>15</v>
          </cell>
          <cell r="E44" t="str">
            <v>W-FOPL-CM8786N-T3L0-02-7S00</v>
          </cell>
          <cell r="F44">
            <v>15</v>
          </cell>
        </row>
        <row r="45">
          <cell r="B45" t="str">
            <v>ACDP-36B20LX-A9C4</v>
          </cell>
          <cell r="C45" t="str">
            <v>W-FOPL-CM84APX-L870-02-7S00</v>
          </cell>
          <cell r="D45">
            <v>12</v>
          </cell>
          <cell r="E45" t="str">
            <v>W-FOPL-CM8786N-T3L0-02-7S00</v>
          </cell>
          <cell r="F45">
            <v>15</v>
          </cell>
        </row>
        <row r="46">
          <cell r="B46" t="str">
            <v>ACDP-36B20LX-B0C3</v>
          </cell>
          <cell r="C46" t="str">
            <v>W-FOPL-CM84APX-L870-02-7S00</v>
          </cell>
          <cell r="D46">
            <v>15</v>
          </cell>
          <cell r="E46" t="str">
            <v>W-FOPL-CM8786N-T3L0-02-7S00</v>
          </cell>
          <cell r="F46">
            <v>15</v>
          </cell>
        </row>
        <row r="47">
          <cell r="B47" t="str">
            <v>ACDP-36B20LX-B1C3</v>
          </cell>
          <cell r="C47" t="str">
            <v>W-FOPL-CM84APX-L870-02-7S00</v>
          </cell>
          <cell r="D47">
            <v>15</v>
          </cell>
          <cell r="E47" t="str">
            <v>W-FOPL-CM8786N-T3L0-02-7S00</v>
          </cell>
          <cell r="F47">
            <v>18</v>
          </cell>
        </row>
        <row r="48">
          <cell r="B48" t="str">
            <v>ACDP-36B20LX-B2C2</v>
          </cell>
          <cell r="C48" t="str">
            <v>W-FOPL-CM84APX-L870-02-7S00</v>
          </cell>
          <cell r="D48">
            <v>18</v>
          </cell>
          <cell r="E48" t="str">
            <v>W-FOPL-CM8786N-T3L0-02-7S00</v>
          </cell>
          <cell r="F48">
            <v>18</v>
          </cell>
        </row>
        <row r="49">
          <cell r="B49" t="str">
            <v>ACDP-36B20RS-A9C4</v>
          </cell>
          <cell r="C49" t="str">
            <v>W-FOPL-CM84APX-L870-02-7S00</v>
          </cell>
          <cell r="D49">
            <v>12</v>
          </cell>
          <cell r="E49" t="str">
            <v>W-FOPL-CM8786N-T3L0-02-7S00</v>
          </cell>
          <cell r="F49">
            <v>15</v>
          </cell>
        </row>
        <row r="50">
          <cell r="B50" t="str">
            <v>ACDP-36B20RS-B0C3</v>
          </cell>
          <cell r="C50" t="str">
            <v>W-FOPL-CM84APX-L870-02-7S00</v>
          </cell>
          <cell r="D50">
            <v>15</v>
          </cell>
          <cell r="E50" t="str">
            <v>W-FOPL-CM8786N-T3L0-02-7S00</v>
          </cell>
          <cell r="F50">
            <v>15</v>
          </cell>
        </row>
        <row r="51">
          <cell r="B51" t="str">
            <v>ACDP-36B20RX-A9C4</v>
          </cell>
          <cell r="C51" t="str">
            <v>W-FOPL-CM84APX-L870-02-7S00</v>
          </cell>
          <cell r="D51">
            <v>12</v>
          </cell>
          <cell r="E51" t="str">
            <v>W-FOPL-CM8786N-T3L0-02-7S00</v>
          </cell>
          <cell r="F51">
            <v>15</v>
          </cell>
        </row>
        <row r="52">
          <cell r="B52" t="str">
            <v>ACDP-36B20RX-B0C3</v>
          </cell>
          <cell r="C52" t="str">
            <v>W-FOPL-CM84APX-L870-02-7S00</v>
          </cell>
          <cell r="D52">
            <v>15</v>
          </cell>
          <cell r="E52" t="str">
            <v>W-FOPL-CM8786N-T3L0-02-7S00</v>
          </cell>
          <cell r="F52">
            <v>15</v>
          </cell>
        </row>
        <row r="53">
          <cell r="B53" t="str">
            <v>ACDP-36B20RX-B1C3</v>
          </cell>
          <cell r="C53" t="str">
            <v>W-FOPL-CM84APX-L870-02-7S00</v>
          </cell>
          <cell r="D53">
            <v>15</v>
          </cell>
          <cell r="E53" t="str">
            <v>W-FOPL-CM8786N-T3L0-02-7S00</v>
          </cell>
          <cell r="F53">
            <v>18</v>
          </cell>
        </row>
        <row r="54">
          <cell r="B54" t="str">
            <v>ACDP-36B20RX-B2C2</v>
          </cell>
          <cell r="C54" t="str">
            <v>W-FOPL-CM84APX-L870-02-7S00</v>
          </cell>
          <cell r="D54">
            <v>18</v>
          </cell>
          <cell r="E54" t="str">
            <v>W-FOPL-CM8786N-T3L0-02-7S00</v>
          </cell>
          <cell r="F54">
            <v>18</v>
          </cell>
        </row>
        <row r="55">
          <cell r="B55" t="str">
            <v>ACDP-46B24LS-B1C3</v>
          </cell>
          <cell r="C55" t="str">
            <v>W-FOPL-CM84APX-L870-02-7S00</v>
          </cell>
          <cell r="D55">
            <v>18</v>
          </cell>
          <cell r="E55" t="str">
            <v>W-FOPL-CM8786N-T3L0-02-7S00</v>
          </cell>
          <cell r="F55">
            <v>15</v>
          </cell>
        </row>
        <row r="56">
          <cell r="B56" t="str">
            <v>ACDP-46B24LS-B1C4</v>
          </cell>
          <cell r="C56" t="str">
            <v>W-FOPL-CM84APX-L870-02-7S00</v>
          </cell>
          <cell r="D56">
            <v>15</v>
          </cell>
          <cell r="E56" t="str">
            <v>W-FOPL-CM8786N-T3L0-02-7S00</v>
          </cell>
          <cell r="F56">
            <v>18</v>
          </cell>
        </row>
        <row r="57">
          <cell r="B57" t="str">
            <v>ACDP-46B24LS-B2C3</v>
          </cell>
          <cell r="C57" t="str">
            <v>W-FOPL-CM84APX-L870-02-7S00</v>
          </cell>
          <cell r="D57">
            <v>18</v>
          </cell>
          <cell r="E57" t="str">
            <v>W-FOPL-CM8786N-T3L0-02-7S00</v>
          </cell>
          <cell r="F57">
            <v>18</v>
          </cell>
        </row>
        <row r="58">
          <cell r="B58" t="str">
            <v>ACDP-46B24LX-B1C3</v>
          </cell>
          <cell r="C58" t="str">
            <v>W-FOPL-CM84APX-L870-02-7S00</v>
          </cell>
          <cell r="D58">
            <v>18</v>
          </cell>
          <cell r="E58" t="str">
            <v>W-FOPL-CM8786N-T3L0-02-7S00</v>
          </cell>
          <cell r="F58">
            <v>15</v>
          </cell>
        </row>
        <row r="59">
          <cell r="B59" t="str">
            <v>ACDP-46B24LX-B1C4</v>
          </cell>
          <cell r="C59" t="str">
            <v>W-FOPL-CM84APX-L870-02-7S00</v>
          </cell>
          <cell r="D59">
            <v>15</v>
          </cell>
          <cell r="E59" t="str">
            <v>W-FOPL-CM8786N-T3L0-02-7S00</v>
          </cell>
          <cell r="F59">
            <v>18</v>
          </cell>
        </row>
        <row r="60">
          <cell r="B60" t="str">
            <v>ACDP-46B24LX-B2C3</v>
          </cell>
          <cell r="C60" t="str">
            <v>W-FOPL-CM84APX-L870-02-7S00</v>
          </cell>
          <cell r="D60">
            <v>18</v>
          </cell>
          <cell r="E60" t="str">
            <v>W-FOPL-CM8786N-T3L0-02-7S00</v>
          </cell>
          <cell r="F60">
            <v>18</v>
          </cell>
        </row>
        <row r="61">
          <cell r="B61" t="str">
            <v>ACDP-46B24LX-B5C2</v>
          </cell>
          <cell r="C61" t="str">
            <v>W-FOPL-CM84APX-L870-02-7S00</v>
          </cell>
          <cell r="D61">
            <v>24</v>
          </cell>
          <cell r="E61" t="str">
            <v>W-FOPL-CM8786N-T3L0-02-7S00</v>
          </cell>
          <cell r="F61">
            <v>21</v>
          </cell>
        </row>
        <row r="62">
          <cell r="B62" t="str">
            <v>ACDP-46B24RS-B1C3</v>
          </cell>
          <cell r="C62" t="str">
            <v>W-FOPL-CM84APX-L870-02-7S00</v>
          </cell>
          <cell r="D62">
            <v>18</v>
          </cell>
          <cell r="E62" t="str">
            <v>W-FOPL-CM8786N-T3L0-02-7S00</v>
          </cell>
          <cell r="F62">
            <v>15</v>
          </cell>
        </row>
        <row r="63">
          <cell r="B63" t="str">
            <v>ACDP-46B24RS-B1C4</v>
          </cell>
          <cell r="C63" t="str">
            <v>W-FOPL-CM84APX-L870-02-7S00</v>
          </cell>
          <cell r="D63">
            <v>15</v>
          </cell>
          <cell r="E63" t="str">
            <v>W-FOPL-CM8786N-T3L0-02-7S00</v>
          </cell>
          <cell r="F63">
            <v>18</v>
          </cell>
        </row>
        <row r="64">
          <cell r="B64" t="str">
            <v>ACDP-46B24RS-B2C3</v>
          </cell>
          <cell r="C64" t="str">
            <v>W-FOPL-CM84APX-L870-02-7S00</v>
          </cell>
          <cell r="D64">
            <v>18</v>
          </cell>
          <cell r="E64" t="str">
            <v>W-FOPL-CM8786N-T3L0-02-7S00</v>
          </cell>
          <cell r="F64">
            <v>18</v>
          </cell>
        </row>
        <row r="65">
          <cell r="B65" t="str">
            <v>ACDP-46B24RX-B1C3</v>
          </cell>
          <cell r="C65" t="str">
            <v>W-FOPL-CM84APX-L870-02-7S00</v>
          </cell>
          <cell r="D65">
            <v>18</v>
          </cell>
          <cell r="E65" t="str">
            <v>W-FOPL-CM8786N-T3L0-02-7S00</v>
          </cell>
          <cell r="F65">
            <v>15</v>
          </cell>
        </row>
        <row r="66">
          <cell r="B66" t="str">
            <v>ACDP-46B24RX-B1C4</v>
          </cell>
          <cell r="C66" t="str">
            <v>W-FOPL-CM84APX-L870-02-7S00</v>
          </cell>
          <cell r="D66">
            <v>15</v>
          </cell>
          <cell r="E66" t="str">
            <v>W-FOPL-CM8786N-T3L0-02-7S00</v>
          </cell>
          <cell r="F66">
            <v>18</v>
          </cell>
        </row>
        <row r="67">
          <cell r="B67" t="str">
            <v>ACDP-46B24RX-B2C3</v>
          </cell>
          <cell r="C67" t="str">
            <v>W-FOPL-CM84APX-L870-02-7S00</v>
          </cell>
          <cell r="D67">
            <v>18</v>
          </cell>
          <cell r="E67" t="str">
            <v>W-FOPL-CM8786N-T3L0-02-7S00</v>
          </cell>
          <cell r="F67">
            <v>18</v>
          </cell>
        </row>
        <row r="68">
          <cell r="B68" t="str">
            <v>ACDP-46B24RX-B5C2</v>
          </cell>
          <cell r="C68" t="str">
            <v>W-FOPL-CM84APX-L870-02-7S00</v>
          </cell>
          <cell r="D68">
            <v>24</v>
          </cell>
          <cell r="E68" t="str">
            <v>W-FOPL-CM8786N-T3L0-02-7S00</v>
          </cell>
          <cell r="F68">
            <v>21</v>
          </cell>
        </row>
        <row r="69">
          <cell r="B69" t="str">
            <v>ACDP-48D26LX-A7C4</v>
          </cell>
          <cell r="C69" t="str">
            <v>W-FOPL-CG80PXX-L870-02-7S00</v>
          </cell>
          <cell r="D69">
            <v>9</v>
          </cell>
          <cell r="E69" t="str">
            <v>W-FOPL-CG87NXX-T3L0-02-7S00</v>
          </cell>
          <cell r="F69">
            <v>12</v>
          </cell>
        </row>
        <row r="70">
          <cell r="B70" t="str">
            <v>ACDP-48D26LX-A9C3</v>
          </cell>
          <cell r="C70" t="str">
            <v>W-FOPL-CG80PXX-L870-02-7S00</v>
          </cell>
          <cell r="D70">
            <v>12</v>
          </cell>
          <cell r="E70" t="str">
            <v>W-FOPL-CG87NXX-T3L0-02-7S00</v>
          </cell>
          <cell r="F70">
            <v>15</v>
          </cell>
        </row>
        <row r="71">
          <cell r="B71" t="str">
            <v>ACDP-48D26LX-B1C2</v>
          </cell>
          <cell r="C71" t="str">
            <v>W-FOPL-CG80PXX-L870-02-7S00</v>
          </cell>
          <cell r="D71">
            <v>15</v>
          </cell>
          <cell r="E71" t="str">
            <v>W-FOPL-CG87NXX-T3L0-02-7S00</v>
          </cell>
          <cell r="F71">
            <v>18</v>
          </cell>
        </row>
        <row r="72">
          <cell r="B72" t="str">
            <v>ACDP-48D26LX-B2C2</v>
          </cell>
          <cell r="C72" t="str">
            <v>W-FOPL-CG82PXX-L870-02-7S00</v>
          </cell>
          <cell r="D72">
            <v>18</v>
          </cell>
          <cell r="E72" t="str">
            <v>W-FOPL-CG85NXX-T3L0-02-7S00</v>
          </cell>
          <cell r="F72">
            <v>18</v>
          </cell>
        </row>
        <row r="73">
          <cell r="B73" t="str">
            <v>ACDP-48D26RX-A7C4</v>
          </cell>
          <cell r="C73" t="str">
            <v>W-FOPL-CG80PXX-L870-02-7S00</v>
          </cell>
          <cell r="D73">
            <v>9</v>
          </cell>
          <cell r="E73" t="str">
            <v>W-FOPL-CG87NXX-T3L0-02-7S00</v>
          </cell>
          <cell r="F73">
            <v>12</v>
          </cell>
        </row>
        <row r="74">
          <cell r="B74" t="str">
            <v>ACDP-48D26RX-A9C3</v>
          </cell>
          <cell r="C74" t="str">
            <v>W-FOPL-CG80PXX-L870-02-7S00</v>
          </cell>
          <cell r="D74">
            <v>12</v>
          </cell>
          <cell r="E74" t="str">
            <v>W-FOPL-CG87NXX-T3L0-02-7S00</v>
          </cell>
          <cell r="F74">
            <v>15</v>
          </cell>
        </row>
        <row r="75">
          <cell r="B75" t="str">
            <v>ACDP-48D26RX-B1C2</v>
          </cell>
          <cell r="C75" t="str">
            <v>W-FOPL-CG80PXX-L870-02-7S00</v>
          </cell>
          <cell r="D75">
            <v>15</v>
          </cell>
          <cell r="E75" t="str">
            <v>W-FOPL-CG87NXX-T3L0-02-7S00</v>
          </cell>
          <cell r="F75">
            <v>18</v>
          </cell>
        </row>
        <row r="76">
          <cell r="B76" t="str">
            <v>ACDP-48D26RX-B2C2</v>
          </cell>
          <cell r="C76" t="str">
            <v>W-FOPL-CG82PXX-L870-02-7S00</v>
          </cell>
          <cell r="D76">
            <v>18</v>
          </cell>
          <cell r="E76" t="str">
            <v>W-FOPL-CG85NXX-T3L0-02-7S00</v>
          </cell>
          <cell r="F76">
            <v>18</v>
          </cell>
        </row>
        <row r="77">
          <cell r="B77" t="str">
            <v>ACDP-54519LX-B1C3</v>
          </cell>
          <cell r="C77" t="str">
            <v>W-FOPL-CR82PXX-L870-02-7S00</v>
          </cell>
          <cell r="D77">
            <v>15</v>
          </cell>
          <cell r="E77" t="str">
            <v>W-FOPL-CR87NXX-T3L0-02-7S00</v>
          </cell>
          <cell r="F77">
            <v>18</v>
          </cell>
        </row>
        <row r="78">
          <cell r="B78" t="str">
            <v>ACDP-55559LX-A9C4</v>
          </cell>
          <cell r="C78" t="str">
            <v>W-FOPL-CG82PXX-L870-02-7S00</v>
          </cell>
          <cell r="D78">
            <v>12</v>
          </cell>
          <cell r="E78" t="str">
            <v>W-FOPL-CG87NXX-T3L0-02-7S00</v>
          </cell>
          <cell r="F78">
            <v>15</v>
          </cell>
        </row>
        <row r="79">
          <cell r="B79" t="str">
            <v>ACDP-55559LX-B1C3</v>
          </cell>
          <cell r="C79" t="str">
            <v>W-FOPL-CG82PXX-L870-02-7S00</v>
          </cell>
          <cell r="D79">
            <v>15</v>
          </cell>
          <cell r="E79" t="str">
            <v>W-FOPL-CG87NXX-T3L0-02-7S00</v>
          </cell>
          <cell r="F79">
            <v>18</v>
          </cell>
        </row>
        <row r="80">
          <cell r="B80" t="str">
            <v>ACDP-55565RX-A9C4</v>
          </cell>
          <cell r="C80" t="str">
            <v>W-FOPL-CG82PXX-L870-02-7S00</v>
          </cell>
          <cell r="D80">
            <v>12</v>
          </cell>
          <cell r="E80" t="str">
            <v>W-FOPL-CG87NXX-T3L0-02-7S00</v>
          </cell>
          <cell r="F80">
            <v>15</v>
          </cell>
        </row>
        <row r="81">
          <cell r="B81" t="str">
            <v>ACDP-55565RX-B1C3</v>
          </cell>
          <cell r="C81" t="str">
            <v>W-FOPL-CG82PXX-L870-02-7S00</v>
          </cell>
          <cell r="D81">
            <v>15</v>
          </cell>
          <cell r="E81" t="str">
            <v>W-FOPL-CG87NXX-T3L0-02-7S00</v>
          </cell>
          <cell r="F81">
            <v>18</v>
          </cell>
        </row>
        <row r="82">
          <cell r="B82" t="str">
            <v>ACDP-55D23LX-A9C4</v>
          </cell>
          <cell r="C82" t="str">
            <v>W-FOPL-CG80PXX-L870-02-7S00</v>
          </cell>
          <cell r="D82">
            <v>12</v>
          </cell>
          <cell r="E82" t="str">
            <v>W-FOPL-CG85NXX-T3L0-02-7S00</v>
          </cell>
          <cell r="F82">
            <v>15</v>
          </cell>
        </row>
        <row r="83">
          <cell r="B83" t="str">
            <v>ACDP-55D23LX-B0C3</v>
          </cell>
          <cell r="C83" t="str">
            <v>W-FOPL-CG80PXX-L870-02-7S00</v>
          </cell>
          <cell r="D83">
            <v>15</v>
          </cell>
          <cell r="E83" t="str">
            <v>W-FOPL-CG85NXX-T3L0-02-7S00</v>
          </cell>
          <cell r="F83">
            <v>15</v>
          </cell>
        </row>
        <row r="84">
          <cell r="B84" t="str">
            <v>ACDP-55D23LX-B2C2</v>
          </cell>
          <cell r="C84" t="str">
            <v>W-FOPL-CG80PXX-L870-02-7S00</v>
          </cell>
          <cell r="D84">
            <v>18</v>
          </cell>
          <cell r="E84" t="str">
            <v>W-FOPL-CG87NXX-T3L0-02-7S00</v>
          </cell>
          <cell r="F84">
            <v>18</v>
          </cell>
        </row>
        <row r="85">
          <cell r="B85" t="str">
            <v>ACDP-55D23RX-A9C4</v>
          </cell>
          <cell r="C85" t="str">
            <v>W-FOPL-CG80PXX-L870-02-7S00</v>
          </cell>
          <cell r="D85">
            <v>12</v>
          </cell>
          <cell r="E85" t="str">
            <v>W-FOPL-CG85NXX-T3L0-02-7S00</v>
          </cell>
          <cell r="F85">
            <v>15</v>
          </cell>
        </row>
        <row r="86">
          <cell r="B86" t="str">
            <v>ACDP-55D23RX-B0C3</v>
          </cell>
          <cell r="C86" t="str">
            <v>W-FOPL-CG80PXX-L870-02-7S00</v>
          </cell>
          <cell r="D86">
            <v>15</v>
          </cell>
          <cell r="E86" t="str">
            <v>W-FOPL-CG85NXX-T3L0-02-7S00</v>
          </cell>
          <cell r="F86">
            <v>15</v>
          </cell>
        </row>
        <row r="87">
          <cell r="B87" t="str">
            <v>ACDP-55D23RX-B2C2</v>
          </cell>
          <cell r="C87" t="str">
            <v>W-FOPL-CG80PXX-L870-02-7S00</v>
          </cell>
          <cell r="D87">
            <v>18</v>
          </cell>
          <cell r="E87" t="str">
            <v>W-FOPL-CG87NXX-T3L0-02-7S00</v>
          </cell>
          <cell r="F87">
            <v>18</v>
          </cell>
        </row>
        <row r="88">
          <cell r="B88" t="str">
            <v>ACDP-55D26LX-A9C4</v>
          </cell>
          <cell r="C88" t="str">
            <v>W-FOPL-CG80PXX-L870-02-7S00</v>
          </cell>
          <cell r="D88">
            <v>12</v>
          </cell>
          <cell r="E88" t="str">
            <v>W-FOPL-CG87NXX-T3L0-02-7S00</v>
          </cell>
          <cell r="F88">
            <v>15</v>
          </cell>
        </row>
        <row r="89">
          <cell r="B89" t="str">
            <v>ACDP-55D26LX-B1C3</v>
          </cell>
          <cell r="C89" t="str">
            <v>W-FOPL-CG80PXX-L870-02-7S00</v>
          </cell>
          <cell r="D89">
            <v>15</v>
          </cell>
          <cell r="E89" t="str">
            <v>W-FOPL-CG87NXX-T3L0-02-7S00</v>
          </cell>
          <cell r="F89">
            <v>18</v>
          </cell>
        </row>
        <row r="90">
          <cell r="B90" t="str">
            <v>ACDP-55D26LX-B2C2</v>
          </cell>
          <cell r="C90" t="str">
            <v>W-FOPL-CG80PXX-L870-02-7S00</v>
          </cell>
          <cell r="D90">
            <v>18</v>
          </cell>
          <cell r="E90" t="str">
            <v>W-FOPL-CG85NXX-T3L0-02-7S00</v>
          </cell>
          <cell r="F90">
            <v>18</v>
          </cell>
        </row>
        <row r="91">
          <cell r="B91" t="str">
            <v>ACDP-55D26RX-A9C4</v>
          </cell>
          <cell r="C91" t="str">
            <v>W-FOPL-CG80PXX-L870-02-7S00</v>
          </cell>
          <cell r="D91">
            <v>12</v>
          </cell>
          <cell r="E91" t="str">
            <v>W-FOPL-CG87NXX-T3L0-02-7S00</v>
          </cell>
          <cell r="F91">
            <v>15</v>
          </cell>
        </row>
        <row r="92">
          <cell r="B92" t="str">
            <v>ACDP-55D26RX-B1C3</v>
          </cell>
          <cell r="C92" t="str">
            <v>W-FOPL-CG80PXX-L870-02-7S00</v>
          </cell>
          <cell r="D92">
            <v>15</v>
          </cell>
          <cell r="E92" t="str">
            <v>W-FOPL-CG87NXX-T3L0-02-7S00</v>
          </cell>
          <cell r="F92">
            <v>18</v>
          </cell>
        </row>
        <row r="93">
          <cell r="B93" t="str">
            <v>ACDP-55D26RX-B2C2</v>
          </cell>
          <cell r="C93" t="str">
            <v>W-FOPL-CG80PXX-L870-02-7S00</v>
          </cell>
          <cell r="D93">
            <v>18</v>
          </cell>
          <cell r="E93" t="str">
            <v>W-FOPL-CG85NXX-T3L0-02-7S00</v>
          </cell>
          <cell r="F93">
            <v>18</v>
          </cell>
        </row>
        <row r="94">
          <cell r="B94" t="str">
            <v>ACDP-56048LX-B2C2</v>
          </cell>
          <cell r="C94" t="str">
            <v>W-FOPL-CG80PXX-L870-02-7S00</v>
          </cell>
          <cell r="D94">
            <v>18</v>
          </cell>
          <cell r="E94" t="str">
            <v>W-FOPL-CG85NXX-T3L0-02-7S00</v>
          </cell>
          <cell r="F94">
            <v>18</v>
          </cell>
        </row>
        <row r="95">
          <cell r="B95" t="str">
            <v>ACDP-56219LX-B3C3</v>
          </cell>
          <cell r="C95" t="str">
            <v>W-FOPL-CG85PXX-L870-02-7S00</v>
          </cell>
          <cell r="D95">
            <v>21</v>
          </cell>
          <cell r="E95" t="str">
            <v>W-FOPL-CG87NXX-T3L0-02-7S00</v>
          </cell>
          <cell r="F95">
            <v>18</v>
          </cell>
        </row>
        <row r="96">
          <cell r="B96" t="str">
            <v>ACDP-56638LX-B3C3</v>
          </cell>
          <cell r="C96" t="str">
            <v>W-FOPL-CG82PXX-L870-02-7S00</v>
          </cell>
          <cell r="D96">
            <v>18</v>
          </cell>
          <cell r="E96" t="str">
            <v>W-FOPL-CG87NXX-T3L0-02-7S00</v>
          </cell>
          <cell r="F96">
            <v>21</v>
          </cell>
        </row>
        <row r="97">
          <cell r="B97" t="str">
            <v>ACDP-57412LX-B5C3</v>
          </cell>
          <cell r="C97" t="str">
            <v>W-FOPL-CG82PXX-L870-02-7S00</v>
          </cell>
          <cell r="D97">
            <v>21</v>
          </cell>
          <cell r="E97" t="str">
            <v>W-FOPL-CG87NXX-T3L0-02-7S00</v>
          </cell>
          <cell r="F97">
            <v>24</v>
          </cell>
        </row>
        <row r="98">
          <cell r="B98" t="str">
            <v>ACDP-58024LX-B5C3</v>
          </cell>
          <cell r="C98" t="str">
            <v>W-FOPL-CG80PXX-L870-02-7S00</v>
          </cell>
          <cell r="D98">
            <v>21</v>
          </cell>
          <cell r="E98" t="str">
            <v>W-FOPL-CG87NXX-T3L0-02-7S00</v>
          </cell>
          <cell r="F98">
            <v>24</v>
          </cell>
        </row>
        <row r="99">
          <cell r="B99" t="str">
            <v>ACDP-58827LX-B5C4</v>
          </cell>
          <cell r="C99" t="str">
            <v>W-FOPL-CG82PXX-L870-02-7S00</v>
          </cell>
          <cell r="D99">
            <v>21</v>
          </cell>
          <cell r="E99" t="str">
            <v>W-FOPL-CG87NXX-T3L0-02-7S00</v>
          </cell>
          <cell r="F99">
            <v>24</v>
          </cell>
        </row>
        <row r="100">
          <cell r="B100" t="str">
            <v>ACDP-58827LX-B7C3</v>
          </cell>
          <cell r="C100" t="str">
            <v>W-FOPL-CG82PXX-L870-02-7S00</v>
          </cell>
          <cell r="D100">
            <v>24</v>
          </cell>
          <cell r="E100" t="str">
            <v>W-FOPL-CG87NXX-T3L0-02-7S00</v>
          </cell>
          <cell r="F100">
            <v>27</v>
          </cell>
        </row>
        <row r="101">
          <cell r="B101" t="str">
            <v>ACDP-65038LX-D1C3</v>
          </cell>
          <cell r="C101" t="str">
            <v>W-FOPL-CG80PXX-L870-02-7S00</v>
          </cell>
          <cell r="D101">
            <v>48</v>
          </cell>
          <cell r="E101" t="str">
            <v>W-FOPL-CG85NXX-T3L0-02-7S00</v>
          </cell>
          <cell r="F101">
            <v>45</v>
          </cell>
        </row>
        <row r="102">
          <cell r="B102" t="str">
            <v>ACDP-65D26LX-B1C4</v>
          </cell>
          <cell r="C102" t="str">
            <v>W-FOPL-CG82PXX-L870-02-7S00</v>
          </cell>
          <cell r="D102">
            <v>15</v>
          </cell>
          <cell r="E102" t="str">
            <v>W-FOPL-CG87NXX-T3L0-02-7S00</v>
          </cell>
          <cell r="F102">
            <v>18</v>
          </cell>
        </row>
        <row r="103">
          <cell r="B103" t="str">
            <v>ACDP-65D26LX-B2C3</v>
          </cell>
          <cell r="C103" t="str">
            <v>W-FOPL-CG82PXX-L870-02-7S00</v>
          </cell>
          <cell r="D103">
            <v>18</v>
          </cell>
          <cell r="E103" t="str">
            <v>W-FOPL-CG87NXX-T3L0-02-7S00</v>
          </cell>
          <cell r="F103">
            <v>18</v>
          </cell>
        </row>
        <row r="104">
          <cell r="B104" t="str">
            <v>ACDP-65D26LX-B4C2</v>
          </cell>
          <cell r="C104" t="str">
            <v>W-FOPL-CG80PXX-L870-02-7S00</v>
          </cell>
          <cell r="D104">
            <v>21</v>
          </cell>
          <cell r="E104" t="str">
            <v>W-FOPL-CG85NXX-T3L0-02-7S00</v>
          </cell>
          <cell r="F104">
            <v>21</v>
          </cell>
        </row>
        <row r="105">
          <cell r="B105" t="str">
            <v>ACDP-65D26RX-B1C4</v>
          </cell>
          <cell r="C105" t="str">
            <v>W-FOPL-CG82PXX-L870-02-7S00</v>
          </cell>
          <cell r="D105">
            <v>15</v>
          </cell>
          <cell r="E105" t="str">
            <v>W-FOPL-CG87NXX-T3L0-02-7S00</v>
          </cell>
          <cell r="F105">
            <v>18</v>
          </cell>
        </row>
        <row r="106">
          <cell r="B106" t="str">
            <v>ACDP-65D26RX-B2C3</v>
          </cell>
          <cell r="C106" t="str">
            <v>W-FOPL-CG82PXX-L870-02-7S00</v>
          </cell>
          <cell r="D106">
            <v>18</v>
          </cell>
          <cell r="E106" t="str">
            <v>W-FOPL-CG87NXX-T3L0-02-7S00</v>
          </cell>
          <cell r="F106">
            <v>18</v>
          </cell>
        </row>
        <row r="107">
          <cell r="B107" t="str">
            <v>ACDP-65D26RX-B4C2</v>
          </cell>
          <cell r="C107" t="str">
            <v>W-FOPL-CG80PXX-L870-02-7S00</v>
          </cell>
          <cell r="D107">
            <v>21</v>
          </cell>
          <cell r="E107" t="str">
            <v>W-FOPL-CG85NXX-T3L0-02-7S00</v>
          </cell>
          <cell r="F107">
            <v>21</v>
          </cell>
        </row>
        <row r="108">
          <cell r="B108" t="str">
            <v>ACDP-65D31LX-B1C4</v>
          </cell>
          <cell r="C108" t="str">
            <v>W-FOPL-CG82PXX-L870-02-7S00</v>
          </cell>
          <cell r="D108">
            <v>15</v>
          </cell>
          <cell r="E108" t="str">
            <v>W-FOPL-CG87NXX-T3L0-02-7S00</v>
          </cell>
          <cell r="F108">
            <v>18</v>
          </cell>
        </row>
        <row r="109">
          <cell r="B109" t="str">
            <v>ACDP-65D31LX-B3C3</v>
          </cell>
          <cell r="C109" t="str">
            <v>W-FOPL-CG82PXX-L870-02-7S00</v>
          </cell>
          <cell r="D109">
            <v>18</v>
          </cell>
          <cell r="E109" t="str">
            <v>W-FOPL-CG87NXX-T3L0-02-7S00</v>
          </cell>
          <cell r="F109">
            <v>21</v>
          </cell>
        </row>
        <row r="110">
          <cell r="B110" t="str">
            <v>ACDP-65D31LX-B5C2</v>
          </cell>
          <cell r="C110" t="str">
            <v>W-FOPL-CG82PXX-L870-02-7S00</v>
          </cell>
          <cell r="D110">
            <v>24</v>
          </cell>
          <cell r="E110" t="str">
            <v>W-FOPL-CG85NXX-T3L0-02-7S00</v>
          </cell>
          <cell r="F110">
            <v>21</v>
          </cell>
        </row>
        <row r="111">
          <cell r="B111" t="str">
            <v>ACDP-65D31RX-B1C4</v>
          </cell>
          <cell r="C111" t="str">
            <v>W-FOPL-CG82PXX-L870-02-7S00</v>
          </cell>
          <cell r="D111">
            <v>15</v>
          </cell>
          <cell r="E111" t="str">
            <v>W-FOPL-CG87NXX-T3L0-02-7S00</v>
          </cell>
          <cell r="F111">
            <v>18</v>
          </cell>
        </row>
        <row r="112">
          <cell r="B112" t="str">
            <v>ACDP-65D31RX-B3C3</v>
          </cell>
          <cell r="C112" t="str">
            <v>W-FOPL-CG82PXX-L870-02-7S00</v>
          </cell>
          <cell r="D112">
            <v>18</v>
          </cell>
          <cell r="E112" t="str">
            <v>W-FOPL-CG87NXX-T3L0-02-7S00</v>
          </cell>
          <cell r="F112">
            <v>21</v>
          </cell>
        </row>
        <row r="113">
          <cell r="B113" t="str">
            <v>ACDP-65D31RX-B5C1</v>
          </cell>
          <cell r="C113" t="str">
            <v>W-FOPL-CG82PXX-L870-02-7S00</v>
          </cell>
          <cell r="D113">
            <v>24</v>
          </cell>
          <cell r="E113" t="str">
            <v>W-FOPL-CG85NXX-T3L0-02-7S00</v>
          </cell>
          <cell r="F113">
            <v>21</v>
          </cell>
        </row>
        <row r="114">
          <cell r="B114" t="str">
            <v>ACDP-65D31RX-B5C2</v>
          </cell>
          <cell r="C114" t="str">
            <v>W-FOPL-CG82PXX-L870-02-7S00</v>
          </cell>
          <cell r="D114">
            <v>24</v>
          </cell>
          <cell r="E114" t="str">
            <v>W-FOPL-CG85NXX-T3L0-02-7S00</v>
          </cell>
          <cell r="F114">
            <v>21</v>
          </cell>
        </row>
        <row r="115">
          <cell r="B115" t="str">
            <v>ACDP-67018LX-D5C3</v>
          </cell>
          <cell r="C115" t="str">
            <v>W-FOPL-CG80PXX-L870-02-7S00</v>
          </cell>
          <cell r="D115">
            <v>54</v>
          </cell>
          <cell r="E115" t="str">
            <v>W-FOPL-CG85NXX-T3L0-02-7S00</v>
          </cell>
          <cell r="F115">
            <v>51</v>
          </cell>
        </row>
        <row r="116">
          <cell r="B116" t="str">
            <v>ACDP-70027LX-E1C3</v>
          </cell>
          <cell r="C116" t="str">
            <v>W-FOPL-CG80PXX-L870-02-7S00</v>
          </cell>
          <cell r="D116">
            <v>63</v>
          </cell>
          <cell r="E116" t="str">
            <v>W-FOPL-CG85NXX-T3L0-02-7S00</v>
          </cell>
          <cell r="F116">
            <v>60</v>
          </cell>
        </row>
        <row r="117">
          <cell r="B117" t="str">
            <v>ACDP-75D31LX-B3C4</v>
          </cell>
          <cell r="C117" t="str">
            <v>W-FOPL-CG82PXX-L870-02-7S00</v>
          </cell>
          <cell r="D117">
            <v>18</v>
          </cell>
          <cell r="E117" t="str">
            <v>W-FOPL-CG87NXX-T3L0-02-7S00</v>
          </cell>
          <cell r="F117">
            <v>21</v>
          </cell>
        </row>
        <row r="118">
          <cell r="B118" t="str">
            <v>ACDP-75D31LX-B4C3</v>
          </cell>
          <cell r="C118" t="str">
            <v>W-FOPL-CG82PXX-L870-02-7S00</v>
          </cell>
          <cell r="D118">
            <v>21</v>
          </cell>
          <cell r="E118" t="str">
            <v>W-FOPL-CG87NXX-T3L0-02-7S00</v>
          </cell>
          <cell r="F118">
            <v>21</v>
          </cell>
        </row>
        <row r="119">
          <cell r="B119" t="str">
            <v>ACDP-75D31LX-B6C1</v>
          </cell>
          <cell r="C119" t="str">
            <v>W-FOPL-CG80PXX-L870-02-7S00</v>
          </cell>
          <cell r="D119">
            <v>24</v>
          </cell>
          <cell r="E119" t="str">
            <v>W-FOPL-CG85NXX-T3L0-02-7S00</v>
          </cell>
          <cell r="F119">
            <v>24</v>
          </cell>
        </row>
        <row r="120">
          <cell r="B120" t="str">
            <v>ACDP-75D31LX-B6C2</v>
          </cell>
          <cell r="C120" t="str">
            <v>W-FOPL-CG80PXX-L870-02-7S00</v>
          </cell>
          <cell r="D120">
            <v>24</v>
          </cell>
          <cell r="E120" t="str">
            <v>W-FOPL-CG85NXX-T3L0-02-7S00</v>
          </cell>
          <cell r="F120">
            <v>24</v>
          </cell>
        </row>
        <row r="121">
          <cell r="B121" t="str">
            <v>ACDP-75D31RX-B3C4</v>
          </cell>
          <cell r="C121" t="str">
            <v>W-FOPL-CG82PXX-L870-02-7S00</v>
          </cell>
          <cell r="D121">
            <v>18</v>
          </cell>
          <cell r="E121" t="str">
            <v>W-FOPL-CG87NXX-T3L0-02-7S00</v>
          </cell>
          <cell r="F121">
            <v>21</v>
          </cell>
        </row>
        <row r="122">
          <cell r="B122" t="str">
            <v>ACDP-75D31RX-B4C3</v>
          </cell>
          <cell r="C122" t="str">
            <v>W-FOPL-CG82PXX-L870-02-7S00</v>
          </cell>
          <cell r="D122">
            <v>21</v>
          </cell>
          <cell r="E122" t="str">
            <v>W-FOPL-CG87NXX-T3L0-02-7S00</v>
          </cell>
          <cell r="F122">
            <v>21</v>
          </cell>
        </row>
        <row r="123">
          <cell r="B123" t="str">
            <v>ACDP-75D31RX-B6C2</v>
          </cell>
          <cell r="C123" t="str">
            <v>W-FOPL-CG80PXX-L870-02-7S00</v>
          </cell>
          <cell r="D123">
            <v>24</v>
          </cell>
          <cell r="E123" t="str">
            <v>W-FOPL-CG85NXX-T3L0-02-7S00</v>
          </cell>
          <cell r="F123">
            <v>24</v>
          </cell>
        </row>
        <row r="124">
          <cell r="B124" t="str">
            <v>ACDP-80D26LX-B2C4</v>
          </cell>
          <cell r="C124" t="str">
            <v>W-FOPL-CG80PXX-L870-02-7S00</v>
          </cell>
          <cell r="D124">
            <v>18</v>
          </cell>
          <cell r="E124" t="str">
            <v>W-FOPL-CG85NXX-T3L0-02-7S00</v>
          </cell>
          <cell r="F124">
            <v>18</v>
          </cell>
        </row>
        <row r="125">
          <cell r="B125" t="str">
            <v>ACDP-80D26LX-B4C2</v>
          </cell>
          <cell r="C125" t="str">
            <v>W-FOPL-CG80PXX-L870-02-7S00</v>
          </cell>
          <cell r="D125">
            <v>21</v>
          </cell>
          <cell r="E125" t="str">
            <v>W-FOPL-CG85NXX-T3L0-02-7S00</v>
          </cell>
          <cell r="F125">
            <v>21</v>
          </cell>
        </row>
        <row r="126">
          <cell r="B126" t="str">
            <v>ACDP-80D26LX-B4C3</v>
          </cell>
          <cell r="C126" t="str">
            <v>W-FOPL-CG82PXX-L870-02-7S00</v>
          </cell>
          <cell r="D126">
            <v>21</v>
          </cell>
          <cell r="E126" t="str">
            <v>W-FOPL-CG87NXX-T3L0-02-7S00</v>
          </cell>
          <cell r="F126">
            <v>21</v>
          </cell>
        </row>
        <row r="127">
          <cell r="B127" t="str">
            <v>ACDP-80D26LX-B5C2</v>
          </cell>
          <cell r="C127" t="str">
            <v>W-FOPL-CG80PXX-L870-02-7S00</v>
          </cell>
          <cell r="D127">
            <v>24</v>
          </cell>
          <cell r="E127" t="str">
            <v>W-FOPL-CG85NXX-T3L0-02-7S00</v>
          </cell>
          <cell r="F127">
            <v>21</v>
          </cell>
        </row>
        <row r="128">
          <cell r="B128" t="str">
            <v>ACDP-80D26RX-B2C4</v>
          </cell>
          <cell r="C128" t="str">
            <v>W-FOPL-CG80PXX-L870-02-7S00</v>
          </cell>
          <cell r="D128">
            <v>18</v>
          </cell>
          <cell r="E128" t="str">
            <v>W-FOPL-CG85NXX-T3L0-02-7S00</v>
          </cell>
          <cell r="F128">
            <v>18</v>
          </cell>
        </row>
        <row r="129">
          <cell r="B129" t="str">
            <v>ACDP-80D26RX-B4C3</v>
          </cell>
          <cell r="C129" t="str">
            <v>W-FOPL-CG82PXX-L870-02-7S00</v>
          </cell>
          <cell r="D129">
            <v>21</v>
          </cell>
          <cell r="E129" t="str">
            <v>W-FOPL-CG87NXX-T3L0-02-7S00</v>
          </cell>
          <cell r="F129">
            <v>21</v>
          </cell>
        </row>
        <row r="130">
          <cell r="B130" t="str">
            <v>ACDP-95D31LX-B5C4</v>
          </cell>
          <cell r="C130" t="str">
            <v>W-FOPL-CG85PXX-L870-02-7S00</v>
          </cell>
          <cell r="D130">
            <v>24</v>
          </cell>
          <cell r="E130" t="str">
            <v>W-FOPL-CG85NXX-T3L0-02-7S00</v>
          </cell>
          <cell r="F130">
            <v>21</v>
          </cell>
        </row>
        <row r="131">
          <cell r="B131" t="str">
            <v>ACDP-95D31LX-B7C3</v>
          </cell>
          <cell r="C131" t="str">
            <v>W-FOPL-CG85PXX-L870-02-7S00</v>
          </cell>
          <cell r="D131">
            <v>27</v>
          </cell>
          <cell r="E131" t="str">
            <v>W-FOPL-CG85NXX-T3L0-02-7S00</v>
          </cell>
          <cell r="F131">
            <v>24</v>
          </cell>
        </row>
        <row r="132">
          <cell r="B132" t="str">
            <v>ACDP-95D31LX-B8C2</v>
          </cell>
          <cell r="C132" t="str">
            <v>W-FOPL-CG80PXX-L870-02-7S00</v>
          </cell>
          <cell r="D132">
            <v>27</v>
          </cell>
          <cell r="E132" t="str">
            <v>W-FOPL-CG85NXX-T3L0-02-7S00</v>
          </cell>
          <cell r="F132">
            <v>27</v>
          </cell>
        </row>
        <row r="133">
          <cell r="B133" t="str">
            <v>ACDP-95D31RX-B5C4</v>
          </cell>
          <cell r="C133" t="str">
            <v>W-FOPL-CG85PXX-L870-02-7S00</v>
          </cell>
          <cell r="D133">
            <v>24</v>
          </cell>
          <cell r="E133" t="str">
            <v>W-FOPL-CG85NXX-T3L0-02-7S00</v>
          </cell>
          <cell r="F133">
            <v>21</v>
          </cell>
        </row>
        <row r="134">
          <cell r="B134" t="str">
            <v>ACDP-95D31RX-B7C3</v>
          </cell>
          <cell r="C134" t="str">
            <v>W-FOPL-CG85PXX-L870-02-7S00</v>
          </cell>
          <cell r="D134">
            <v>27</v>
          </cell>
          <cell r="E134" t="str">
            <v>W-FOPL-CG85NXX-T3L0-02-7S00</v>
          </cell>
          <cell r="F134">
            <v>24</v>
          </cell>
        </row>
        <row r="135">
          <cell r="B135" t="str">
            <v>ACDP-95D31RX-B8C2</v>
          </cell>
          <cell r="C135" t="str">
            <v>W-FOPL-CG80PXX-L870-02-7S00</v>
          </cell>
          <cell r="D135">
            <v>27</v>
          </cell>
          <cell r="E135" t="str">
            <v>W-FOPL-CG85NXX-T3L0-02-7S00</v>
          </cell>
          <cell r="F135">
            <v>27</v>
          </cell>
        </row>
        <row r="136">
          <cell r="B136" t="str">
            <v>ACDP-95E41LX-B5C4</v>
          </cell>
          <cell r="C136" t="str">
            <v>W-FOPL-CG80PXX-L870-02-7S00</v>
          </cell>
          <cell r="D136">
            <v>21</v>
          </cell>
          <cell r="E136" t="str">
            <v>W-FOPL-CG87NXX-T3L0-02-7S00</v>
          </cell>
          <cell r="F136">
            <v>24</v>
          </cell>
        </row>
        <row r="137">
          <cell r="B137" t="str">
            <v>ACDP-95E41LX-B7C3</v>
          </cell>
          <cell r="C137" t="str">
            <v>W-FOPL-CG80PXX-L870-02-7S00</v>
          </cell>
          <cell r="D137">
            <v>24</v>
          </cell>
          <cell r="E137" t="str">
            <v>W-FOPL-CG87NXX-T3L0-02-7S00</v>
          </cell>
          <cell r="F137">
            <v>27</v>
          </cell>
        </row>
        <row r="138">
          <cell r="B138" t="str">
            <v>ACDP-95E41RX-B5C4</v>
          </cell>
          <cell r="C138" t="str">
            <v>W-FOPL-CG80PXX-L870-02-7S00</v>
          </cell>
          <cell r="D138">
            <v>21</v>
          </cell>
          <cell r="E138" t="str">
            <v>W-FOPL-CG87NXX-T3L0-02-7S00</v>
          </cell>
          <cell r="F138">
            <v>24</v>
          </cell>
        </row>
        <row r="139">
          <cell r="B139" t="str">
            <v>ACDP-95E41RX-B7C3</v>
          </cell>
          <cell r="C139" t="str">
            <v>W-FOPL-CG80PXX-L870-02-7S00</v>
          </cell>
          <cell r="D139">
            <v>24</v>
          </cell>
          <cell r="E139" t="str">
            <v>W-FOPL-CG87NXX-T3L0-02-7S00</v>
          </cell>
          <cell r="F139">
            <v>27</v>
          </cell>
        </row>
        <row r="140">
          <cell r="B140" t="str">
            <v>ACDP-95E41RX-C0C2</v>
          </cell>
          <cell r="C140" t="str">
            <v>W-FOPL-CG80PXX-L870-02-7S00</v>
          </cell>
          <cell r="D140">
            <v>30</v>
          </cell>
          <cell r="E140" t="str">
            <v>W-FOPL-CG85NXX-T3L0-02-7S00</v>
          </cell>
          <cell r="F140">
            <v>30</v>
          </cell>
        </row>
        <row r="141">
          <cell r="B141" t="str">
            <v>ACDP-95E41RX-C1C1</v>
          </cell>
          <cell r="C141" t="str">
            <v>W-FOPL-CG80PXX-L870-02-7S00</v>
          </cell>
          <cell r="D141">
            <v>33</v>
          </cell>
          <cell r="E141" t="str">
            <v>W-FOPL-CG85NXX-T3L0-02-7S00</v>
          </cell>
          <cell r="F141">
            <v>30</v>
          </cell>
        </row>
        <row r="142">
          <cell r="B142" t="str">
            <v>ACDP-N03XXXX-B5C3</v>
          </cell>
          <cell r="C142" t="str">
            <v>W-FOPL-CR82PXX-L870-02-7S00</v>
          </cell>
          <cell r="D142">
            <v>12</v>
          </cell>
          <cell r="E142" t="str">
            <v>W-FOPL-CR87NXX-T3L0-02-7S00</v>
          </cell>
          <cell r="F142">
            <v>10.5</v>
          </cell>
        </row>
        <row r="143">
          <cell r="B143" t="str">
            <v>ACDP-N100TDF-B9C3</v>
          </cell>
          <cell r="C143" t="str">
            <v>W-FOPL-CG79PXX-L34A-02-7S00</v>
          </cell>
          <cell r="D143">
            <v>30</v>
          </cell>
          <cell r="E143" t="str">
            <v>W-FOPL-CG84NXX-T3S0-02-7S0A</v>
          </cell>
          <cell r="F143">
            <v>27</v>
          </cell>
        </row>
        <row r="144">
          <cell r="B144" t="str">
            <v>ACDP-N100TXX-B9C3</v>
          </cell>
          <cell r="C144" t="str">
            <v>W-FOPL-CG79PXX-L34A-02-7S00</v>
          </cell>
          <cell r="D144">
            <v>30</v>
          </cell>
          <cell r="E144" t="str">
            <v>W-FOPL-CG84NXX-T3S0-02-7S0A</v>
          </cell>
          <cell r="F144">
            <v>27</v>
          </cell>
        </row>
        <row r="145">
          <cell r="B145" t="str">
            <v>ACDP-N12DXXX-B9C3</v>
          </cell>
          <cell r="C145" t="str">
            <v>W-FOPL-CG80PXX-L870-02-7S00</v>
          </cell>
          <cell r="D145">
            <v>13.5</v>
          </cell>
          <cell r="E145" t="str">
            <v>W-FOPL-CG85NXX-T3L0-02-7S00</v>
          </cell>
          <cell r="F145">
            <v>15</v>
          </cell>
        </row>
        <row r="146">
          <cell r="B146" t="str">
            <v>ACDP-N150TDF-C9C3</v>
          </cell>
          <cell r="C146" t="str">
            <v>W-FOPL-CG79PXX-L34A-02-7S00</v>
          </cell>
          <cell r="D146">
            <v>45</v>
          </cell>
          <cell r="E146" t="str">
            <v>W-FOPL-CG84NXX-T3S0-02-7S0A</v>
          </cell>
          <cell r="F146">
            <v>42</v>
          </cell>
        </row>
        <row r="147">
          <cell r="B147" t="str">
            <v>ACDP-N150TXX-C9C3</v>
          </cell>
          <cell r="C147" t="str">
            <v>W-FOPL-CG79PXX-L34A-02-7S00</v>
          </cell>
          <cell r="D147">
            <v>45</v>
          </cell>
          <cell r="E147" t="str">
            <v>W-FOPL-CG84NXX-T3S0-02-7S0A</v>
          </cell>
          <cell r="F147">
            <v>42</v>
          </cell>
        </row>
        <row r="148">
          <cell r="B148" t="str">
            <v>ACDP-N200TDF-D7C3</v>
          </cell>
          <cell r="C148" t="str">
            <v>W-FOPL-CG79PXX-L34A-02-7S00</v>
          </cell>
          <cell r="D148">
            <v>57</v>
          </cell>
          <cell r="E148" t="str">
            <v>W-FOPL-CG84NXX-T3S0-02-7S0A</v>
          </cell>
          <cell r="F148">
            <v>54</v>
          </cell>
        </row>
        <row r="149">
          <cell r="B149" t="str">
            <v>ACDP-N200TXX-D7C3</v>
          </cell>
          <cell r="C149" t="str">
            <v>W-FOPL-CG79PXX-L34A-02-7S00</v>
          </cell>
          <cell r="D149">
            <v>57</v>
          </cell>
          <cell r="E149" t="str">
            <v>W-FOPL-CG84NXX-T3S0-02-7S0A</v>
          </cell>
          <cell r="F149">
            <v>54</v>
          </cell>
        </row>
        <row r="150">
          <cell r="B150" t="str">
            <v>ACDP-N70TDFX-B5C3</v>
          </cell>
          <cell r="C150" t="str">
            <v>W-FOPL-CG79PXX-L34A-02-7S00</v>
          </cell>
          <cell r="D150">
            <v>24</v>
          </cell>
          <cell r="E150" t="str">
            <v>W-FOPL-CG84NXX-T3S0-02-7S0A</v>
          </cell>
          <cell r="F150">
            <v>21</v>
          </cell>
        </row>
        <row r="151">
          <cell r="B151" t="str">
            <v>ACDP-N70TXXX-B5C3</v>
          </cell>
          <cell r="C151" t="str">
            <v>W-FOPL-CG79PXX-L34A-02-7S00</v>
          </cell>
          <cell r="D151">
            <v>24</v>
          </cell>
          <cell r="E151" t="str">
            <v>W-FOPL-CG84NXX-T3S0-02-7S0A</v>
          </cell>
          <cell r="F151">
            <v>21</v>
          </cell>
        </row>
        <row r="152">
          <cell r="B152" t="str">
            <v>ACDR-6D115XX-B7C3</v>
          </cell>
          <cell r="C152" t="str">
            <v>W-FOPL-DF72PXX-L34A-01-7S00</v>
          </cell>
          <cell r="D152">
            <v>24</v>
          </cell>
          <cell r="E152" t="str">
            <v>W-FOPL-DF78NXX-T3S0-01-7S0A</v>
          </cell>
          <cell r="F152">
            <v>27</v>
          </cell>
        </row>
        <row r="153">
          <cell r="B153" t="str">
            <v>ACDR-6D135XX-B9C3</v>
          </cell>
          <cell r="C153" t="str">
            <v>W-FOPL-DF72PXX-L34A-01-7S00</v>
          </cell>
          <cell r="D153">
            <v>27</v>
          </cell>
          <cell r="E153" t="str">
            <v>W-FOPL-DF78NXX-T3S0-01-7S0A</v>
          </cell>
          <cell r="F153">
            <v>30</v>
          </cell>
        </row>
        <row r="154">
          <cell r="B154" t="str">
            <v>ACUP-105D31L-B8C3</v>
          </cell>
          <cell r="C154" t="str">
            <v>W-UNPL-CG85PXX-L870-02-7S00</v>
          </cell>
          <cell r="D154">
            <v>27</v>
          </cell>
          <cell r="E154" t="str">
            <v>W-UNPL-CG87NXX-T3L0-02-7S00</v>
          </cell>
          <cell r="F154">
            <v>27</v>
          </cell>
        </row>
        <row r="155">
          <cell r="B155" t="str">
            <v>ACUP-105D31R-B8C3</v>
          </cell>
          <cell r="C155" t="str">
            <v>W-UNPL-CG85PXX-L870-02-7S00</v>
          </cell>
          <cell r="D155">
            <v>27</v>
          </cell>
          <cell r="E155" t="str">
            <v>W-UNPL-CG87NXX-T3L0-02-7S00</v>
          </cell>
          <cell r="F155">
            <v>27</v>
          </cell>
        </row>
        <row r="156">
          <cell r="B156" t="str">
            <v>ACUP-115F51X-B9C4</v>
          </cell>
          <cell r="C156" t="str">
            <v>W-UNPL-CG82PXX-L870-02-7S00</v>
          </cell>
          <cell r="D156">
            <v>27</v>
          </cell>
          <cell r="E156" t="str">
            <v>W-UNPL-CG87NXX-T3L0-02-7S00</v>
          </cell>
          <cell r="F156">
            <v>30</v>
          </cell>
        </row>
        <row r="157">
          <cell r="B157" t="str">
            <v>ACUP-115F51X-C1C3</v>
          </cell>
          <cell r="C157" t="str">
            <v>W-UNPL-CG80PXX-L870-02-7S00</v>
          </cell>
          <cell r="D157">
            <v>30</v>
          </cell>
          <cell r="E157" t="str">
            <v>W-UNPL-CG87NXX-T3L0-02-7S00</v>
          </cell>
          <cell r="F157">
            <v>33</v>
          </cell>
        </row>
        <row r="158">
          <cell r="B158" t="str">
            <v>ACUP-145G51L-C7C3</v>
          </cell>
          <cell r="C158" t="str">
            <v>W-UNPL-CG82PXX-L870-02-7S00</v>
          </cell>
          <cell r="D158">
            <v>39</v>
          </cell>
          <cell r="E158" t="str">
            <v>W-UNPL-CG87NXX-T3L0-02-7S00</v>
          </cell>
          <cell r="F158">
            <v>42</v>
          </cell>
        </row>
        <row r="159">
          <cell r="B159" t="str">
            <v>ACUP-145G51X-C3C5</v>
          </cell>
          <cell r="C159" t="str">
            <v>W-UNPL-CG82PXX-L870-02-7S00</v>
          </cell>
          <cell r="D159">
            <v>33</v>
          </cell>
          <cell r="E159" t="str">
            <v>W-UNPL-CG87NXX-T3L0-02-7S00</v>
          </cell>
          <cell r="F159">
            <v>36</v>
          </cell>
        </row>
        <row r="160">
          <cell r="B160" t="str">
            <v>ACUP-145G51X-C5C4</v>
          </cell>
          <cell r="C160" t="str">
            <v>W-UNPL-CG82PXX-L870-02-7S00</v>
          </cell>
          <cell r="D160">
            <v>36</v>
          </cell>
          <cell r="E160" t="str">
            <v>W-UNPL-CG87NXX-T3L0-02-7S00</v>
          </cell>
          <cell r="F160">
            <v>39</v>
          </cell>
        </row>
        <row r="161">
          <cell r="B161" t="str">
            <v>ACUP-145G51X-C7C3</v>
          </cell>
          <cell r="C161" t="str">
            <v>W-UNPL-CG82PXX-L870-02-7S00</v>
          </cell>
          <cell r="D161">
            <v>39</v>
          </cell>
          <cell r="E161" t="str">
            <v>W-UNPL-CG87NXX-T3L0-02-7S00</v>
          </cell>
          <cell r="F161">
            <v>42</v>
          </cell>
        </row>
        <row r="162">
          <cell r="B162" t="str">
            <v>ACUP-190H52X-C9C7</v>
          </cell>
          <cell r="C162" t="str">
            <v>W-UNPL-CG82PXX-L870-02-7S00</v>
          </cell>
          <cell r="D162">
            <v>42</v>
          </cell>
          <cell r="E162" t="str">
            <v>W-UNPL-CG87NXX-T3L0-02-7S00</v>
          </cell>
          <cell r="F162">
            <v>45</v>
          </cell>
        </row>
        <row r="163">
          <cell r="B163" t="str">
            <v>ACUP-190H52X-D1C6</v>
          </cell>
          <cell r="C163" t="str">
            <v>W-UNPL-CG82PXX-L870-02-7S00</v>
          </cell>
          <cell r="D163">
            <v>45</v>
          </cell>
          <cell r="E163" t="str">
            <v>W-UNPL-CG87NXX-T3L0-02-7S00</v>
          </cell>
          <cell r="F163">
            <v>48</v>
          </cell>
        </row>
        <row r="164">
          <cell r="B164" t="str">
            <v>ACUP-190H52X-D3C5</v>
          </cell>
          <cell r="C164" t="str">
            <v>W-UNPL-CG82PXX-L870-02-7S00</v>
          </cell>
          <cell r="D164">
            <v>48</v>
          </cell>
          <cell r="E164" t="str">
            <v>W-UNPL-CG87NXX-T3L0-02-7S00</v>
          </cell>
          <cell r="F164">
            <v>51</v>
          </cell>
        </row>
        <row r="165">
          <cell r="B165" t="str">
            <v>ACUP-190H52X-D7C3</v>
          </cell>
          <cell r="C165" t="str">
            <v>W-UNPL-CG82PXX-L870-02-7S00</v>
          </cell>
          <cell r="D165">
            <v>54</v>
          </cell>
          <cell r="E165" t="str">
            <v>W-UNPL-CG87NXX-T3L0-02-7S00</v>
          </cell>
          <cell r="F165">
            <v>57</v>
          </cell>
        </row>
        <row r="166">
          <cell r="B166" t="str">
            <v>ACUP-32B20LX-A7C4</v>
          </cell>
          <cell r="C166" t="str">
            <v>W-UNPL-CM84APX-L870-02-7S00</v>
          </cell>
          <cell r="D166">
            <v>9</v>
          </cell>
          <cell r="E166" t="str">
            <v>W-UNPL-CM8786N-T3L0-02-7S00</v>
          </cell>
          <cell r="F166">
            <v>12</v>
          </cell>
        </row>
        <row r="167">
          <cell r="B167" t="str">
            <v>ACUP-32B20LX-A9C3</v>
          </cell>
          <cell r="C167" t="str">
            <v>W-UNPL-CM84APX-L870-02-7S00</v>
          </cell>
          <cell r="D167">
            <v>12</v>
          </cell>
          <cell r="E167" t="str">
            <v>W-UNPL-CM8786N-T3L0-02-7S00</v>
          </cell>
          <cell r="F167">
            <v>15</v>
          </cell>
        </row>
        <row r="168">
          <cell r="B168" t="str">
            <v>ACUP-32B20RS-A9C3</v>
          </cell>
          <cell r="C168" t="str">
            <v>W-UNPL-CM84APX-L870-02-7S00</v>
          </cell>
          <cell r="D168">
            <v>12</v>
          </cell>
          <cell r="E168" t="str">
            <v>W-UNPL-CM8786N-T3L0-02-7S00</v>
          </cell>
          <cell r="F168">
            <v>15</v>
          </cell>
        </row>
        <row r="169">
          <cell r="B169" t="str">
            <v>ACUP-32B20RX-A7C4</v>
          </cell>
          <cell r="C169" t="str">
            <v>W-UNPL-CM84APX-L870-02-7S00</v>
          </cell>
          <cell r="D169">
            <v>9</v>
          </cell>
          <cell r="E169" t="str">
            <v>W-UNPL-CM8786N-T3L0-02-7S00</v>
          </cell>
          <cell r="F169">
            <v>12</v>
          </cell>
        </row>
        <row r="170">
          <cell r="B170" t="str">
            <v>ACUP-32B20RX-A9C3</v>
          </cell>
          <cell r="C170" t="str">
            <v>W-UNPL-CM84APX-L870-02-7S00</v>
          </cell>
          <cell r="D170">
            <v>12</v>
          </cell>
          <cell r="E170" t="str">
            <v>W-UNPL-CM8786N-T3L0-02-7S00</v>
          </cell>
          <cell r="F170">
            <v>15</v>
          </cell>
        </row>
        <row r="171">
          <cell r="B171" t="str">
            <v>ACUP-32C24LX-A9C4</v>
          </cell>
          <cell r="C171" t="str">
            <v>W-UNPL-CM84APX-L870-02-7S00</v>
          </cell>
          <cell r="D171">
            <v>12</v>
          </cell>
          <cell r="E171" t="str">
            <v>W-UNPL-CM8786N-T3L0-02-7S00</v>
          </cell>
          <cell r="F171">
            <v>15</v>
          </cell>
        </row>
        <row r="172">
          <cell r="B172" t="str">
            <v>ACUP-32C24LX-B1C3</v>
          </cell>
          <cell r="C172" t="str">
            <v>W-UNPL-CM84APX-L870-02-7S00</v>
          </cell>
          <cell r="D172">
            <v>15</v>
          </cell>
          <cell r="E172" t="str">
            <v>W-UNPL-CM8786N-T3L0-02-7S00</v>
          </cell>
          <cell r="F172">
            <v>18</v>
          </cell>
        </row>
        <row r="173">
          <cell r="B173" t="str">
            <v>ACUP-32C24RX-A9C4</v>
          </cell>
          <cell r="C173" t="str">
            <v>W-UNPL-CM84APX-L870-02-7S00</v>
          </cell>
          <cell r="D173">
            <v>12</v>
          </cell>
          <cell r="E173" t="str">
            <v>W-UNPL-CM8786N-T3L0-02-7S00</v>
          </cell>
          <cell r="F173">
            <v>15</v>
          </cell>
        </row>
        <row r="174">
          <cell r="B174" t="str">
            <v>ACUP-32C24RX-B1C3</v>
          </cell>
          <cell r="C174" t="str">
            <v>W-UNPL-CM84APX-L870-02-7S00</v>
          </cell>
          <cell r="D174">
            <v>15</v>
          </cell>
          <cell r="E174" t="str">
            <v>W-UNPL-CM8786N-T3L0-02-7S00</v>
          </cell>
          <cell r="F174">
            <v>18</v>
          </cell>
        </row>
        <row r="175">
          <cell r="B175" t="str">
            <v>ACUP-36B20LS-A9C4</v>
          </cell>
          <cell r="C175" t="str">
            <v>W-UNPL-CM84APX-L870-02-7S00</v>
          </cell>
          <cell r="D175">
            <v>12</v>
          </cell>
          <cell r="E175" t="str">
            <v>W-UNPL-CM8786N-T3L0-02-7S00</v>
          </cell>
          <cell r="F175">
            <v>15</v>
          </cell>
        </row>
        <row r="176">
          <cell r="B176" t="str">
            <v>ACUP-36B20LS-B0C3</v>
          </cell>
          <cell r="C176" t="str">
            <v>W-UNPL-CM84APX-L870-02-7S00</v>
          </cell>
          <cell r="D176">
            <v>15</v>
          </cell>
          <cell r="E176" t="str">
            <v>W-UNPL-CM8786N-T3L0-02-7S00</v>
          </cell>
          <cell r="F176">
            <v>15</v>
          </cell>
        </row>
        <row r="177">
          <cell r="B177" t="str">
            <v>ACUP-36B20LX-A7C5</v>
          </cell>
          <cell r="C177" t="str">
            <v>W-UNPL-CM84APX-L870-02-7S00</v>
          </cell>
          <cell r="D177">
            <v>9</v>
          </cell>
          <cell r="E177" t="str">
            <v>W-UNPL-CM8786N-T3L0-02-7S00</v>
          </cell>
          <cell r="F177">
            <v>12</v>
          </cell>
        </row>
        <row r="178">
          <cell r="B178" t="str">
            <v>ACUP-36B20LX-A9C4</v>
          </cell>
          <cell r="C178" t="str">
            <v>W-UNPL-CM84APX-L870-02-7S00</v>
          </cell>
          <cell r="D178">
            <v>12</v>
          </cell>
          <cell r="E178" t="str">
            <v>W-UNPL-CM8786N-T3L0-02-7S00</v>
          </cell>
          <cell r="F178">
            <v>15</v>
          </cell>
        </row>
        <row r="179">
          <cell r="B179" t="str">
            <v>ACUP-36B20LX-B0C3</v>
          </cell>
          <cell r="C179" t="str">
            <v>W-UNPL-CM84APX-L870-02-7S00</v>
          </cell>
          <cell r="D179">
            <v>15</v>
          </cell>
          <cell r="E179" t="str">
            <v>W-UNPL-CM8786N-T3L0-02-7S00</v>
          </cell>
          <cell r="F179">
            <v>15</v>
          </cell>
        </row>
        <row r="180">
          <cell r="B180" t="str">
            <v>ACUP-36B20RX-A7C5</v>
          </cell>
          <cell r="C180" t="str">
            <v>W-UNPL-CM84APX-L870-02-7S00</v>
          </cell>
          <cell r="D180">
            <v>9</v>
          </cell>
          <cell r="E180" t="str">
            <v>W-UNPL-CM8786N-T3L0-02-7S00</v>
          </cell>
          <cell r="F180">
            <v>12</v>
          </cell>
        </row>
        <row r="181">
          <cell r="B181" t="str">
            <v>ACUP-36B20RX-A9C4</v>
          </cell>
          <cell r="C181" t="str">
            <v>W-UNPL-CM84APX-L870-02-7S00</v>
          </cell>
          <cell r="D181">
            <v>12</v>
          </cell>
          <cell r="E181" t="str">
            <v>W-UNPL-CM8786N-T3L0-02-7S00</v>
          </cell>
          <cell r="F181">
            <v>15</v>
          </cell>
        </row>
        <row r="182">
          <cell r="B182" t="str">
            <v>ACUP-36B20RX-B0C3</v>
          </cell>
          <cell r="C182" t="str">
            <v>W-UNPL-CM84APX-L870-02-7S00</v>
          </cell>
          <cell r="D182">
            <v>15</v>
          </cell>
          <cell r="E182" t="str">
            <v>W-UNPL-CM8786N-T3L0-02-7S00</v>
          </cell>
          <cell r="F182">
            <v>15</v>
          </cell>
        </row>
        <row r="183">
          <cell r="B183" t="str">
            <v>ACUP-46B24LS-A9C5</v>
          </cell>
          <cell r="C183" t="str">
            <v>W-UNPL-CM84APX-L870-02-7S00</v>
          </cell>
          <cell r="D183">
            <v>12</v>
          </cell>
          <cell r="E183" t="str">
            <v>W-UNPL-CM8786N-T3L0-02-7S00</v>
          </cell>
          <cell r="F183">
            <v>15</v>
          </cell>
        </row>
        <row r="184">
          <cell r="B184" t="str">
            <v>ACUP-46B24LS-B1C4</v>
          </cell>
          <cell r="C184" t="str">
            <v>W-UNPL-CM84APX-L870-02-7S00</v>
          </cell>
          <cell r="D184">
            <v>15</v>
          </cell>
          <cell r="E184" t="str">
            <v>W-UNPL-CM8786N-T3L0-02-7S00</v>
          </cell>
          <cell r="F184">
            <v>18</v>
          </cell>
        </row>
        <row r="185">
          <cell r="B185" t="str">
            <v>ACUP-46B24LS-B2C3</v>
          </cell>
          <cell r="C185" t="str">
            <v>W-UNPL-CM84APX-L870-02-7S00</v>
          </cell>
          <cell r="D185">
            <v>18</v>
          </cell>
          <cell r="E185" t="str">
            <v>W-UNPL-CM8786N-T3L0-02-7S00</v>
          </cell>
          <cell r="F185">
            <v>18</v>
          </cell>
        </row>
        <row r="186">
          <cell r="B186" t="str">
            <v>ACUP-46B24LX-A9C5</v>
          </cell>
          <cell r="C186" t="str">
            <v>W-UNPL-CM84APX-L870-02-7S00</v>
          </cell>
          <cell r="D186">
            <v>12</v>
          </cell>
          <cell r="E186" t="str">
            <v>W-UNPL-CM8786N-T3L0-02-7S00</v>
          </cell>
          <cell r="F186">
            <v>15</v>
          </cell>
        </row>
        <row r="187">
          <cell r="B187" t="str">
            <v>ACUP-46B24LX-B1C4</v>
          </cell>
          <cell r="C187" t="str">
            <v>W-UNPL-CM84APX-L870-02-7S00</v>
          </cell>
          <cell r="D187">
            <v>15</v>
          </cell>
          <cell r="E187" t="str">
            <v>W-UNPL-CM8786N-T3L0-02-7S00</v>
          </cell>
          <cell r="F187">
            <v>18</v>
          </cell>
        </row>
        <row r="188">
          <cell r="B188" t="str">
            <v>ACUP-46B24LX-B2C3</v>
          </cell>
          <cell r="C188" t="str">
            <v>W-UNPL-CM84APX-L870-02-7S00</v>
          </cell>
          <cell r="D188">
            <v>18</v>
          </cell>
          <cell r="E188" t="str">
            <v>W-UNPL-CM8786N-T3L0-02-7S00</v>
          </cell>
          <cell r="F188">
            <v>18</v>
          </cell>
        </row>
        <row r="189">
          <cell r="B189" t="str">
            <v>ACUP-46B24RS-A9C5</v>
          </cell>
          <cell r="C189" t="str">
            <v>W-UNPL-CM84APX-L870-02-7S00</v>
          </cell>
          <cell r="D189">
            <v>12</v>
          </cell>
          <cell r="E189" t="str">
            <v>W-UNPL-CM8786N-T3L0-02-7S00</v>
          </cell>
          <cell r="F189">
            <v>15</v>
          </cell>
        </row>
        <row r="190">
          <cell r="B190" t="str">
            <v>ACUP-46B24RS-B1C4</v>
          </cell>
          <cell r="C190" t="str">
            <v>W-UNPL-CM84APX-L870-02-7S00</v>
          </cell>
          <cell r="D190">
            <v>15</v>
          </cell>
          <cell r="E190" t="str">
            <v>W-UNPL-CM8786N-T3L0-02-7S00</v>
          </cell>
          <cell r="F190">
            <v>18</v>
          </cell>
        </row>
        <row r="191">
          <cell r="B191" t="str">
            <v>ACUP-46B24RS-B2C3</v>
          </cell>
          <cell r="C191" t="str">
            <v>W-UNPL-CM84APX-L870-02-7S00</v>
          </cell>
          <cell r="D191">
            <v>18</v>
          </cell>
          <cell r="E191" t="str">
            <v>W-UNPL-CM8786N-T3L0-02-7S00</v>
          </cell>
          <cell r="F191">
            <v>18</v>
          </cell>
        </row>
        <row r="192">
          <cell r="B192" t="str">
            <v>ACUP-46B24RX-A9C5</v>
          </cell>
          <cell r="C192" t="str">
            <v>W-UNPL-CM84APX-L870-02-7S00</v>
          </cell>
          <cell r="D192">
            <v>12</v>
          </cell>
          <cell r="E192" t="str">
            <v>W-UNPL-CM8786N-T3L0-02-7S00</v>
          </cell>
          <cell r="F192">
            <v>15</v>
          </cell>
        </row>
        <row r="193">
          <cell r="B193" t="str">
            <v>ACUP-46B24RX-B1C4</v>
          </cell>
          <cell r="C193" t="str">
            <v>W-UNPL-CM84APX-L870-02-7S00</v>
          </cell>
          <cell r="D193">
            <v>15</v>
          </cell>
          <cell r="E193" t="str">
            <v>W-UNPL-CM8786N-T3L0-02-7S00</v>
          </cell>
          <cell r="F193">
            <v>18</v>
          </cell>
        </row>
        <row r="194">
          <cell r="B194" t="str">
            <v>ACUP-46B24RX-B2C3</v>
          </cell>
          <cell r="C194" t="str">
            <v>W-UNPL-CM84APX-L870-02-7S00</v>
          </cell>
          <cell r="D194">
            <v>18</v>
          </cell>
          <cell r="E194" t="str">
            <v>W-UNPL-CM8786N-T3L0-02-7S00</v>
          </cell>
          <cell r="F194">
            <v>18</v>
          </cell>
        </row>
        <row r="195">
          <cell r="B195" t="str">
            <v>ACUP-48D26RX-A9C3</v>
          </cell>
          <cell r="C195" t="str">
            <v>W-UNPL-CG80PXX-L870-02-7S00</v>
          </cell>
          <cell r="D195">
            <v>12</v>
          </cell>
          <cell r="E195" t="str">
            <v>W-UNPL-CG87NXX-T3L0-02-7S00</v>
          </cell>
          <cell r="F195">
            <v>15</v>
          </cell>
        </row>
        <row r="196">
          <cell r="B196" t="str">
            <v>ACUP-54459LX-A9C3</v>
          </cell>
          <cell r="C196" t="str">
            <v>W-UNPL-CG82PXX-L870-02-7S00</v>
          </cell>
          <cell r="D196">
            <v>12</v>
          </cell>
          <cell r="E196" t="str">
            <v>W-UNPL-CG87NXX-T3L0-02-7S00</v>
          </cell>
          <cell r="F196">
            <v>15</v>
          </cell>
        </row>
        <row r="197">
          <cell r="B197" t="str">
            <v>ACUP-55559LX-A9C4</v>
          </cell>
          <cell r="C197" t="str">
            <v>W-UNPL-CG82PXX-L870-02-7S00</v>
          </cell>
          <cell r="D197">
            <v>12</v>
          </cell>
          <cell r="E197" t="str">
            <v>W-UNPL-CG87NXX-T3L0-02-7S00</v>
          </cell>
          <cell r="F197">
            <v>15</v>
          </cell>
        </row>
        <row r="198">
          <cell r="B198" t="str">
            <v>ACUP-55559LX-B1C3</v>
          </cell>
          <cell r="C198" t="str">
            <v>W-UNPL-CG82PXX-L870-02-7S00</v>
          </cell>
          <cell r="D198">
            <v>15</v>
          </cell>
          <cell r="E198" t="str">
            <v>W-UNPL-CG87NXX-T3L0-02-7S00</v>
          </cell>
          <cell r="F198">
            <v>18</v>
          </cell>
        </row>
        <row r="199">
          <cell r="B199" t="str">
            <v>ACUP-55565RX-A9C4</v>
          </cell>
          <cell r="C199" t="str">
            <v>W-UNPL-CG82PXX-L870-02-7S00</v>
          </cell>
          <cell r="D199">
            <v>12</v>
          </cell>
          <cell r="E199" t="str">
            <v>W-UNPL-CG87NXX-T3L0-02-7S00</v>
          </cell>
          <cell r="F199">
            <v>15</v>
          </cell>
        </row>
        <row r="200">
          <cell r="B200" t="str">
            <v>ACUP-55565RX-B1C3</v>
          </cell>
          <cell r="C200" t="str">
            <v>W-UNPL-CG82PXX-L870-02-7S00</v>
          </cell>
          <cell r="D200">
            <v>15</v>
          </cell>
          <cell r="E200" t="str">
            <v>W-UNPL-CG87NXX-T3L0-02-7S00</v>
          </cell>
          <cell r="F200">
            <v>18</v>
          </cell>
        </row>
        <row r="201">
          <cell r="B201" t="str">
            <v>ACUP-55D23LX-A9C4</v>
          </cell>
          <cell r="C201" t="str">
            <v>W-UNPL-CG80PXX-L870-02-7S00</v>
          </cell>
          <cell r="D201">
            <v>12</v>
          </cell>
          <cell r="E201" t="str">
            <v>W-UNPL-CG85NXX-T3L0-02-7S00</v>
          </cell>
          <cell r="F201">
            <v>15</v>
          </cell>
        </row>
        <row r="202">
          <cell r="B202" t="str">
            <v>ACUP-55D23LX-B0C3</v>
          </cell>
          <cell r="C202" t="str">
            <v>W-UNPL-CG80PXX-L870-02-7S00</v>
          </cell>
          <cell r="D202">
            <v>15</v>
          </cell>
          <cell r="E202" t="str">
            <v>W-UNPL-CG85NXX-T3L0-02-7S00</v>
          </cell>
          <cell r="F202">
            <v>15</v>
          </cell>
        </row>
        <row r="203">
          <cell r="B203" t="str">
            <v>ACUP-55D23RX-B0C3</v>
          </cell>
          <cell r="C203" t="str">
            <v>W-UNPL-CG80PXX-L870-02-7S00</v>
          </cell>
          <cell r="D203">
            <v>15</v>
          </cell>
          <cell r="E203" t="str">
            <v>W-UNPL-CG85NXX-T3L0-02-7S00</v>
          </cell>
          <cell r="F203">
            <v>15</v>
          </cell>
        </row>
        <row r="204">
          <cell r="B204" t="str">
            <v>ACUP-55D26LX-A9C4</v>
          </cell>
          <cell r="C204" t="str">
            <v>W-UNPL-CG80PXX-L870-02-7S00</v>
          </cell>
          <cell r="D204">
            <v>12</v>
          </cell>
          <cell r="E204" t="str">
            <v>W-UNPL-CG87NXX-T3L0-02-7S00</v>
          </cell>
          <cell r="F204">
            <v>15</v>
          </cell>
        </row>
        <row r="205">
          <cell r="B205" t="str">
            <v>ACUP-55D26RX-A9C4</v>
          </cell>
          <cell r="C205" t="str">
            <v>W-UNPL-CG80PXX-L870-02-7S00</v>
          </cell>
          <cell r="D205">
            <v>12</v>
          </cell>
          <cell r="E205" t="str">
            <v>W-UNPL-CG87NXX-T3L0-02-7S00</v>
          </cell>
          <cell r="F205">
            <v>15</v>
          </cell>
        </row>
        <row r="206">
          <cell r="B206" t="str">
            <v>ACUP-56638LX-B3C3</v>
          </cell>
          <cell r="C206" t="str">
            <v>W-UNPL-CG82PXX-L870-02-7S00</v>
          </cell>
          <cell r="D206">
            <v>18</v>
          </cell>
          <cell r="E206" t="str">
            <v>W-UNPL-CG87NXX-T3L0-02-7S00</v>
          </cell>
          <cell r="F206">
            <v>21</v>
          </cell>
        </row>
        <row r="207">
          <cell r="B207" t="str">
            <v>ACUP-58024LX-B5C3</v>
          </cell>
          <cell r="C207" t="str">
            <v>W-UNPL-CG80PXX-L870-02-7S00</v>
          </cell>
          <cell r="D207">
            <v>21</v>
          </cell>
          <cell r="E207" t="str">
            <v>W-UNPL-CG87NXX-T3L0-02-7S00</v>
          </cell>
          <cell r="F207">
            <v>24</v>
          </cell>
        </row>
        <row r="208">
          <cell r="B208" t="str">
            <v>ACUP-65038LX-D1C3</v>
          </cell>
          <cell r="C208" t="str">
            <v>W-UNPL-CG80PXX-L870-02-7S00</v>
          </cell>
          <cell r="D208">
            <v>48</v>
          </cell>
          <cell r="E208" t="str">
            <v>W-UNPL-CG85NXX-T3L0-02-7S00</v>
          </cell>
          <cell r="F208">
            <v>45</v>
          </cell>
        </row>
        <row r="209">
          <cell r="B209" t="str">
            <v>ACUP-65D26LX-A9C5</v>
          </cell>
          <cell r="C209" t="str">
            <v>W-UNPL-CG80PXX-L870-02-7S00</v>
          </cell>
          <cell r="D209">
            <v>12</v>
          </cell>
          <cell r="E209" t="str">
            <v>W-UNPL-CG87NXX-T3L0-02-7S00</v>
          </cell>
          <cell r="F209">
            <v>15</v>
          </cell>
        </row>
        <row r="210">
          <cell r="B210" t="str">
            <v>ACUP-65D26LX-B1C4</v>
          </cell>
          <cell r="C210" t="str">
            <v>W-UNPL-CG82PXX-L870-02-7S00</v>
          </cell>
          <cell r="D210">
            <v>15</v>
          </cell>
          <cell r="E210" t="str">
            <v>W-UNPL-CG87NXX-T3L0-02-7S00</v>
          </cell>
          <cell r="F210">
            <v>18</v>
          </cell>
        </row>
        <row r="211">
          <cell r="B211" t="str">
            <v>ACUP-65D26LX-B2C3</v>
          </cell>
          <cell r="C211" t="str">
            <v>W-UNPL-CG82PXX-L870-02-7S00</v>
          </cell>
          <cell r="D211">
            <v>18</v>
          </cell>
          <cell r="E211" t="str">
            <v>W-UNPL-CG87NXX-T3L0-02-7S00</v>
          </cell>
          <cell r="F211">
            <v>18</v>
          </cell>
        </row>
        <row r="212">
          <cell r="B212" t="str">
            <v>ACUP-65D26LX-B3C3</v>
          </cell>
          <cell r="C212" t="str">
            <v>W-UNPL-CG82PXX-L870-02-7S00</v>
          </cell>
          <cell r="D212">
            <v>18</v>
          </cell>
          <cell r="E212" t="str">
            <v>W-UNPL-CG87NXX-T3L0-02-7S00</v>
          </cell>
          <cell r="F212">
            <v>21</v>
          </cell>
        </row>
        <row r="213">
          <cell r="B213" t="str">
            <v>ACUP-65D26RX-A9C5</v>
          </cell>
          <cell r="C213" t="str">
            <v>W-UNPL-CG80PXX-L870-02-7S00</v>
          </cell>
          <cell r="D213">
            <v>12</v>
          </cell>
          <cell r="E213" t="str">
            <v>W-UNPL-CG87NXX-T3L0-02-7S00</v>
          </cell>
          <cell r="F213">
            <v>15</v>
          </cell>
        </row>
        <row r="214">
          <cell r="B214" t="str">
            <v>ACUP-65D26RX-B1C4</v>
          </cell>
          <cell r="C214" t="str">
            <v>W-UNPL-CG82PXX-L870-02-7S00</v>
          </cell>
          <cell r="D214">
            <v>15</v>
          </cell>
          <cell r="E214" t="str">
            <v>W-UNPL-CG87NXX-T3L0-02-7S00</v>
          </cell>
          <cell r="F214">
            <v>18</v>
          </cell>
        </row>
        <row r="215">
          <cell r="B215" t="str">
            <v>ACUP-65D26RX-B2C3</v>
          </cell>
          <cell r="C215" t="str">
            <v>W-UNPL-CG82PXX-L870-02-7S00</v>
          </cell>
          <cell r="D215">
            <v>18</v>
          </cell>
          <cell r="E215" t="str">
            <v>W-UNPL-CG87NXX-T3L0-02-7S00</v>
          </cell>
          <cell r="F215">
            <v>18</v>
          </cell>
        </row>
        <row r="216">
          <cell r="B216" t="str">
            <v>ACUP-65D26RX-B3C3</v>
          </cell>
          <cell r="C216" t="str">
            <v>W-UNPL-CG82PXX-L870-02-7S00</v>
          </cell>
          <cell r="D216">
            <v>18</v>
          </cell>
          <cell r="E216" t="str">
            <v>W-UNPL-CG87NXX-T3L0-02-7S00</v>
          </cell>
          <cell r="F216">
            <v>21</v>
          </cell>
        </row>
        <row r="217">
          <cell r="B217" t="str">
            <v>ACUP-65D31LX-B1C4</v>
          </cell>
          <cell r="C217" t="str">
            <v>W-UNPL-CG82PXX-L870-02-7S00</v>
          </cell>
          <cell r="D217">
            <v>15</v>
          </cell>
          <cell r="E217" t="str">
            <v>W-UNPL-CG87NXX-T3L0-02-7S00</v>
          </cell>
          <cell r="F217">
            <v>18</v>
          </cell>
        </row>
        <row r="218">
          <cell r="B218" t="str">
            <v>ACUP-65D31LX-B3C3</v>
          </cell>
          <cell r="C218" t="str">
            <v>W-UNPL-CG82PXX-L870-02-7S00</v>
          </cell>
          <cell r="D218">
            <v>18</v>
          </cell>
          <cell r="E218" t="str">
            <v>W-UNPL-CG87NXX-T3L0-02-7S00</v>
          </cell>
          <cell r="F218">
            <v>21</v>
          </cell>
        </row>
        <row r="219">
          <cell r="B219" t="str">
            <v>ACUP-65D31RX-B1C4</v>
          </cell>
          <cell r="C219" t="str">
            <v>W-UNPL-CG82PXX-L870-02-7S00</v>
          </cell>
          <cell r="D219">
            <v>15</v>
          </cell>
          <cell r="E219" t="str">
            <v>W-UNPL-CG87NXX-T3L0-02-7S00</v>
          </cell>
          <cell r="F219">
            <v>18</v>
          </cell>
        </row>
        <row r="220">
          <cell r="B220" t="str">
            <v>ACUP-65D31RX-B3C3</v>
          </cell>
          <cell r="C220" t="str">
            <v>W-UNPL-CG82PXX-L870-02-7S00</v>
          </cell>
          <cell r="D220">
            <v>18</v>
          </cell>
          <cell r="E220" t="str">
            <v>W-UNPL-CG87NXX-T3L0-02-7S00</v>
          </cell>
          <cell r="F220">
            <v>21</v>
          </cell>
        </row>
        <row r="221">
          <cell r="B221" t="str">
            <v>ACUP-67018LX-D5C3</v>
          </cell>
          <cell r="C221" t="str">
            <v>W-UNPL-CG80PXX-L870-02-7S00</v>
          </cell>
          <cell r="D221">
            <v>54</v>
          </cell>
          <cell r="E221" t="str">
            <v>W-UNPL-CG85NXX-T3L0-02-7S00</v>
          </cell>
          <cell r="F221">
            <v>51</v>
          </cell>
        </row>
        <row r="222">
          <cell r="B222" t="str">
            <v>ACUP-70027LX-E1C3</v>
          </cell>
          <cell r="C222" t="str">
            <v>W-UNPL-CG80PXX-L870-02-7S00</v>
          </cell>
          <cell r="D222">
            <v>63</v>
          </cell>
          <cell r="E222" t="str">
            <v>W-UNPL-CG85NXX-T3L0-02-7S00</v>
          </cell>
          <cell r="F222">
            <v>60</v>
          </cell>
        </row>
        <row r="223">
          <cell r="B223" t="str">
            <v>ACUP-75D31LX-B3C4</v>
          </cell>
          <cell r="C223" t="str">
            <v>W-UNPL-CG82PXX-L870-02-7S00</v>
          </cell>
          <cell r="D223">
            <v>18</v>
          </cell>
          <cell r="E223" t="str">
            <v>W-UNPL-CG87NXX-T3L0-02-7S00</v>
          </cell>
          <cell r="F223">
            <v>21</v>
          </cell>
        </row>
        <row r="224">
          <cell r="B224" t="str">
            <v>ACUP-75D31LX-B4C3</v>
          </cell>
          <cell r="C224" t="str">
            <v>W-UNPL-CG82PXX-L870-02-7S00</v>
          </cell>
          <cell r="D224">
            <v>21</v>
          </cell>
          <cell r="E224" t="str">
            <v>W-UNPL-CG87NXX-T3L0-02-7S00</v>
          </cell>
          <cell r="F224">
            <v>21</v>
          </cell>
        </row>
        <row r="225">
          <cell r="B225" t="str">
            <v>ACUP-75D31LX-B5C3</v>
          </cell>
          <cell r="C225" t="str">
            <v>W-UNPL-CG82PXX-L870-02-7S00</v>
          </cell>
          <cell r="D225">
            <v>21</v>
          </cell>
          <cell r="E225" t="str">
            <v>W-UNPL-CG87NXX-T3L0-02-7S00</v>
          </cell>
          <cell r="F225">
            <v>24</v>
          </cell>
        </row>
        <row r="226">
          <cell r="B226" t="str">
            <v>ACUP-75D31RX-B3C4</v>
          </cell>
          <cell r="C226" t="str">
            <v>W-UNPL-CG82PXX-L870-02-7S00</v>
          </cell>
          <cell r="D226">
            <v>18</v>
          </cell>
          <cell r="E226" t="str">
            <v>W-UNPL-CG87NXX-T3L0-02-7S00</v>
          </cell>
          <cell r="F226">
            <v>21</v>
          </cell>
        </row>
        <row r="227">
          <cell r="B227" t="str">
            <v>ACUP-75D31RX-B4C3</v>
          </cell>
          <cell r="C227" t="str">
            <v>W-UNPL-CG82PXX-L870-02-7S00</v>
          </cell>
          <cell r="D227">
            <v>21</v>
          </cell>
          <cell r="E227" t="str">
            <v>W-UNPL-CG87NXX-T3L0-02-7S00</v>
          </cell>
          <cell r="F227">
            <v>21</v>
          </cell>
        </row>
        <row r="228">
          <cell r="B228" t="str">
            <v>ACUP-75D31RX-B5C3</v>
          </cell>
          <cell r="C228" t="str">
            <v>W-UNPL-CG82PXX-L870-02-7S00</v>
          </cell>
          <cell r="D228">
            <v>21</v>
          </cell>
          <cell r="E228" t="str">
            <v>W-UNPL-CG87NXX-T3L0-02-7S00</v>
          </cell>
          <cell r="F228">
            <v>24</v>
          </cell>
        </row>
        <row r="229">
          <cell r="B229" t="str">
            <v>ACUP-80D26LX-B4C3</v>
          </cell>
          <cell r="C229" t="str">
            <v>W-UNPL-CG82PXX-L870-02-7S00</v>
          </cell>
          <cell r="D229">
            <v>21</v>
          </cell>
          <cell r="E229" t="str">
            <v>W-UNPL-CG87NXX-T3L0-02-7S00</v>
          </cell>
          <cell r="F229">
            <v>21</v>
          </cell>
        </row>
        <row r="230">
          <cell r="B230" t="str">
            <v>ACUP-80D26RX-B4C3</v>
          </cell>
          <cell r="C230" t="str">
            <v>W-UNPL-CG82PXX-L870-02-7S00</v>
          </cell>
          <cell r="D230">
            <v>21</v>
          </cell>
          <cell r="E230" t="str">
            <v>W-UNPL-CG87NXX-T3L0-02-7S00</v>
          </cell>
          <cell r="F230">
            <v>21</v>
          </cell>
        </row>
        <row r="231">
          <cell r="B231" t="str">
            <v>ACUP-95D31LX-B3C5</v>
          </cell>
          <cell r="C231" t="str">
            <v>W-UNPL-CG82PXX-L870-02-7S00</v>
          </cell>
          <cell r="D231">
            <v>18</v>
          </cell>
          <cell r="E231" t="str">
            <v>W-UNPL-CG87NXX-T3L0-02-7S00</v>
          </cell>
          <cell r="F231">
            <v>21</v>
          </cell>
        </row>
        <row r="232">
          <cell r="B232" t="str">
            <v>ACUP-95D31LX-B5C4</v>
          </cell>
          <cell r="C232" t="str">
            <v>W-UNPL-CG85PXX-L870-02-7S00</v>
          </cell>
          <cell r="D232">
            <v>24</v>
          </cell>
          <cell r="E232" t="str">
            <v>W-UNPL-CG85NXX-T3L0-02-7S00</v>
          </cell>
          <cell r="F232">
            <v>21</v>
          </cell>
        </row>
        <row r="233">
          <cell r="B233" t="str">
            <v>ACUP-95D31LX-B7C3</v>
          </cell>
          <cell r="C233" t="str">
            <v>W-UNPL-CG85PXX-L870-02-7S00</v>
          </cell>
          <cell r="D233">
            <v>27</v>
          </cell>
          <cell r="E233" t="str">
            <v>W-UNPL-CG85NXX-T3L0-02-7S00</v>
          </cell>
          <cell r="F233">
            <v>24</v>
          </cell>
        </row>
        <row r="234">
          <cell r="B234" t="str">
            <v>ACUP-95D31RX-B3C5</v>
          </cell>
          <cell r="C234" t="str">
            <v>W-UNPL-CG82PXX-L870-02-7S00</v>
          </cell>
          <cell r="D234">
            <v>18</v>
          </cell>
          <cell r="E234" t="str">
            <v>W-UNPL-CG87NXX-T3L0-02-7S00</v>
          </cell>
          <cell r="F234">
            <v>21</v>
          </cell>
        </row>
        <row r="235">
          <cell r="B235" t="str">
            <v>ACUP-95D31RX-B5C4</v>
          </cell>
          <cell r="C235" t="str">
            <v>W-UNPL-CG85PXX-L870-02-7S00</v>
          </cell>
          <cell r="D235">
            <v>24</v>
          </cell>
          <cell r="E235" t="str">
            <v>W-UNPL-CG85NXX-T3L0-02-7S00</v>
          </cell>
          <cell r="F235">
            <v>21</v>
          </cell>
        </row>
        <row r="236">
          <cell r="B236" t="str">
            <v>ACUP-95D31RX-B7C3</v>
          </cell>
          <cell r="C236" t="str">
            <v>W-UNPL-CG85PXX-L870-02-7S00</v>
          </cell>
          <cell r="D236">
            <v>27</v>
          </cell>
          <cell r="E236" t="str">
            <v>W-UNPL-CG85NXX-T3L0-02-7S00</v>
          </cell>
          <cell r="F236">
            <v>24</v>
          </cell>
        </row>
        <row r="237">
          <cell r="B237" t="str">
            <v>ACUP-95E41LX-B5C4</v>
          </cell>
          <cell r="C237" t="str">
            <v>W-UNPL-CG80PXX-L870-02-7S00</v>
          </cell>
          <cell r="D237">
            <v>21</v>
          </cell>
          <cell r="E237" t="str">
            <v>W-UNPL-CG87NXX-T3L0-02-7S00</v>
          </cell>
          <cell r="F237">
            <v>24</v>
          </cell>
        </row>
        <row r="238">
          <cell r="B238" t="str">
            <v>ACUP-95E41LX-B7C3</v>
          </cell>
          <cell r="C238" t="str">
            <v>W-UNPL-CG80PXX-L870-02-7S00</v>
          </cell>
          <cell r="D238">
            <v>24</v>
          </cell>
          <cell r="E238" t="str">
            <v>W-UNPL-CG87NXX-T3L0-02-7S00</v>
          </cell>
          <cell r="F238">
            <v>27</v>
          </cell>
        </row>
        <row r="239">
          <cell r="B239" t="str">
            <v>ACUP-95E41RX-B5C4</v>
          </cell>
          <cell r="C239" t="str">
            <v>W-UNPL-CG80PXX-L870-02-7S00</v>
          </cell>
          <cell r="D239">
            <v>21</v>
          </cell>
          <cell r="E239" t="str">
            <v>W-UNPL-CG87NXX-T3L0-02-7S00</v>
          </cell>
          <cell r="F239">
            <v>24</v>
          </cell>
        </row>
        <row r="240">
          <cell r="B240" t="str">
            <v>ACUP-95E41RX-B7C3</v>
          </cell>
          <cell r="C240" t="str">
            <v>W-UNPL-CG80PXX-L870-02-7S00</v>
          </cell>
          <cell r="D240">
            <v>24</v>
          </cell>
          <cell r="E240" t="str">
            <v>W-UNPL-CG87NXX-T3L0-02-7S00</v>
          </cell>
          <cell r="F240">
            <v>27</v>
          </cell>
        </row>
        <row r="241">
          <cell r="B241" t="str">
            <v>ACWP-115F51X-B9C4</v>
          </cell>
          <cell r="C241" t="str">
            <v>W-UNPL-CG82PXX-L870-02-7S00</v>
          </cell>
          <cell r="D241">
            <v>27</v>
          </cell>
          <cell r="E241" t="str">
            <v>W-UNPL-CG87NXX-T3L0-02-7S00</v>
          </cell>
          <cell r="F241">
            <v>30</v>
          </cell>
        </row>
        <row r="242">
          <cell r="B242" t="str">
            <v>ACWP-145G51X-C3C5</v>
          </cell>
          <cell r="C242" t="str">
            <v>W-UNPL-CG82PXX-L870-02-7S00</v>
          </cell>
          <cell r="D242">
            <v>33</v>
          </cell>
          <cell r="E242" t="str">
            <v>W-UNPL-CG87NXX-T3L0-02-7S00</v>
          </cell>
          <cell r="F242">
            <v>36</v>
          </cell>
        </row>
        <row r="243">
          <cell r="B243" t="str">
            <v>ACWP-190H52X-D1C6</v>
          </cell>
          <cell r="C243" t="str">
            <v>W-UNPL-CG82PXX-L870-02-7S00</v>
          </cell>
          <cell r="D243">
            <v>45</v>
          </cell>
          <cell r="E243" t="str">
            <v>W-UNPL-CG87NXX-T3L0-02-7S00</v>
          </cell>
          <cell r="F243">
            <v>48</v>
          </cell>
        </row>
        <row r="244">
          <cell r="B244" t="str">
            <v>ACWP-36B20LX-A7C5</v>
          </cell>
          <cell r="C244" t="str">
            <v>W-UNPL-CM84APX-L870-02-7S00</v>
          </cell>
          <cell r="D244">
            <v>9</v>
          </cell>
          <cell r="E244" t="str">
            <v>W-UNPL-CM8786N-T3L0-02-7S00</v>
          </cell>
          <cell r="F244">
            <v>12</v>
          </cell>
        </row>
        <row r="245">
          <cell r="B245" t="str">
            <v>ACWP-36B20LX-A9C4</v>
          </cell>
          <cell r="C245" t="str">
            <v>W-UNPL-CM84APX-L870-02-7S00</v>
          </cell>
          <cell r="D245">
            <v>12</v>
          </cell>
          <cell r="E245" t="str">
            <v>W-UNPL-CM8786N-T3L0-02-7S00</v>
          </cell>
          <cell r="F245">
            <v>15</v>
          </cell>
        </row>
        <row r="246">
          <cell r="B246" t="str">
            <v>ACWP-46B24LX-A9C5</v>
          </cell>
          <cell r="C246" t="str">
            <v>W-UNPL-CM84APX-L870-02-7S00</v>
          </cell>
          <cell r="D246">
            <v>12</v>
          </cell>
          <cell r="E246" t="str">
            <v>W-UNPL-CM8786N-T3L0-02-7S00</v>
          </cell>
          <cell r="F246">
            <v>15</v>
          </cell>
        </row>
        <row r="247">
          <cell r="B247" t="str">
            <v>ACWP-46B24LX-B1C4</v>
          </cell>
          <cell r="C247" t="str">
            <v>W-UNPL-CM84APX-L870-02-7S00</v>
          </cell>
          <cell r="D247">
            <v>15</v>
          </cell>
          <cell r="E247" t="str">
            <v>W-UNPL-CM8786N-T3L0-02-7S00</v>
          </cell>
          <cell r="F247">
            <v>18</v>
          </cell>
        </row>
        <row r="248">
          <cell r="B248" t="str">
            <v>ACWP-46B24RS-B1C4</v>
          </cell>
          <cell r="C248" t="str">
            <v>W-UNPL-CM84APX-L870-02-7S00</v>
          </cell>
          <cell r="D248">
            <v>15</v>
          </cell>
          <cell r="E248" t="str">
            <v>W-UNPL-CM8786N-T3L0-02-7S00</v>
          </cell>
          <cell r="F248">
            <v>18</v>
          </cell>
        </row>
        <row r="249">
          <cell r="B249" t="str">
            <v>ACWP-46B24RX-A9C5</v>
          </cell>
          <cell r="C249" t="str">
            <v>W-UNPL-CM84APX-L870-02-7S00</v>
          </cell>
          <cell r="D249">
            <v>12</v>
          </cell>
          <cell r="E249" t="str">
            <v>W-UNPL-CM8786N-T3L0-02-7S00</v>
          </cell>
          <cell r="F249">
            <v>15</v>
          </cell>
        </row>
        <row r="250">
          <cell r="B250" t="str">
            <v>ACWP-46B24RX-B1C4</v>
          </cell>
          <cell r="C250" t="str">
            <v>W-UNPL-CM84APX-L870-02-7S00</v>
          </cell>
          <cell r="D250">
            <v>15</v>
          </cell>
          <cell r="E250" t="str">
            <v>W-UNPL-CM8786N-T3L0-02-7S00</v>
          </cell>
          <cell r="F250">
            <v>18</v>
          </cell>
        </row>
        <row r="251">
          <cell r="B251" t="str">
            <v>ACWP-65D26LX-B1C4</v>
          </cell>
          <cell r="C251" t="str">
            <v>W-UNPL-CG82PXX-L870-02-7S00</v>
          </cell>
          <cell r="D251">
            <v>15</v>
          </cell>
          <cell r="E251" t="str">
            <v>W-UNPL-CG87NXX-T3L0-02-7S00</v>
          </cell>
          <cell r="F251">
            <v>18</v>
          </cell>
        </row>
        <row r="252">
          <cell r="B252" t="str">
            <v>ACWP-65D26RX-B1C4</v>
          </cell>
          <cell r="C252" t="str">
            <v>W-UNPL-CG82PXX-L870-02-7S00</v>
          </cell>
          <cell r="D252">
            <v>15</v>
          </cell>
          <cell r="E252" t="str">
            <v>W-UNPL-CG87NXX-T3L0-02-7S00</v>
          </cell>
          <cell r="F252">
            <v>18</v>
          </cell>
        </row>
        <row r="253">
          <cell r="B253" t="str">
            <v>ACWP-95D31LX-B5C4</v>
          </cell>
          <cell r="C253" t="str">
            <v>W-UNPL-CG85PXX-L870-02-7S00</v>
          </cell>
          <cell r="D253">
            <v>24</v>
          </cell>
          <cell r="E253" t="str">
            <v>W-UNPL-CG85NXX-T3L0-02-7S00</v>
          </cell>
          <cell r="F253">
            <v>21</v>
          </cell>
        </row>
        <row r="254">
          <cell r="B254" t="str">
            <v>ACWP-95D31RX-B5C4</v>
          </cell>
          <cell r="C254" t="str">
            <v>W-UNPL-CG85PXX-L870-02-7S00</v>
          </cell>
          <cell r="D254">
            <v>24</v>
          </cell>
          <cell r="E254" t="str">
            <v>W-UNPL-CG85NXX-T3L0-02-7S00</v>
          </cell>
          <cell r="F254">
            <v>21</v>
          </cell>
        </row>
        <row r="255">
          <cell r="B255" t="str">
            <v>ACWP-95E41LX-B5C4</v>
          </cell>
          <cell r="C255" t="str">
            <v>W-UNPL-CG80PXX-L870-02-7S00</v>
          </cell>
          <cell r="D255">
            <v>21</v>
          </cell>
          <cell r="E255" t="str">
            <v>W-UNPL-CG87NXX-T3L0-02-7S00</v>
          </cell>
          <cell r="F255">
            <v>24</v>
          </cell>
        </row>
        <row r="256">
          <cell r="B256" t="str">
            <v>ACWP-95E41RX-B5C4</v>
          </cell>
          <cell r="C256" t="str">
            <v>W-UNPL-CG80PXX-L870-02-7S00</v>
          </cell>
          <cell r="D256">
            <v>21</v>
          </cell>
          <cell r="E256" t="str">
            <v>W-UNPL-CG87NXX-T3L0-02-7S00</v>
          </cell>
          <cell r="F256">
            <v>24</v>
          </cell>
        </row>
        <row r="257">
          <cell r="B257" t="str">
            <v>ACWR-6D115XX-B7C3</v>
          </cell>
          <cell r="C257" t="str">
            <v>W-FOPL-DF72PXX-L34A-01-7S00</v>
          </cell>
          <cell r="D257">
            <v>24</v>
          </cell>
          <cell r="E257" t="str">
            <v>W-FOPL-DF78NXX-T3S0-01-7S0A</v>
          </cell>
          <cell r="F257">
            <v>27</v>
          </cell>
        </row>
        <row r="258">
          <cell r="B258" t="str">
            <v>ACWR-6D135XX-B9C3</v>
          </cell>
          <cell r="C258" t="str">
            <v>W-UNPL-DF72PXX-L34A-01-7S00</v>
          </cell>
          <cell r="D258">
            <v>27</v>
          </cell>
          <cell r="E258" t="str">
            <v>W-UNPL-DF78NXX-T3S0-01-7S0A</v>
          </cell>
          <cell r="F258">
            <v>30</v>
          </cell>
        </row>
        <row r="259">
          <cell r="B259" t="str">
            <v>ACWR-8D90XXX-B4C3</v>
          </cell>
          <cell r="C259" t="str">
            <v>W-UNPL-DF72PXX-L34A-01-7S00</v>
          </cell>
          <cell r="D259">
            <v>28</v>
          </cell>
          <cell r="E259" t="str">
            <v>W-UNPL-DF78NXX-T3S0-01-7S0A</v>
          </cell>
          <cell r="F259">
            <v>28</v>
          </cell>
        </row>
        <row r="260">
          <cell r="B260" t="str">
            <v>AHWP-32B20LS-A8A3</v>
          </cell>
          <cell r="C260" t="str">
            <v>W-UNPL-CM84APX-L870-02-7S00</v>
          </cell>
          <cell r="D260">
            <v>12</v>
          </cell>
          <cell r="E260" t="str">
            <v>W-UNPL-WM85NXX-T3AF-00-7S00</v>
          </cell>
          <cell r="F260">
            <v>12</v>
          </cell>
        </row>
        <row r="261">
          <cell r="B261" t="str">
            <v>AHWP-32B20LX-A8A3</v>
          </cell>
          <cell r="C261" t="str">
            <v>W-UNPL-CM84APX-L870-02-7S00</v>
          </cell>
          <cell r="D261">
            <v>12</v>
          </cell>
          <cell r="E261" t="str">
            <v>W-UNPL-WM85NXX-T3AF-00-7S00</v>
          </cell>
          <cell r="F261">
            <v>12</v>
          </cell>
        </row>
        <row r="262">
          <cell r="B262" t="str">
            <v>AHWP-32B20LX-A8C3</v>
          </cell>
          <cell r="C262" t="str">
            <v>W-UNPL-CM84APX-L870-02-7S00</v>
          </cell>
          <cell r="D262">
            <v>12</v>
          </cell>
          <cell r="E262" t="str">
            <v>W-UNPL-YM84NXX-T3A0-02-7S00</v>
          </cell>
          <cell r="F262">
            <v>12</v>
          </cell>
        </row>
        <row r="263">
          <cell r="B263" t="str">
            <v>AHWP-32B20RS-A8A3</v>
          </cell>
          <cell r="C263" t="str">
            <v>W-UNPL-CM84APX-L870-02-7S00</v>
          </cell>
          <cell r="D263">
            <v>12</v>
          </cell>
          <cell r="E263" t="str">
            <v>W-UNPL-WM85NXX-T3AF-00-7S00</v>
          </cell>
          <cell r="F263">
            <v>12</v>
          </cell>
        </row>
        <row r="264">
          <cell r="B264" t="str">
            <v>AHWP-32B20RX-A8A3</v>
          </cell>
          <cell r="C264" t="str">
            <v>W-UNPL-CM84APX-L870-02-7S00</v>
          </cell>
          <cell r="D264">
            <v>12</v>
          </cell>
          <cell r="E264" t="str">
            <v>W-UNPL-WM85NXX-T3AF-00-7S00</v>
          </cell>
          <cell r="F264">
            <v>12</v>
          </cell>
        </row>
        <row r="265">
          <cell r="B265" t="str">
            <v>AHWP-32B20RX-A8C3</v>
          </cell>
          <cell r="C265" t="str">
            <v>W-UNPL-CM84APX-L870-02-7S00</v>
          </cell>
          <cell r="D265">
            <v>12</v>
          </cell>
          <cell r="E265" t="str">
            <v>W-UNPL-YM84NXX-T3A0-02-7S00</v>
          </cell>
          <cell r="F265">
            <v>12</v>
          </cell>
        </row>
        <row r="266">
          <cell r="B266" t="str">
            <v>AHWP-34B20LX-B0A3</v>
          </cell>
          <cell r="C266" t="str">
            <v>W-UNPL-CM84APX-L870-02-7S00</v>
          </cell>
          <cell r="D266">
            <v>15</v>
          </cell>
          <cell r="E266" t="str">
            <v>W-UNPL-WM85NXX-T3AF-00-7S00</v>
          </cell>
          <cell r="F266">
            <v>15</v>
          </cell>
        </row>
        <row r="267">
          <cell r="B267" t="str">
            <v>AHWP-34B20LX-B0C3</v>
          </cell>
          <cell r="C267" t="str">
            <v>W-UNPL-CM84APX-L870-02-7S00</v>
          </cell>
          <cell r="D267">
            <v>15</v>
          </cell>
          <cell r="E267" t="str">
            <v>W-UNPL-YM84NXX-T3A0-02-7S00</v>
          </cell>
          <cell r="F267">
            <v>15</v>
          </cell>
        </row>
        <row r="268">
          <cell r="B268" t="str">
            <v>AHWP-34B20RX-B0A3</v>
          </cell>
          <cell r="C268" t="str">
            <v>W-UNPL-CM84APX-L870-02-7S00</v>
          </cell>
          <cell r="D268">
            <v>15</v>
          </cell>
          <cell r="E268" t="str">
            <v>W-UNPL-WM85NXX-T3AF-00-7S00</v>
          </cell>
          <cell r="F268">
            <v>15</v>
          </cell>
        </row>
        <row r="269">
          <cell r="B269" t="str">
            <v>AHWP-36B20LS-B0A3</v>
          </cell>
          <cell r="C269" t="str">
            <v>W-UNPL-CM84APX-L870-02-7S00</v>
          </cell>
          <cell r="D269">
            <v>15</v>
          </cell>
          <cell r="E269" t="str">
            <v>W-UNPL-WM85NXX-T3AF-00-7S00</v>
          </cell>
          <cell r="F269">
            <v>15</v>
          </cell>
        </row>
        <row r="270">
          <cell r="B270" t="str">
            <v>AHWP-36B20LX-B0A3</v>
          </cell>
          <cell r="C270" t="str">
            <v>W-UNPL-CM84APX-L870-02-7S00</v>
          </cell>
          <cell r="D270">
            <v>15</v>
          </cell>
          <cell r="E270" t="str">
            <v>W-UNPL-WM85NXX-T3AF-00-7S00</v>
          </cell>
          <cell r="F270">
            <v>15</v>
          </cell>
        </row>
        <row r="271">
          <cell r="B271" t="str">
            <v>AHWP-36B20LX-B0C3</v>
          </cell>
          <cell r="C271" t="str">
            <v>W-UNPL-CM84APX-L870-02-7S00</v>
          </cell>
          <cell r="D271">
            <v>15</v>
          </cell>
          <cell r="E271" t="str">
            <v>W-UNPL-YM84NXX-T3A0-02-7S00</v>
          </cell>
          <cell r="F271">
            <v>15</v>
          </cell>
        </row>
        <row r="272">
          <cell r="B272" t="str">
            <v>AHWP-36B20LX-B1C3</v>
          </cell>
          <cell r="C272" t="str">
            <v>W-UNPL-CM84APX-L870-02-7S00</v>
          </cell>
          <cell r="D272">
            <v>15</v>
          </cell>
          <cell r="E272" t="str">
            <v>W-UNPL-YM84NXX-T3A0-02-7S00</v>
          </cell>
          <cell r="F272">
            <v>18</v>
          </cell>
        </row>
        <row r="273">
          <cell r="B273" t="str">
            <v>AHWP-36B20RX-B0A3</v>
          </cell>
          <cell r="C273" t="str">
            <v>W-UNPL-CM84APX-L870-02-7S00</v>
          </cell>
          <cell r="D273">
            <v>15</v>
          </cell>
          <cell r="E273" t="str">
            <v>W-UNPL-WM85NXX-T3AF-00-7S00</v>
          </cell>
          <cell r="F273">
            <v>15</v>
          </cell>
        </row>
        <row r="274">
          <cell r="B274" t="str">
            <v>AHWP-36B20RX-B0C3</v>
          </cell>
          <cell r="C274" t="str">
            <v>W-UNPL-CM84APX-L870-02-7S00</v>
          </cell>
          <cell r="D274">
            <v>15</v>
          </cell>
          <cell r="E274" t="str">
            <v>W-UNPL-YM84NXX-T3A0-02-7S00</v>
          </cell>
          <cell r="F274">
            <v>15</v>
          </cell>
        </row>
        <row r="275">
          <cell r="B275" t="str">
            <v>AHWP-36B20RX-B1C3</v>
          </cell>
          <cell r="C275" t="str">
            <v>W-UNPL-CM84APX-L870-02-7S00</v>
          </cell>
          <cell r="D275">
            <v>15</v>
          </cell>
          <cell r="E275" t="str">
            <v>W-UNPL-YM84NXX-T3A0-02-7S00</v>
          </cell>
          <cell r="F275">
            <v>18</v>
          </cell>
        </row>
        <row r="276">
          <cell r="B276" t="str">
            <v>AHWP-46B24LS-B1A3</v>
          </cell>
          <cell r="C276" t="str">
            <v>W-UNPL-CM84APX-L870-02-7S00</v>
          </cell>
          <cell r="D276">
            <v>18</v>
          </cell>
          <cell r="E276" t="str">
            <v>W-UNPL-WM85NXX-T3AF-00-7S00</v>
          </cell>
          <cell r="F276">
            <v>15</v>
          </cell>
        </row>
        <row r="277">
          <cell r="B277" t="str">
            <v>AHWP-46B24LX-B1A3</v>
          </cell>
          <cell r="C277" t="str">
            <v>W-UNPL-CM84APX-L870-02-7S00</v>
          </cell>
          <cell r="D277">
            <v>18</v>
          </cell>
          <cell r="E277" t="str">
            <v>W-UNPL-WM85NXX-T3AF-00-7S00</v>
          </cell>
          <cell r="F277">
            <v>15</v>
          </cell>
        </row>
        <row r="278">
          <cell r="B278" t="str">
            <v>AHWP-46B24LX-B2C3</v>
          </cell>
          <cell r="C278" t="str">
            <v>W-UNPL-CM84APX-L870-02-7S00</v>
          </cell>
          <cell r="D278">
            <v>18</v>
          </cell>
          <cell r="E278" t="str">
            <v>W-UNPL-YM84NXX-T3A0-02-7S00</v>
          </cell>
          <cell r="F278">
            <v>18</v>
          </cell>
        </row>
        <row r="279">
          <cell r="B279" t="str">
            <v>AHWP-46B24RS-B1A3</v>
          </cell>
          <cell r="C279" t="str">
            <v>W-UNPL-CM84APX-L870-02-7S00</v>
          </cell>
          <cell r="D279">
            <v>18</v>
          </cell>
          <cell r="E279" t="str">
            <v>W-UNPL-WM85NXX-T3AF-00-7S00</v>
          </cell>
          <cell r="F279">
            <v>15</v>
          </cell>
        </row>
        <row r="280">
          <cell r="B280" t="str">
            <v>AHWP-46B24RX-B1A3</v>
          </cell>
          <cell r="C280" t="str">
            <v>W-UNPL-CM84APX-L870-02-7S00</v>
          </cell>
          <cell r="D280">
            <v>18</v>
          </cell>
          <cell r="E280" t="str">
            <v>W-UNPL-WM85NXX-T3AF-00-7S00</v>
          </cell>
          <cell r="F280">
            <v>15</v>
          </cell>
        </row>
        <row r="281">
          <cell r="B281" t="str">
            <v>AHWP-46B24RX-B2C3</v>
          </cell>
          <cell r="C281" t="str">
            <v>W-UNPL-CM84APX-L870-02-7S00</v>
          </cell>
          <cell r="D281">
            <v>18</v>
          </cell>
          <cell r="E281" t="str">
            <v>W-UNPL-YM84NXX-T3A0-02-7S00</v>
          </cell>
          <cell r="F281">
            <v>18</v>
          </cell>
        </row>
        <row r="282">
          <cell r="B282" t="str">
            <v>AHWP-48D26LX-A8A3</v>
          </cell>
          <cell r="C282" t="str">
            <v>W-UNPL-CG85EPX-L870-02-7C00</v>
          </cell>
          <cell r="D282">
            <v>12</v>
          </cell>
          <cell r="E282" t="str">
            <v>W-UNPL-WG87NXX-T3AF-00-7C00</v>
          </cell>
          <cell r="F282">
            <v>12</v>
          </cell>
        </row>
        <row r="283">
          <cell r="B283" t="str">
            <v>AHWP-48D26RX-A8A3</v>
          </cell>
          <cell r="C283" t="str">
            <v>W-UNPL-CG85EPX-L870-02-7C00</v>
          </cell>
          <cell r="D283">
            <v>12</v>
          </cell>
          <cell r="E283" t="str">
            <v>W-UNPL-WG87NXX-T3AF-00-7C00</v>
          </cell>
          <cell r="F283">
            <v>12</v>
          </cell>
        </row>
        <row r="284">
          <cell r="B284" t="str">
            <v>AHWP-55D23LX-B0A3</v>
          </cell>
          <cell r="C284" t="str">
            <v>W-UNPL-CG85EPX-L870-02-7C00</v>
          </cell>
          <cell r="D284">
            <v>15</v>
          </cell>
          <cell r="E284" t="str">
            <v>W-UNPL-WG87NXX-T3AF-00-7C00</v>
          </cell>
          <cell r="F284">
            <v>15</v>
          </cell>
        </row>
        <row r="285">
          <cell r="B285" t="str">
            <v>AHWP-55D23RX-B0A3</v>
          </cell>
          <cell r="C285" t="str">
            <v>W-UNPL-CG85EPX-L870-02-7C00</v>
          </cell>
          <cell r="D285">
            <v>15</v>
          </cell>
          <cell r="E285" t="str">
            <v>W-UNPL-WG87NXX-T3AF-00-7C00</v>
          </cell>
          <cell r="F285">
            <v>15</v>
          </cell>
        </row>
        <row r="286">
          <cell r="B286" t="str">
            <v>AHWP-55D26LX-B0A3</v>
          </cell>
          <cell r="C286" t="str">
            <v>W-UNPL-CG85EPX-L870-02-7C00</v>
          </cell>
          <cell r="D286">
            <v>15</v>
          </cell>
          <cell r="E286" t="str">
            <v>W-UNPL-WG87NXX-T3AF-00-7C00</v>
          </cell>
          <cell r="F286">
            <v>15</v>
          </cell>
        </row>
        <row r="287">
          <cell r="B287" t="str">
            <v>AHWP-55D26RX-B0A3</v>
          </cell>
          <cell r="C287" t="str">
            <v>W-UNPL-CG85EPX-L870-02-7C00</v>
          </cell>
          <cell r="D287">
            <v>15</v>
          </cell>
          <cell r="E287" t="str">
            <v>W-UNPL-WG87NXX-T3AF-00-7C00</v>
          </cell>
          <cell r="F287">
            <v>15</v>
          </cell>
        </row>
        <row r="288">
          <cell r="B288" t="str">
            <v>AHWP-65D26LX-B2A3</v>
          </cell>
          <cell r="C288" t="str">
            <v>W-UNPL-CG85EPX-L870-02-7C00</v>
          </cell>
          <cell r="D288">
            <v>18</v>
          </cell>
          <cell r="E288" t="str">
            <v>W-UNPL-WG87NXX-T3AF-00-7C00</v>
          </cell>
          <cell r="F288">
            <v>18</v>
          </cell>
        </row>
        <row r="289">
          <cell r="B289" t="str">
            <v>AHWP-65D26RX-B2A3</v>
          </cell>
          <cell r="C289" t="str">
            <v>W-UNPL-CG85EPX-L870-02-7C00</v>
          </cell>
          <cell r="D289">
            <v>18</v>
          </cell>
          <cell r="E289" t="str">
            <v>W-UNPL-WG87NXX-T3AF-00-7C00</v>
          </cell>
          <cell r="F289">
            <v>18</v>
          </cell>
        </row>
        <row r="290">
          <cell r="B290" t="str">
            <v>AHWP-65D31LX-B2A3</v>
          </cell>
          <cell r="C290" t="str">
            <v>W-UNPL-CG85EPX-L870-02-7C00</v>
          </cell>
          <cell r="D290">
            <v>18</v>
          </cell>
          <cell r="E290" t="str">
            <v>W-UNPL-WG87NXX-T3AF-00-7C00</v>
          </cell>
          <cell r="F290">
            <v>18</v>
          </cell>
        </row>
        <row r="291">
          <cell r="B291" t="str">
            <v>AHWP-65D31RX-B2A3</v>
          </cell>
          <cell r="C291" t="str">
            <v>W-UNPL-CG85EPX-L870-02-7C00</v>
          </cell>
          <cell r="D291">
            <v>18</v>
          </cell>
          <cell r="E291" t="str">
            <v>W-UNPL-WG87NXX-T3AF-00-7C00</v>
          </cell>
          <cell r="F291">
            <v>18</v>
          </cell>
        </row>
        <row r="292">
          <cell r="B292" t="str">
            <v>AHWP-75D31LX-B4A3</v>
          </cell>
          <cell r="C292" t="str">
            <v>W-UNPL-CG85EPX-L870-02-7C00</v>
          </cell>
          <cell r="D292">
            <v>21</v>
          </cell>
          <cell r="E292" t="str">
            <v>W-UNPL-WG87NXX-T3AF-00-7C00</v>
          </cell>
          <cell r="F292">
            <v>21</v>
          </cell>
        </row>
        <row r="293">
          <cell r="B293" t="str">
            <v>AHWP-75D31RX-B4A3</v>
          </cell>
          <cell r="C293" t="str">
            <v>W-UNPL-CG85EPX-L870-02-7C00</v>
          </cell>
          <cell r="D293">
            <v>21</v>
          </cell>
          <cell r="E293" t="str">
            <v>W-UNPL-WG87NXX-T3AF-00-7C00</v>
          </cell>
          <cell r="F293">
            <v>21</v>
          </cell>
        </row>
        <row r="294">
          <cell r="B294" t="str">
            <v>AHWP-80D26LX-B3A3</v>
          </cell>
          <cell r="C294" t="str">
            <v>W-UNPL-CG85EPX-L870-02-7C00</v>
          </cell>
          <cell r="D294">
            <v>21</v>
          </cell>
          <cell r="E294" t="str">
            <v>W-UNPL-WG87NXX-T3AF-00-7C00</v>
          </cell>
          <cell r="F294">
            <v>18</v>
          </cell>
        </row>
        <row r="295">
          <cell r="B295" t="str">
            <v>AHWP-80D26RX-B3A3</v>
          </cell>
          <cell r="C295" t="str">
            <v>W-UNPL-CG85EPX-L870-02-7C00</v>
          </cell>
          <cell r="D295">
            <v>21</v>
          </cell>
          <cell r="E295" t="str">
            <v>W-UNPL-WG87NXX-T3AF-00-7C00</v>
          </cell>
          <cell r="F295">
            <v>18</v>
          </cell>
        </row>
        <row r="296">
          <cell r="B296" t="str">
            <v>AHWP-95D31LX-B6A3</v>
          </cell>
          <cell r="C296" t="str">
            <v>W-UNPL-CG85EPX-L870-02-7C00</v>
          </cell>
          <cell r="D296">
            <v>24</v>
          </cell>
          <cell r="E296" t="str">
            <v>W-UNPL-WG87NXX-T3AF-00-7C00</v>
          </cell>
          <cell r="F296">
            <v>24</v>
          </cell>
        </row>
        <row r="297">
          <cell r="B297" t="str">
            <v>AHWP-95D31RX-B6A3</v>
          </cell>
          <cell r="C297" t="str">
            <v>W-UNPL-CG85EPX-L870-02-7C00</v>
          </cell>
          <cell r="D297">
            <v>24</v>
          </cell>
          <cell r="E297" t="str">
            <v>W-UNPL-WG87NXX-T3AF-00-7C00</v>
          </cell>
          <cell r="F297">
            <v>24</v>
          </cell>
        </row>
        <row r="298">
          <cell r="B298" t="str">
            <v>AMDA-TZ5SKIT-A7C3</v>
          </cell>
          <cell r="C298" t="str">
            <v>W-FOPL-M8783PX-L87C-08-9S0A</v>
          </cell>
          <cell r="D298">
            <v>2.25</v>
          </cell>
          <cell r="E298" t="str">
            <v>W-FOPL-M8786NX-T3AC-08-9S0A</v>
          </cell>
          <cell r="F298">
            <v>3</v>
          </cell>
        </row>
        <row r="299">
          <cell r="B299" t="str">
            <v>AMDA-TZ6VKIT-A7C3</v>
          </cell>
          <cell r="C299" t="str">
            <v>W-FOPL-YH84PXX-L87C-06-9S0A</v>
          </cell>
          <cell r="D299">
            <v>3.0005999999999999</v>
          </cell>
          <cell r="E299" t="str">
            <v>W-FOPL-YH86NXX-T3AC-06-9S0A</v>
          </cell>
          <cell r="F299">
            <v>4.0007999999999999</v>
          </cell>
        </row>
        <row r="300">
          <cell r="B300" t="str">
            <v>AMUP-100D31L-B4P3</v>
          </cell>
          <cell r="C300" t="str">
            <v>W-UNPL-WG83PXX-L65F-00-7C00</v>
          </cell>
          <cell r="D300">
            <v>21</v>
          </cell>
          <cell r="E300" t="str">
            <v>W-UNPL-WG87NXX-T3AF-00-7C00</v>
          </cell>
          <cell r="F300">
            <v>21</v>
          </cell>
        </row>
        <row r="301">
          <cell r="B301" t="str">
            <v>AMUP-100D31R-B4P3</v>
          </cell>
          <cell r="C301" t="str">
            <v>W-UNPL-WG83PXX-L65F-00-7C00</v>
          </cell>
          <cell r="D301">
            <v>21</v>
          </cell>
          <cell r="E301" t="str">
            <v>W-UNPL-WG87NXX-T3AF-00-7C00</v>
          </cell>
          <cell r="F301">
            <v>21</v>
          </cell>
        </row>
        <row r="302">
          <cell r="B302" t="str">
            <v>AMUP-110D31L-B6P3</v>
          </cell>
          <cell r="C302" t="str">
            <v>W-UNPL-WG83PXX-L65F-00-7C00</v>
          </cell>
          <cell r="D302">
            <v>24</v>
          </cell>
          <cell r="E302" t="str">
            <v>W-UNPL-WG87NXX-T3AF-00-7C00</v>
          </cell>
          <cell r="F302">
            <v>24</v>
          </cell>
        </row>
        <row r="303">
          <cell r="B303" t="str">
            <v>AMUP-110D31R-B6P3</v>
          </cell>
          <cell r="C303" t="str">
            <v>W-UNPL-WG83PXX-L65F-00-7C00</v>
          </cell>
          <cell r="D303">
            <v>24</v>
          </cell>
          <cell r="E303" t="str">
            <v>W-UNPL-WG87NXX-T3AF-00-7C00</v>
          </cell>
          <cell r="F303">
            <v>24</v>
          </cell>
        </row>
        <row r="304">
          <cell r="B304" t="str">
            <v>AMUP-115D26L-B3P3</v>
          </cell>
          <cell r="C304" t="str">
            <v>W-UNPL-WG83PXX-L65F-00-7C00</v>
          </cell>
          <cell r="D304">
            <v>21</v>
          </cell>
          <cell r="E304" t="str">
            <v>W-UNPL-WG87NXX-T3AF-00-7C00</v>
          </cell>
          <cell r="F304">
            <v>18</v>
          </cell>
        </row>
        <row r="305">
          <cell r="B305" t="str">
            <v>AMUP-115D26R-B3P3</v>
          </cell>
          <cell r="C305" t="str">
            <v>W-UNPL-WG83PXX-L65F-00-7C00</v>
          </cell>
          <cell r="D305">
            <v>21</v>
          </cell>
          <cell r="E305" t="str">
            <v>W-UNPL-WG87NXX-T3AF-00-7C00</v>
          </cell>
          <cell r="F305">
            <v>18</v>
          </cell>
        </row>
        <row r="306">
          <cell r="B306" t="str">
            <v>AMUP-115D31L-B4P4</v>
          </cell>
          <cell r="C306" t="str">
            <v>W-UNPL-WG83PXX-L65F-00-7C00</v>
          </cell>
          <cell r="D306">
            <v>21</v>
          </cell>
          <cell r="E306" t="str">
            <v>W-UNPL-WG87NXX-T3AF-00-7C00</v>
          </cell>
          <cell r="F306">
            <v>21</v>
          </cell>
        </row>
        <row r="307">
          <cell r="B307" t="str">
            <v>AMUP-115D31L-B8P3</v>
          </cell>
          <cell r="C307" t="str">
            <v>W-UNPL-WG83PXX-L65F-00-7C00</v>
          </cell>
          <cell r="D307">
            <v>27</v>
          </cell>
          <cell r="E307" t="str">
            <v>W-UNPL-WG87NXX-T3AF-00-7C00</v>
          </cell>
          <cell r="F307">
            <v>27</v>
          </cell>
        </row>
        <row r="308">
          <cell r="B308" t="str">
            <v>AMUP-115D31R-B4P4</v>
          </cell>
          <cell r="C308" t="str">
            <v>W-UNPL-WG83PXX-L65F-00-7C00</v>
          </cell>
          <cell r="D308">
            <v>21</v>
          </cell>
          <cell r="E308" t="str">
            <v>W-UNPL-WG87NXX-T3AF-00-7C00</v>
          </cell>
          <cell r="F308">
            <v>21</v>
          </cell>
        </row>
        <row r="309">
          <cell r="B309" t="str">
            <v>AMUP-115D31R-B8P3</v>
          </cell>
          <cell r="C309" t="str">
            <v>W-UNPL-WG83PXX-L65F-00-7C00</v>
          </cell>
          <cell r="D309">
            <v>27</v>
          </cell>
          <cell r="E309" t="str">
            <v>W-UNPL-WG87NXX-T3AF-00-7C00</v>
          </cell>
          <cell r="F309">
            <v>27</v>
          </cell>
        </row>
        <row r="310">
          <cell r="B310" t="str">
            <v>AMUP-115E41R-B7C3</v>
          </cell>
          <cell r="C310" t="str">
            <v>W-UNPL-YG8079P-L650-02-7S00</v>
          </cell>
          <cell r="D310">
            <v>24</v>
          </cell>
          <cell r="E310" t="str">
            <v>W-UNPL-YG85NXX-T3A0-02-7S00</v>
          </cell>
          <cell r="F310">
            <v>27</v>
          </cell>
        </row>
        <row r="311">
          <cell r="B311" t="str">
            <v>AMUP-115F51X-B9C4</v>
          </cell>
          <cell r="C311" t="str">
            <v>W-UNPL-YG8079P-L650-02-7S00</v>
          </cell>
          <cell r="D311">
            <v>27</v>
          </cell>
          <cell r="E311" t="str">
            <v>W-UNPL-YG85NXX-T3A0-02-7S00</v>
          </cell>
          <cell r="F311">
            <v>30</v>
          </cell>
        </row>
        <row r="312">
          <cell r="B312" t="str">
            <v>AMUP-115F51X-C1C3</v>
          </cell>
          <cell r="C312" t="str">
            <v>W-UNPL-YG8079P-L650-02-7S00</v>
          </cell>
          <cell r="D312">
            <v>30</v>
          </cell>
          <cell r="E312" t="str">
            <v>W-UNPL-YG85NXX-T3A0-02-7S00</v>
          </cell>
          <cell r="F312">
            <v>33</v>
          </cell>
        </row>
        <row r="313">
          <cell r="B313" t="str">
            <v>AMUP-125D31L-B8P3</v>
          </cell>
          <cell r="C313" t="str">
            <v>W-UNPL-WG83PXX-L65F-00-7C00</v>
          </cell>
          <cell r="D313">
            <v>27</v>
          </cell>
          <cell r="E313" t="str">
            <v>W-UNPL-WG87NXX-T3AF-00-7C00</v>
          </cell>
          <cell r="F313">
            <v>27</v>
          </cell>
        </row>
        <row r="314">
          <cell r="B314" t="str">
            <v>AMUP-125D31R-B8P3</v>
          </cell>
          <cell r="C314" t="str">
            <v>W-UNPL-WG83PXX-L65F-00-7C00</v>
          </cell>
          <cell r="D314">
            <v>27</v>
          </cell>
          <cell r="E314" t="str">
            <v>W-UNPL-WG87NXX-T3AF-00-7C00</v>
          </cell>
          <cell r="F314">
            <v>27</v>
          </cell>
        </row>
        <row r="315">
          <cell r="B315" t="str">
            <v>AMUP-135D31L-B6P3</v>
          </cell>
          <cell r="C315" t="str">
            <v>W-UNPL-WG83PXX-L65F-00-7C00</v>
          </cell>
          <cell r="D315">
            <v>24</v>
          </cell>
          <cell r="E315" t="str">
            <v>W-UNPL-WG87NXX-T3AF-00-7C00</v>
          </cell>
          <cell r="F315">
            <v>24</v>
          </cell>
        </row>
        <row r="316">
          <cell r="B316" t="str">
            <v>AMUP-135D31R-B6P3</v>
          </cell>
          <cell r="C316" t="str">
            <v>W-UNPL-WG83PXX-L65F-00-7C00</v>
          </cell>
          <cell r="D316">
            <v>24</v>
          </cell>
          <cell r="E316" t="str">
            <v>W-UNPL-WG87NXX-T3AF-00-7C00</v>
          </cell>
          <cell r="F316">
            <v>24</v>
          </cell>
        </row>
        <row r="317">
          <cell r="B317" t="str">
            <v>AMUP-135F51X-C1C3</v>
          </cell>
          <cell r="C317" t="str">
            <v>W-UNPL-YG8079P-L650-02-7S00</v>
          </cell>
          <cell r="D317">
            <v>30</v>
          </cell>
          <cell r="E317" t="str">
            <v>W-UNPL-YG85NXX-T3A0-02-7S00</v>
          </cell>
          <cell r="F317">
            <v>33</v>
          </cell>
        </row>
        <row r="318">
          <cell r="B318" t="str">
            <v>AMUP-145G51X-C5C4</v>
          </cell>
          <cell r="C318" t="str">
            <v>W-UNPL-YG82PXX-L650-02-7S00</v>
          </cell>
          <cell r="D318">
            <v>39</v>
          </cell>
          <cell r="E318" t="str">
            <v>W-UNPL-YG85NXX-T3A0-02-7S00</v>
          </cell>
          <cell r="F318">
            <v>36</v>
          </cell>
        </row>
        <row r="319">
          <cell r="B319" t="str">
            <v>AMUP-145G51X-C7C3</v>
          </cell>
          <cell r="C319" t="str">
            <v>W-UNPL-YG82PXX-L650-02-7S00</v>
          </cell>
          <cell r="D319">
            <v>42</v>
          </cell>
          <cell r="E319" t="str">
            <v>W-UNPL-YG85NXX-T3A0-02-7S00</v>
          </cell>
          <cell r="F319">
            <v>39</v>
          </cell>
        </row>
        <row r="320">
          <cell r="B320" t="str">
            <v>AMUP-170G51X-C7C3</v>
          </cell>
          <cell r="C320" t="str">
            <v>W-UNPL-YG82PXX-L650-02-7S00</v>
          </cell>
          <cell r="D320">
            <v>42</v>
          </cell>
          <cell r="E320" t="str">
            <v>W-UNPL-YG85NXX-T3A0-02-7S00</v>
          </cell>
          <cell r="F320">
            <v>39</v>
          </cell>
        </row>
        <row r="321">
          <cell r="B321" t="str">
            <v>AMUP-190H52X-D4P3</v>
          </cell>
          <cell r="C321" t="str">
            <v>W-UNPL-WG83PXX-L65F-00-7C00</v>
          </cell>
          <cell r="D321">
            <v>51</v>
          </cell>
          <cell r="E321" t="str">
            <v>W-UNPL-WG87NXX-T3AF-00-7C00</v>
          </cell>
          <cell r="F321">
            <v>51</v>
          </cell>
        </row>
        <row r="322">
          <cell r="B322" t="str">
            <v>AMUP-190H52X-D5C4</v>
          </cell>
          <cell r="C322" t="str">
            <v>W-UNPL-YG82PXX-L650-02-7S00</v>
          </cell>
          <cell r="D322">
            <v>54</v>
          </cell>
          <cell r="E322" t="str">
            <v>W-UNPL-YG85NXX-T3A0-02-7S00</v>
          </cell>
          <cell r="F322">
            <v>51</v>
          </cell>
        </row>
        <row r="323">
          <cell r="B323" t="str">
            <v>AMUP-190H52X-D7C3</v>
          </cell>
          <cell r="C323" t="str">
            <v>W-UNPL-YG82PXX-L650-02-7S00</v>
          </cell>
          <cell r="D323">
            <v>57</v>
          </cell>
          <cell r="E323" t="str">
            <v>W-UNPL-YG85NXX-T3A0-02-7S00</v>
          </cell>
          <cell r="F323">
            <v>54</v>
          </cell>
        </row>
        <row r="324">
          <cell r="B324" t="str">
            <v>AMUP-210H52X-D4P3</v>
          </cell>
          <cell r="C324" t="str">
            <v>W-UNPL-WG83PXX-L65F-00-7C00</v>
          </cell>
          <cell r="D324">
            <v>51</v>
          </cell>
          <cell r="E324" t="str">
            <v>W-UNPL-WG87NXX-T3AF-00-7C00</v>
          </cell>
          <cell r="F324">
            <v>51</v>
          </cell>
        </row>
        <row r="325">
          <cell r="B325" t="str">
            <v>AMUP-210H52X-D7C3</v>
          </cell>
          <cell r="C325" t="str">
            <v>W-UNPL-YG82PXX-L650-02-7S00</v>
          </cell>
          <cell r="D325">
            <v>57</v>
          </cell>
          <cell r="E325" t="str">
            <v>W-UNPL-YG85NXX-T3A0-02-7S00</v>
          </cell>
          <cell r="F325">
            <v>54</v>
          </cell>
        </row>
        <row r="326">
          <cell r="B326" t="str">
            <v>AMUP-26A19LX-A9C3</v>
          </cell>
          <cell r="C326" t="str">
            <v>W-UNPL-YL80PXX-L650-02-7S00</v>
          </cell>
          <cell r="D326">
            <v>12</v>
          </cell>
          <cell r="E326" t="str">
            <v>W-UNPL-YL84NXX-T3A0-02-7S00</v>
          </cell>
          <cell r="F326">
            <v>15</v>
          </cell>
        </row>
        <row r="327">
          <cell r="B327" t="str">
            <v>AMUP-32B20LX-A7P4</v>
          </cell>
          <cell r="C327" t="str">
            <v>W-UNPL-WM84PXX-L65F-00-7S00</v>
          </cell>
          <cell r="D327">
            <v>12</v>
          </cell>
          <cell r="E327" t="str">
            <v>W-UNPL-WM85NXX-T3AF-00-7S00</v>
          </cell>
          <cell r="F327">
            <v>9</v>
          </cell>
        </row>
        <row r="328">
          <cell r="B328" t="str">
            <v>AMUP-32B20RX-A7P4</v>
          </cell>
          <cell r="C328" t="str">
            <v>W-UNPL-WM84PXX-L65F-00-7S00</v>
          </cell>
          <cell r="D328">
            <v>12</v>
          </cell>
          <cell r="E328" t="str">
            <v>W-UNPL-WM85NXX-T3AF-00-7S00</v>
          </cell>
          <cell r="F328">
            <v>9</v>
          </cell>
        </row>
        <row r="329">
          <cell r="B329" t="str">
            <v>AMUP-32B20RX-A9P3</v>
          </cell>
          <cell r="C329" t="str">
            <v>W-UNPL-WM84PXX-L65F-00-7S00</v>
          </cell>
          <cell r="D329">
            <v>15</v>
          </cell>
          <cell r="E329" t="str">
            <v>W-UNPL-WM85NXX-T3AF-00-7S00</v>
          </cell>
          <cell r="F329">
            <v>12</v>
          </cell>
        </row>
        <row r="330">
          <cell r="B330" t="str">
            <v>AMUP-32C24LX-A9P4</v>
          </cell>
          <cell r="C330" t="str">
            <v>W-UNPL-WM84PXX-L65F-00-7S00</v>
          </cell>
          <cell r="D330">
            <v>15</v>
          </cell>
          <cell r="E330" t="str">
            <v>W-UNPL-WM85NXX-T3AF-00-7S00</v>
          </cell>
          <cell r="F330">
            <v>12</v>
          </cell>
        </row>
        <row r="331">
          <cell r="B331" t="str">
            <v>AMUP-32C24RX-A9P4</v>
          </cell>
          <cell r="C331" t="str">
            <v>W-UNPL-WM84PXX-L65F-00-7S00</v>
          </cell>
          <cell r="D331">
            <v>15</v>
          </cell>
          <cell r="E331" t="str">
            <v>W-UNPL-WM85NXX-T3AF-00-7S00</v>
          </cell>
          <cell r="F331">
            <v>12</v>
          </cell>
        </row>
        <row r="332">
          <cell r="B332" t="str">
            <v>AMUP-36B20LX-A7P5</v>
          </cell>
          <cell r="C332" t="str">
            <v>W-UNPL-WM84PXX-L65F-00-7S00</v>
          </cell>
          <cell r="D332">
            <v>12</v>
          </cell>
          <cell r="E332" t="str">
            <v>W-UNPL-WM85NXX-T3AF-00-7S00</v>
          </cell>
          <cell r="F332">
            <v>9</v>
          </cell>
        </row>
        <row r="333">
          <cell r="B333" t="str">
            <v>AMUP-36B20LX-A8P4</v>
          </cell>
          <cell r="C333" t="str">
            <v>W-UNPL-WM84PXX-L65F-00-7S00</v>
          </cell>
          <cell r="D333">
            <v>12</v>
          </cell>
          <cell r="E333" t="str">
            <v>W-UNPL-WM85NXX-T3AF-00-7S00</v>
          </cell>
          <cell r="F333">
            <v>12</v>
          </cell>
        </row>
        <row r="334">
          <cell r="B334" t="str">
            <v>AMUP-36B20LX-A9P4</v>
          </cell>
          <cell r="C334" t="str">
            <v>W-UNPL-WM84PXX-L65F-00-7S00</v>
          </cell>
          <cell r="D334">
            <v>12</v>
          </cell>
          <cell r="E334" t="str">
            <v>W-UNPL-WM85NXX-T3AF-00-7S00</v>
          </cell>
          <cell r="F334">
            <v>15</v>
          </cell>
        </row>
        <row r="335">
          <cell r="B335" t="str">
            <v>AMUP-36B20LX-B0P3</v>
          </cell>
          <cell r="C335" t="str">
            <v>W-UNPL-WM84PXX-L65F-00-7S00</v>
          </cell>
          <cell r="D335">
            <v>15</v>
          </cell>
          <cell r="E335" t="str">
            <v>W-UNPL-WM85NXX-T3AF-00-7S00</v>
          </cell>
          <cell r="F335">
            <v>15</v>
          </cell>
        </row>
        <row r="336">
          <cell r="B336" t="str">
            <v>AMUP-36B20RX-A7P5</v>
          </cell>
          <cell r="C336" t="str">
            <v>W-UNPL-WM84PXX-L65F-00-7S00</v>
          </cell>
          <cell r="D336">
            <v>12</v>
          </cell>
          <cell r="E336" t="str">
            <v>W-UNPL-WM85NXX-T3AF-00-7S00</v>
          </cell>
          <cell r="F336">
            <v>9</v>
          </cell>
        </row>
        <row r="337">
          <cell r="B337" t="str">
            <v>AMUP-36B20RX-A8P4</v>
          </cell>
          <cell r="C337" t="str">
            <v>W-UNPL-WM84PXX-L65F-00-7S00</v>
          </cell>
          <cell r="D337">
            <v>12</v>
          </cell>
          <cell r="E337" t="str">
            <v>W-UNPL-WM85NXX-T3AF-00-7S00</v>
          </cell>
          <cell r="F337">
            <v>12</v>
          </cell>
        </row>
        <row r="338">
          <cell r="B338" t="str">
            <v>AMUP-40B20LX-A9P3</v>
          </cell>
          <cell r="C338" t="str">
            <v>W-UNPL-WM84PXX-L65F-00-7S00</v>
          </cell>
          <cell r="D338">
            <v>15</v>
          </cell>
          <cell r="E338" t="str">
            <v>W-UNPL-WM85NXX-T3AF-00-7S00</v>
          </cell>
          <cell r="F338">
            <v>12</v>
          </cell>
        </row>
        <row r="339">
          <cell r="B339" t="str">
            <v>AMUP-40B20RX-A9P3</v>
          </cell>
          <cell r="C339" t="str">
            <v>W-UNPL-WM84PXX-L65F-00-7S00</v>
          </cell>
          <cell r="D339">
            <v>15</v>
          </cell>
          <cell r="E339" t="str">
            <v>W-UNPL-WM85NXX-T3AF-00-7S00</v>
          </cell>
          <cell r="F339">
            <v>12</v>
          </cell>
        </row>
        <row r="340">
          <cell r="B340" t="str">
            <v>AMUP-45B20LX-B0P3</v>
          </cell>
          <cell r="C340" t="str">
            <v>W-UNPL-WM84PXX-L65F-00-7S00</v>
          </cell>
          <cell r="D340">
            <v>15</v>
          </cell>
          <cell r="E340" t="str">
            <v>W-UNPL-WM85NXX-T3AF-00-7S00</v>
          </cell>
          <cell r="F340">
            <v>15</v>
          </cell>
        </row>
        <row r="341">
          <cell r="B341" t="str">
            <v>AMUP-45B20RX-B0P3</v>
          </cell>
          <cell r="C341" t="str">
            <v>W-UNPL-WM84PXX-L65F-00-7S00</v>
          </cell>
          <cell r="D341">
            <v>15</v>
          </cell>
          <cell r="E341" t="str">
            <v>W-UNPL-WM85NXX-T3AF-00-7S00</v>
          </cell>
          <cell r="F341">
            <v>15</v>
          </cell>
        </row>
        <row r="342">
          <cell r="B342" t="str">
            <v>AMUP-45C24LX-B0P3</v>
          </cell>
          <cell r="C342" t="str">
            <v>W-UNPL-WM84PXX-L65F-00-7S00</v>
          </cell>
          <cell r="D342">
            <v>15</v>
          </cell>
          <cell r="E342" t="str">
            <v>W-UNPL-WM85NXX-T3AF-00-7S00</v>
          </cell>
          <cell r="F342">
            <v>15</v>
          </cell>
        </row>
        <row r="343">
          <cell r="B343" t="str">
            <v>AMUP-45C24RX-B0P3</v>
          </cell>
          <cell r="C343" t="str">
            <v>W-UNPL-WM84PXX-L65F-00-7S00</v>
          </cell>
          <cell r="D343">
            <v>15</v>
          </cell>
          <cell r="E343" t="str">
            <v>W-UNPL-WM85NXX-T3AF-00-7S00</v>
          </cell>
          <cell r="F343">
            <v>15</v>
          </cell>
        </row>
        <row r="344">
          <cell r="B344" t="str">
            <v>AMUP-46B24LS-A9P5</v>
          </cell>
          <cell r="C344" t="str">
            <v>W-UNPL-WM84PXX-L65F-00-7S00</v>
          </cell>
          <cell r="D344">
            <v>15</v>
          </cell>
          <cell r="E344" t="str">
            <v>W-UNPL-WM85NXX-T3AF-00-7S00</v>
          </cell>
          <cell r="F344">
            <v>12</v>
          </cell>
        </row>
        <row r="345">
          <cell r="B345" t="str">
            <v>AMUP-46B24LS-B0P4</v>
          </cell>
          <cell r="C345" t="str">
            <v>W-UNPL-WM84PXX-L65F-00-7S00</v>
          </cell>
          <cell r="D345">
            <v>15</v>
          </cell>
          <cell r="E345" t="str">
            <v>W-UNPL-WM85NXX-T3AF-00-7S00</v>
          </cell>
          <cell r="F345">
            <v>15</v>
          </cell>
        </row>
        <row r="346">
          <cell r="B346" t="str">
            <v>AMUP-46B24LS-B1P3</v>
          </cell>
          <cell r="C346" t="str">
            <v>W-UNPL-WM84PXX-L65F-00-7S00</v>
          </cell>
          <cell r="D346">
            <v>18</v>
          </cell>
          <cell r="E346" t="str">
            <v>W-UNPL-WM85NXX-T3AF-00-7S00</v>
          </cell>
          <cell r="F346">
            <v>15</v>
          </cell>
        </row>
        <row r="347">
          <cell r="B347" t="str">
            <v>AMUP-46B24LX-A9P5</v>
          </cell>
          <cell r="C347" t="str">
            <v>W-UNPL-WM84PXX-L65F-00-7S00</v>
          </cell>
          <cell r="D347">
            <v>15</v>
          </cell>
          <cell r="E347" t="str">
            <v>W-UNPL-WM85NXX-T3AF-00-7S00</v>
          </cell>
          <cell r="F347">
            <v>12</v>
          </cell>
        </row>
        <row r="348">
          <cell r="B348" t="str">
            <v>AMUP-46B24LX-B0P4</v>
          </cell>
          <cell r="C348" t="str">
            <v>W-UNPL-WM84PXX-L65F-00-7S00</v>
          </cell>
          <cell r="D348">
            <v>15</v>
          </cell>
          <cell r="E348" t="str">
            <v>W-UNPL-WM85NXX-T3AF-00-7S00</v>
          </cell>
          <cell r="F348">
            <v>15</v>
          </cell>
        </row>
        <row r="349">
          <cell r="B349" t="str">
            <v>AMUP-46B24LX-B1P3</v>
          </cell>
          <cell r="C349" t="str">
            <v>W-UNPL-WM84PXX-L65F-00-7S00</v>
          </cell>
          <cell r="D349">
            <v>18</v>
          </cell>
          <cell r="E349" t="str">
            <v>W-UNPL-WM85NXX-T3AF-00-7S00</v>
          </cell>
          <cell r="F349">
            <v>15</v>
          </cell>
        </row>
        <row r="350">
          <cell r="B350" t="str">
            <v>AMUP-46B24RS-A9P5</v>
          </cell>
          <cell r="C350" t="str">
            <v>W-UNPL-WM84PXX-L65F-00-7S00</v>
          </cell>
          <cell r="D350">
            <v>15</v>
          </cell>
          <cell r="E350" t="str">
            <v>W-UNPL-WM85NXX-T3AF-00-7S00</v>
          </cell>
          <cell r="F350">
            <v>12</v>
          </cell>
        </row>
        <row r="351">
          <cell r="B351" t="str">
            <v>AMUP-46B24RS-B0P4</v>
          </cell>
          <cell r="C351" t="str">
            <v>W-UNPL-WM84PXX-L65F-00-7S00</v>
          </cell>
          <cell r="D351">
            <v>15</v>
          </cell>
          <cell r="E351" t="str">
            <v>W-UNPL-WM85NXX-T3AF-00-7S00</v>
          </cell>
          <cell r="F351">
            <v>15</v>
          </cell>
        </row>
        <row r="352">
          <cell r="B352" t="str">
            <v>AMUP-46B24RX-A9P5</v>
          </cell>
          <cell r="C352" t="str">
            <v>W-UNPL-WM84PXX-L65F-00-7S00</v>
          </cell>
          <cell r="D352">
            <v>15</v>
          </cell>
          <cell r="E352" t="str">
            <v>W-UNPL-WM85NXX-T3AF-00-7S00</v>
          </cell>
          <cell r="F352">
            <v>12</v>
          </cell>
        </row>
        <row r="353">
          <cell r="B353" t="str">
            <v>AMUP-46B24RX-B0P4</v>
          </cell>
          <cell r="C353" t="str">
            <v>W-UNPL-WM84PXX-L65F-00-7S00</v>
          </cell>
          <cell r="D353">
            <v>15</v>
          </cell>
          <cell r="E353" t="str">
            <v>W-UNPL-WM85NXX-T3AF-00-7S00</v>
          </cell>
          <cell r="F353">
            <v>15</v>
          </cell>
        </row>
        <row r="354">
          <cell r="B354" t="str">
            <v>AMUP-46B24RX-B1P3</v>
          </cell>
          <cell r="C354" t="str">
            <v>W-UNPL-WM84PXX-L65F-00-7S00</v>
          </cell>
          <cell r="D354">
            <v>18</v>
          </cell>
          <cell r="E354" t="str">
            <v>W-UNPL-WM85NXX-T3AF-00-7S00</v>
          </cell>
          <cell r="F354">
            <v>15</v>
          </cell>
        </row>
        <row r="355">
          <cell r="B355" t="str">
            <v>AMUP-50B24LS-B1P3</v>
          </cell>
          <cell r="C355" t="str">
            <v>W-UNPL-WM84PXX-L65F-00-7S00</v>
          </cell>
          <cell r="D355">
            <v>18</v>
          </cell>
          <cell r="E355" t="str">
            <v>W-UNPL-WM85NXX-T3AF-00-7S00</v>
          </cell>
          <cell r="F355">
            <v>15</v>
          </cell>
        </row>
        <row r="356">
          <cell r="B356" t="str">
            <v>AMUP-50B24LX-B1P3</v>
          </cell>
          <cell r="C356" t="str">
            <v>W-UNPL-WM84PXX-L65F-00-7S00</v>
          </cell>
          <cell r="D356">
            <v>18</v>
          </cell>
          <cell r="E356" t="str">
            <v>W-UNPL-WM85NXX-T3AF-00-7S00</v>
          </cell>
          <cell r="F356">
            <v>15</v>
          </cell>
        </row>
        <row r="357">
          <cell r="B357" t="str">
            <v>AMUP-50B24RS-B1P3</v>
          </cell>
          <cell r="C357" t="str">
            <v>W-UNPL-WM84PXX-L65F-00-7S00</v>
          </cell>
          <cell r="D357">
            <v>18</v>
          </cell>
          <cell r="E357" t="str">
            <v>W-UNPL-WM85NXX-T3AF-00-7S00</v>
          </cell>
          <cell r="F357">
            <v>15</v>
          </cell>
        </row>
        <row r="358">
          <cell r="B358" t="str">
            <v>AMUP-50B24RX-B1P3</v>
          </cell>
          <cell r="C358" t="str">
            <v>W-UNPL-WM84PXX-L65F-00-7S00</v>
          </cell>
          <cell r="D358">
            <v>18</v>
          </cell>
          <cell r="E358" t="str">
            <v>W-UNPL-WM85NXX-T3AF-00-7S00</v>
          </cell>
          <cell r="F358">
            <v>15</v>
          </cell>
        </row>
        <row r="359">
          <cell r="B359" t="str">
            <v>AMUP-54519LH-B1C3</v>
          </cell>
          <cell r="C359" t="str">
            <v>W-UNPL-YD84PXX-L870-02-7S00</v>
          </cell>
          <cell r="D359">
            <v>18</v>
          </cell>
          <cell r="E359" t="str">
            <v>W-UNPL-YD85NXX-T3A0-02-7S00</v>
          </cell>
          <cell r="F359">
            <v>15</v>
          </cell>
        </row>
        <row r="360">
          <cell r="B360" t="str">
            <v>AMUP-55559LX-B0C3</v>
          </cell>
          <cell r="C360" t="str">
            <v>W-UNPL-YG82HDP-L650-02-7S00</v>
          </cell>
          <cell r="D360">
            <v>15</v>
          </cell>
          <cell r="E360" t="str">
            <v>W-UNPL-YG85NXX-T3A0-02-7S00</v>
          </cell>
          <cell r="F360">
            <v>15</v>
          </cell>
        </row>
        <row r="361">
          <cell r="B361" t="str">
            <v>AMUP-55559LX-B2C2</v>
          </cell>
          <cell r="C361" t="str">
            <v>W-UNPL-YG8079P-L650-02-7S00</v>
          </cell>
          <cell r="D361">
            <v>18</v>
          </cell>
          <cell r="E361" t="str">
            <v>W-UNPL-YG85NXX-T3A0-02-7S00</v>
          </cell>
          <cell r="F361">
            <v>18</v>
          </cell>
        </row>
        <row r="362">
          <cell r="B362" t="str">
            <v>AMUP-55565RX-B0C3</v>
          </cell>
          <cell r="C362" t="str">
            <v>W-UNPL-YG82HDP-L650-02-7S00</v>
          </cell>
          <cell r="D362">
            <v>15</v>
          </cell>
          <cell r="E362" t="str">
            <v>W-UNPL-YG85NXX-T3A0-02-7S00</v>
          </cell>
          <cell r="F362">
            <v>15</v>
          </cell>
        </row>
        <row r="363">
          <cell r="B363" t="str">
            <v>AMUP-55565RX-B2C2</v>
          </cell>
          <cell r="C363" t="str">
            <v>W-UNPL-YG8079P-L650-02-7S00</v>
          </cell>
          <cell r="D363">
            <v>18</v>
          </cell>
          <cell r="E363" t="str">
            <v>W-UNPL-YG85NXX-T3A0-02-7S00</v>
          </cell>
          <cell r="F363">
            <v>18</v>
          </cell>
        </row>
        <row r="364">
          <cell r="B364" t="str">
            <v>AMUP-55D23LX-A9P4</v>
          </cell>
          <cell r="C364" t="str">
            <v>W-UNPL-WG83PXX-L65F-00-7C00</v>
          </cell>
          <cell r="D364">
            <v>12</v>
          </cell>
          <cell r="E364" t="str">
            <v>W-UNPL-WG87NXX-T3AF-00-7C00</v>
          </cell>
          <cell r="F364">
            <v>15</v>
          </cell>
        </row>
        <row r="365">
          <cell r="B365" t="str">
            <v>AMUP-55D23LX-B0P3</v>
          </cell>
          <cell r="C365" t="str">
            <v>W-UNPL-WG83PXX-L65F-00-7C00</v>
          </cell>
          <cell r="D365">
            <v>15</v>
          </cell>
          <cell r="E365" t="str">
            <v>W-UNPL-WG87NXX-T3AF-00-7C00</v>
          </cell>
          <cell r="F365">
            <v>15</v>
          </cell>
        </row>
        <row r="366">
          <cell r="B366" t="str">
            <v>AMUP-55D26LX-B0P3</v>
          </cell>
          <cell r="C366" t="str">
            <v>W-UNPL-WG83PXX-L65F-00-7C00</v>
          </cell>
          <cell r="D366">
            <v>15</v>
          </cell>
          <cell r="E366" t="str">
            <v>W-UNPL-WG87NXX-T3AF-00-7C00</v>
          </cell>
          <cell r="F366">
            <v>15</v>
          </cell>
        </row>
        <row r="367">
          <cell r="B367" t="str">
            <v>AMUP-55D26RX-B0P3</v>
          </cell>
          <cell r="C367" t="str">
            <v>W-UNPL-WG83PXX-L65F-00-7C00</v>
          </cell>
          <cell r="D367">
            <v>15</v>
          </cell>
          <cell r="E367" t="str">
            <v>W-UNPL-WG87NXX-T3AF-00-7C00</v>
          </cell>
          <cell r="F367">
            <v>15</v>
          </cell>
        </row>
        <row r="368">
          <cell r="B368" t="str">
            <v>AMUP-56638LX-B2C3</v>
          </cell>
          <cell r="C368" t="str">
            <v>W-UNPL-YG82HDP-L650-02-7S00</v>
          </cell>
          <cell r="D368">
            <v>18</v>
          </cell>
          <cell r="E368" t="str">
            <v>W-UNPL-YG85NXX-T3A0-02-7S00</v>
          </cell>
          <cell r="F368">
            <v>18</v>
          </cell>
        </row>
        <row r="369">
          <cell r="B369" t="str">
            <v>AMUP-56640LH-B5C3</v>
          </cell>
          <cell r="C369" t="str">
            <v>W-UNPL-YD84PXX-L870-02-7S00</v>
          </cell>
          <cell r="D369">
            <v>24</v>
          </cell>
          <cell r="E369" t="str">
            <v>W-UNPL-YD85NXX-T3A0-02-7S00</v>
          </cell>
          <cell r="F369">
            <v>21</v>
          </cell>
        </row>
        <row r="370">
          <cell r="B370" t="str">
            <v>AMUP-57229LX-B4C3</v>
          </cell>
          <cell r="C370" t="str">
            <v>W-UNPL-YG79HDP-L650-02-7S00</v>
          </cell>
          <cell r="D370">
            <v>21</v>
          </cell>
          <cell r="E370" t="str">
            <v>W-UNPL-YG85NXX-T3A0-02-7S00</v>
          </cell>
          <cell r="F370">
            <v>21</v>
          </cell>
        </row>
        <row r="371">
          <cell r="B371" t="str">
            <v>AMUP-57412LX-B4C3</v>
          </cell>
          <cell r="C371" t="str">
            <v>W-UNPL-YG79HDP-L650-02-7S00</v>
          </cell>
          <cell r="D371">
            <v>21</v>
          </cell>
          <cell r="E371" t="str">
            <v>W-UNPL-YG85NXX-T3A0-02-7S00</v>
          </cell>
          <cell r="F371">
            <v>21</v>
          </cell>
        </row>
        <row r="372">
          <cell r="B372" t="str">
            <v>AMUP-57519LX-B4C3</v>
          </cell>
          <cell r="C372" t="str">
            <v>W-UNPL-YG79HDP-L650-02-7S00</v>
          </cell>
          <cell r="D372">
            <v>21</v>
          </cell>
          <cell r="E372" t="str">
            <v>W-UNPL-YG85NXX-T3A0-02-7S00</v>
          </cell>
          <cell r="F372">
            <v>21</v>
          </cell>
        </row>
        <row r="373">
          <cell r="B373" t="str">
            <v>AMUP-57540LH-B7C3</v>
          </cell>
          <cell r="C373" t="str">
            <v>W-UNPL-YD84PXX-L870-02-7S00</v>
          </cell>
          <cell r="D373">
            <v>27</v>
          </cell>
          <cell r="E373" t="str">
            <v>W-UNPL-YD85NXX-T3A0-02-7S00</v>
          </cell>
          <cell r="F373">
            <v>24</v>
          </cell>
        </row>
        <row r="374">
          <cell r="B374" t="str">
            <v>AMUP-58024LX-B4C3</v>
          </cell>
          <cell r="C374" t="str">
            <v>W-UNPL-YG79HDP-L650-02-7S00</v>
          </cell>
          <cell r="D374">
            <v>21</v>
          </cell>
          <cell r="E374" t="str">
            <v>W-UNPL-YG85NXX-T3A0-02-7S00</v>
          </cell>
          <cell r="F374">
            <v>21</v>
          </cell>
        </row>
        <row r="375">
          <cell r="B375" t="str">
            <v>AMUP-58815LH-C1C3</v>
          </cell>
          <cell r="C375" t="str">
            <v>W-UNPL-YD84PXX-L870-02-7S00</v>
          </cell>
          <cell r="D375">
            <v>33</v>
          </cell>
          <cell r="E375" t="str">
            <v>W-UNPL-YD85NXX-T3A0-02-7S00</v>
          </cell>
          <cell r="F375">
            <v>30</v>
          </cell>
        </row>
        <row r="376">
          <cell r="B376" t="str">
            <v>AMUP-58827LX-B6C3</v>
          </cell>
          <cell r="C376" t="str">
            <v>W-UNPL-YG82HDP-L650-02-7S00</v>
          </cell>
          <cell r="D376">
            <v>24</v>
          </cell>
          <cell r="E376" t="str">
            <v>W-UNPL-YG85NXX-T3A0-02-7S00</v>
          </cell>
          <cell r="F376">
            <v>24</v>
          </cell>
        </row>
        <row r="377">
          <cell r="B377" t="str">
            <v>AMUP-60038LX-B8C3</v>
          </cell>
          <cell r="C377" t="str">
            <v>W-UNPL-YG79HDP-L650-02-7S00</v>
          </cell>
          <cell r="D377">
            <v>27</v>
          </cell>
          <cell r="E377" t="str">
            <v>W-UNPL-YG85NXX-T3A0-02-7S00</v>
          </cell>
          <cell r="F377">
            <v>27</v>
          </cell>
        </row>
        <row r="378">
          <cell r="B378" t="str">
            <v>AMUP-65D23LX-B0P3</v>
          </cell>
          <cell r="C378" t="str">
            <v>W-UNPL-WG83PXX-L65F-00-7C00</v>
          </cell>
          <cell r="D378">
            <v>15</v>
          </cell>
          <cell r="E378" t="str">
            <v>W-UNPL-WG87NXX-T3AF-00-7C00</v>
          </cell>
          <cell r="F378">
            <v>15</v>
          </cell>
        </row>
        <row r="379">
          <cell r="B379" t="str">
            <v>AMUP-65D23RX-B0P3</v>
          </cell>
          <cell r="C379" t="str">
            <v>W-UNPL-WG83PXX-L65F-00-7C00</v>
          </cell>
          <cell r="D379">
            <v>15</v>
          </cell>
          <cell r="E379" t="str">
            <v>W-UNPL-WG87NXX-T3AF-00-7C00</v>
          </cell>
          <cell r="F379">
            <v>15</v>
          </cell>
        </row>
        <row r="380">
          <cell r="B380" t="str">
            <v>AMUP-65D26LX-B0P4</v>
          </cell>
          <cell r="C380" t="str">
            <v>W-UNPL-WG83PXX-L65F-00-7C00</v>
          </cell>
          <cell r="D380">
            <v>15</v>
          </cell>
          <cell r="E380" t="str">
            <v>W-UNPL-WG87NXX-T3AF-00-7C00</v>
          </cell>
          <cell r="F380">
            <v>15</v>
          </cell>
        </row>
        <row r="381">
          <cell r="B381" t="str">
            <v>AMUP-65D26LX-B3P3</v>
          </cell>
          <cell r="C381" t="str">
            <v>W-UNPL-WG83PXX-L65F-00-7C00</v>
          </cell>
          <cell r="D381">
            <v>18</v>
          </cell>
          <cell r="E381" t="str">
            <v>W-UNPL-WG87NXX-T3AF-00-7C00</v>
          </cell>
          <cell r="F381">
            <v>21</v>
          </cell>
        </row>
        <row r="382">
          <cell r="B382" t="str">
            <v>AMUP-65D26RX-B0P4</v>
          </cell>
          <cell r="C382" t="str">
            <v>W-UNPL-WG83PXX-L65F-00-7C00</v>
          </cell>
          <cell r="D382">
            <v>15</v>
          </cell>
          <cell r="E382" t="str">
            <v>W-UNPL-WG87NXX-T3AF-00-7C00</v>
          </cell>
          <cell r="F382">
            <v>15</v>
          </cell>
        </row>
        <row r="383">
          <cell r="B383" t="str">
            <v>AMUP-65D26RX-B3P3</v>
          </cell>
          <cell r="C383" t="str">
            <v>W-UNPL-WG83PXX-L65F-00-7C00</v>
          </cell>
          <cell r="D383">
            <v>18</v>
          </cell>
          <cell r="E383" t="str">
            <v>W-UNPL-WG87NXX-T3AF-00-7C00</v>
          </cell>
          <cell r="F383">
            <v>21</v>
          </cell>
        </row>
        <row r="384">
          <cell r="B384" t="str">
            <v>AMUP-67018LX-D5C3</v>
          </cell>
          <cell r="C384" t="str">
            <v>W-UNPL-YG8079P-L650-02-7S00</v>
          </cell>
          <cell r="D384">
            <v>51</v>
          </cell>
          <cell r="E384" t="str">
            <v>W-UNPL-YG85NXX-T3A0-02-7S00</v>
          </cell>
          <cell r="F384">
            <v>54</v>
          </cell>
        </row>
        <row r="385">
          <cell r="B385" t="str">
            <v>AMUP-70D26LX-B0P3</v>
          </cell>
          <cell r="C385" t="str">
            <v>W-UNPL-WG83PXX-L65F-00-7C00</v>
          </cell>
          <cell r="D385">
            <v>15</v>
          </cell>
          <cell r="E385" t="str">
            <v>W-UNPL-WG87NXX-T3AF-00-7C00</v>
          </cell>
          <cell r="F385">
            <v>15</v>
          </cell>
        </row>
        <row r="386">
          <cell r="B386" t="str">
            <v>AMUP-70D26RX-B0P3</v>
          </cell>
          <cell r="C386" t="str">
            <v>W-UNPL-WG83PXX-L65F-00-7C00</v>
          </cell>
          <cell r="D386">
            <v>15</v>
          </cell>
          <cell r="E386" t="str">
            <v>W-UNPL-WG87NXX-T3AF-00-7C00</v>
          </cell>
          <cell r="F386">
            <v>15</v>
          </cell>
        </row>
        <row r="387">
          <cell r="B387" t="str">
            <v>AMUP-72018LX-E3C3</v>
          </cell>
          <cell r="C387" t="str">
            <v>W-UNPL-YG8079P-L650-02-7S00</v>
          </cell>
          <cell r="D387">
            <v>63</v>
          </cell>
          <cell r="E387" t="str">
            <v>W-UNPL-YG85NXX-T3A0-02-7S00</v>
          </cell>
          <cell r="F387">
            <v>66</v>
          </cell>
        </row>
        <row r="388">
          <cell r="B388" t="str">
            <v>AMUP-75D26LX-B3P3</v>
          </cell>
          <cell r="C388" t="str">
            <v>W-UNPL-WG83PXX-L65F-00-7C00</v>
          </cell>
          <cell r="D388">
            <v>18</v>
          </cell>
          <cell r="E388" t="str">
            <v>W-UNPL-WG87NXX-T3AF-00-7C00</v>
          </cell>
          <cell r="F388">
            <v>21</v>
          </cell>
        </row>
        <row r="389">
          <cell r="B389" t="str">
            <v>AMUP-75D26RX-B3P3</v>
          </cell>
          <cell r="C389" t="str">
            <v>W-UNPL-WG83PXX-L65F-00-7C00</v>
          </cell>
          <cell r="D389">
            <v>18</v>
          </cell>
          <cell r="E389" t="str">
            <v>W-UNPL-WG87NXX-T3AF-00-7C00</v>
          </cell>
          <cell r="F389">
            <v>21</v>
          </cell>
        </row>
        <row r="390">
          <cell r="B390" t="str">
            <v>AMUP-75D31LX-B2P4</v>
          </cell>
          <cell r="C390" t="str">
            <v>W-UNPL-WG83PXX-L65F-00-7C00</v>
          </cell>
          <cell r="D390">
            <v>18</v>
          </cell>
          <cell r="E390" t="str">
            <v>W-UNPL-WG87NXX-T3AF-00-7C00</v>
          </cell>
          <cell r="F390">
            <v>18</v>
          </cell>
        </row>
        <row r="391">
          <cell r="B391" t="str">
            <v>AMUP-75D31LX-B3P3</v>
          </cell>
          <cell r="C391" t="str">
            <v>W-UNPL-WG83PXX-L65F-00-7C00</v>
          </cell>
          <cell r="D391">
            <v>18</v>
          </cell>
          <cell r="E391" t="str">
            <v>W-UNPL-WG87NXX-T3AF-00-7C00</v>
          </cell>
          <cell r="F391">
            <v>21</v>
          </cell>
        </row>
        <row r="392">
          <cell r="B392" t="str">
            <v>AMUP-75D31RX-B2P4</v>
          </cell>
          <cell r="C392" t="str">
            <v>W-UNPL-WG83PXX-L65F-00-7C00</v>
          </cell>
          <cell r="D392">
            <v>18</v>
          </cell>
          <cell r="E392" t="str">
            <v>W-UNPL-WG87NXX-T3AF-00-7C00</v>
          </cell>
          <cell r="F392">
            <v>18</v>
          </cell>
        </row>
        <row r="393">
          <cell r="B393" t="str">
            <v>AMUP-75D31RX-B3P3</v>
          </cell>
          <cell r="C393" t="str">
            <v>W-UNPL-WG83PXX-L65F-00-7C00</v>
          </cell>
          <cell r="D393">
            <v>18</v>
          </cell>
          <cell r="E393" t="str">
            <v>W-UNPL-WG87NXX-T3AF-00-7C00</v>
          </cell>
          <cell r="F393">
            <v>21</v>
          </cell>
        </row>
        <row r="394">
          <cell r="B394" t="str">
            <v>AMUP-80D31RX-B2P3</v>
          </cell>
          <cell r="C394" t="str">
            <v>W-UNPL-WG83PXX-L65F-00-7C00</v>
          </cell>
          <cell r="D394">
            <v>18</v>
          </cell>
          <cell r="E394" t="str">
            <v>W-UNPL-WG87NXX-T3AF-00-7C00</v>
          </cell>
          <cell r="F394">
            <v>18</v>
          </cell>
        </row>
        <row r="395">
          <cell r="B395" t="str">
            <v>AMUP-90D26LX-B3P3</v>
          </cell>
          <cell r="C395" t="str">
            <v>W-UNPL-WG83PXX-L65F-00-7C00</v>
          </cell>
          <cell r="D395">
            <v>21</v>
          </cell>
          <cell r="E395" t="str">
            <v>W-UNPL-WG87NXX-T3AF-00-7C00</v>
          </cell>
          <cell r="F395">
            <v>18</v>
          </cell>
        </row>
        <row r="396">
          <cell r="B396" t="str">
            <v>AMUP-90D26RX-B3P3</v>
          </cell>
          <cell r="C396" t="str">
            <v>W-UNPL-WG83PXX-L65F-00-7C00</v>
          </cell>
          <cell r="D396">
            <v>21</v>
          </cell>
          <cell r="E396" t="str">
            <v>W-UNPL-WG87NXX-T3AF-00-7C00</v>
          </cell>
          <cell r="F396">
            <v>18</v>
          </cell>
        </row>
        <row r="397">
          <cell r="B397" t="str">
            <v>AMUP-95D26LX-B3P3</v>
          </cell>
          <cell r="C397" t="str">
            <v>W-UNPL-WG83PXX-L65F-00-7C00</v>
          </cell>
          <cell r="D397">
            <v>21</v>
          </cell>
          <cell r="E397" t="str">
            <v>W-UNPL-WG87NXX-T3AF-00-7C00</v>
          </cell>
          <cell r="F397">
            <v>18</v>
          </cell>
        </row>
        <row r="398">
          <cell r="B398" t="str">
            <v>AMUP-95D26RX-B3P3</v>
          </cell>
          <cell r="C398" t="str">
            <v>W-UNPL-WG83PXX-L65F-00-7C00</v>
          </cell>
          <cell r="D398">
            <v>21</v>
          </cell>
          <cell r="E398" t="str">
            <v>W-UNPL-WG87NXX-T3AF-00-7C00</v>
          </cell>
          <cell r="F398">
            <v>18</v>
          </cell>
        </row>
        <row r="399">
          <cell r="B399" t="str">
            <v>AMUP-95D31LX-B2P5</v>
          </cell>
          <cell r="C399" t="str">
            <v>W-UNPL-WG83PXX-L65F-00-7C00</v>
          </cell>
          <cell r="D399">
            <v>18</v>
          </cell>
          <cell r="E399" t="str">
            <v>W-UNPL-WG87NXX-T3AF-00-7C00</v>
          </cell>
          <cell r="F399">
            <v>18</v>
          </cell>
        </row>
        <row r="400">
          <cell r="B400" t="str">
            <v>AMUP-95D31LX-B3P3</v>
          </cell>
          <cell r="C400" t="str">
            <v>W-UNPL-WG83PXX-L65F-00-7C00</v>
          </cell>
          <cell r="D400">
            <v>18</v>
          </cell>
          <cell r="E400" t="str">
            <v>W-UNPL-WG87NXX-T3AF-00-7C00</v>
          </cell>
          <cell r="F400">
            <v>21</v>
          </cell>
        </row>
        <row r="401">
          <cell r="B401" t="str">
            <v>AMUP-95D31LX-B3P4</v>
          </cell>
          <cell r="C401" t="str">
            <v>W-UNPL-WG83PXX-L65F-00-7C00</v>
          </cell>
          <cell r="D401">
            <v>18</v>
          </cell>
          <cell r="E401" t="str">
            <v>W-UNPL-WG87NXX-T3AF-00-7C00</v>
          </cell>
          <cell r="F401">
            <v>21</v>
          </cell>
        </row>
        <row r="402">
          <cell r="B402" t="str">
            <v>AMUP-95D31LX-B4P3</v>
          </cell>
          <cell r="C402" t="str">
            <v>W-UNPL-WG83PXX-L65F-00-7C00</v>
          </cell>
          <cell r="D402">
            <v>21</v>
          </cell>
          <cell r="E402" t="str">
            <v>W-UNPL-WG87NXX-T3AF-00-7C00</v>
          </cell>
          <cell r="F402">
            <v>21</v>
          </cell>
        </row>
        <row r="403">
          <cell r="B403" t="str">
            <v>AMUP-95D31RX-B2P5</v>
          </cell>
          <cell r="C403" t="str">
            <v>W-UNPL-WG83PXX-L65F-00-7C00</v>
          </cell>
          <cell r="D403">
            <v>18</v>
          </cell>
          <cell r="E403" t="str">
            <v>W-UNPL-WG87NXX-T3AF-00-7C00</v>
          </cell>
          <cell r="F403">
            <v>18</v>
          </cell>
        </row>
        <row r="404">
          <cell r="B404" t="str">
            <v>AMUP-95D31RX-B3P3</v>
          </cell>
          <cell r="C404" t="str">
            <v>W-UNPL-WG83PXX-L65F-00-7C00</v>
          </cell>
          <cell r="D404">
            <v>18</v>
          </cell>
          <cell r="E404" t="str">
            <v>W-UNPL-WG87NXX-T3AF-00-7C00</v>
          </cell>
          <cell r="F404">
            <v>21</v>
          </cell>
        </row>
        <row r="405">
          <cell r="B405" t="str">
            <v>AMUP-95D31RX-B3P4</v>
          </cell>
          <cell r="C405" t="str">
            <v>W-UNPL-WG83PXX-L65F-00-7C00</v>
          </cell>
          <cell r="D405">
            <v>18</v>
          </cell>
          <cell r="E405" t="str">
            <v>W-UNPL-WG87NXX-T3AF-00-7C00</v>
          </cell>
          <cell r="F405">
            <v>21</v>
          </cell>
        </row>
        <row r="406">
          <cell r="B406" t="str">
            <v>AMUP-95E41LX-B5C4</v>
          </cell>
          <cell r="C406" t="str">
            <v>W-UNPL-YG8079P-L650-02-7S00</v>
          </cell>
          <cell r="D406">
            <v>21</v>
          </cell>
          <cell r="E406" t="str">
            <v>W-UNPL-YG85NXX-T3A0-02-7S00</v>
          </cell>
          <cell r="F406">
            <v>24</v>
          </cell>
        </row>
        <row r="407">
          <cell r="B407" t="str">
            <v>AMUP-95E41LX-B7C3</v>
          </cell>
          <cell r="C407" t="str">
            <v>W-UNPL-YG8079P-L650-02-7S00</v>
          </cell>
          <cell r="D407">
            <v>24</v>
          </cell>
          <cell r="E407" t="str">
            <v>W-UNPL-YG85NXX-T3A0-02-7S00</v>
          </cell>
          <cell r="F407">
            <v>27</v>
          </cell>
        </row>
        <row r="408">
          <cell r="B408" t="str">
            <v>AMUP-95E41RX-B5C4</v>
          </cell>
          <cell r="C408" t="str">
            <v>W-UNPL-YG8079P-L650-02-7S00</v>
          </cell>
          <cell r="D408">
            <v>21</v>
          </cell>
          <cell r="E408" t="str">
            <v>W-UNPL-YG85NXX-T3A0-02-7S00</v>
          </cell>
          <cell r="F408">
            <v>24</v>
          </cell>
        </row>
        <row r="409">
          <cell r="B409" t="str">
            <v>AMUP-95E41RX-B7C3</v>
          </cell>
          <cell r="C409" t="str">
            <v>W-UNPL-YG8079P-L650-02-7S00</v>
          </cell>
          <cell r="D409">
            <v>24</v>
          </cell>
          <cell r="E409" t="str">
            <v>W-UNPL-YG85NXX-T3A0-02-7S00</v>
          </cell>
          <cell r="F409">
            <v>27</v>
          </cell>
        </row>
        <row r="410">
          <cell r="B410" t="str">
            <v>AMUP-EFBM42L-B2P3</v>
          </cell>
          <cell r="C410" t="str">
            <v>W-UNPL-WM84ESP-L03B-00-7S0A</v>
          </cell>
          <cell r="D410">
            <v>18</v>
          </cell>
          <cell r="E410" t="str">
            <v>W-UNPL-WM87ESN-T3B0-00-7S0A</v>
          </cell>
          <cell r="F410">
            <v>18</v>
          </cell>
        </row>
        <row r="411">
          <cell r="B411" t="str">
            <v>AMUP-EFBM42R-B2P3</v>
          </cell>
          <cell r="C411" t="str">
            <v>W-UNPL-WM84ESP-L03B-00-7S0A</v>
          </cell>
          <cell r="D411">
            <v>18</v>
          </cell>
          <cell r="E411" t="str">
            <v>W-UNPL-WM87ESN-T3B0-00-7S0A</v>
          </cell>
          <cell r="F411">
            <v>18</v>
          </cell>
        </row>
        <row r="412">
          <cell r="B412" t="str">
            <v>AMUP-EFBQ85L-B3C3</v>
          </cell>
          <cell r="C412" t="str">
            <v>W-UNPL-YA82ESP-L03B-02-7S0A</v>
          </cell>
          <cell r="D412">
            <v>21</v>
          </cell>
          <cell r="E412" t="str">
            <v>W-UNPL-YA85ESN-T3B0-02-7S0A</v>
          </cell>
          <cell r="F412">
            <v>18</v>
          </cell>
        </row>
        <row r="413">
          <cell r="B413" t="str">
            <v>AMWA-SA100XX-B1C3</v>
          </cell>
          <cell r="C413" t="str">
            <v>W-FOPL-YS67PXX-L65D-01-9S0A</v>
          </cell>
          <cell r="D413">
            <v>30</v>
          </cell>
          <cell r="E413" t="str">
            <v>W-FOPL-YS76NXX-T3AD-01-9S0A</v>
          </cell>
          <cell r="F413">
            <v>36</v>
          </cell>
        </row>
        <row r="414">
          <cell r="B414" t="str">
            <v>AMWA-SA105FT-B1C3</v>
          </cell>
          <cell r="C414" t="str">
            <v>W-FOPL-YT71PXX-L65D-01-9S0A</v>
          </cell>
          <cell r="D414">
            <v>30</v>
          </cell>
          <cell r="E414" t="str">
            <v>W-FOPL-YT80NXX-T3AD-01-9S0A</v>
          </cell>
          <cell r="F414">
            <v>36</v>
          </cell>
        </row>
        <row r="415">
          <cell r="B415" t="str">
            <v>AMWA-SA12XXX-B1C3</v>
          </cell>
          <cell r="C415" t="str">
            <v>W-FOPL-YW73PXX-L65D-06-9S0A</v>
          </cell>
          <cell r="D415">
            <v>5.0010000000000003</v>
          </cell>
          <cell r="E415" t="str">
            <v>W-FOPL-YW82NXX-T3AD-06-9S0A</v>
          </cell>
          <cell r="F415">
            <v>6.0011999999999999</v>
          </cell>
        </row>
        <row r="416">
          <cell r="B416" t="str">
            <v>AMWA-SA65XXX-B1C3</v>
          </cell>
          <cell r="C416" t="str">
            <v>W-FOPL-YU67PXX-L65D-02-9S0A</v>
          </cell>
          <cell r="D416">
            <v>15</v>
          </cell>
          <cell r="E416" t="str">
            <v>W-FOPL-YU76NXX-T3AD-02-9S0A</v>
          </cell>
          <cell r="F416">
            <v>18</v>
          </cell>
        </row>
        <row r="417">
          <cell r="B417" t="str">
            <v>AMWA-SA7XXXX-A7C2</v>
          </cell>
          <cell r="C417" t="str">
            <v>W-FOPL-YW75PXX-L65D-06-9S0A</v>
          </cell>
          <cell r="D417">
            <v>3.0005999999999999</v>
          </cell>
          <cell r="E417" t="str">
            <v>W-FOPL-YW82NXX-T3AD-06-9S0A</v>
          </cell>
          <cell r="F417">
            <v>4.0007999999999999</v>
          </cell>
        </row>
        <row r="418">
          <cell r="B418" t="str">
            <v>AMWA-SA9XXXX-A9C2</v>
          </cell>
          <cell r="C418" t="str">
            <v>W-FOPL-YW75PXX-L65D-06-9S0A</v>
          </cell>
          <cell r="D418">
            <v>3.0005999999999999</v>
          </cell>
          <cell r="E418" t="str">
            <v>W-FOPL-YW82NXX-T3AD-06-9S0A</v>
          </cell>
          <cell r="F418">
            <v>4.0007999999999999</v>
          </cell>
        </row>
        <row r="419">
          <cell r="B419" t="str">
            <v>AMWF-SG100CT-B3C3</v>
          </cell>
          <cell r="C419" t="str">
            <v>W-FOPL-YC62PXX-L65D-02-9S0A</v>
          </cell>
          <cell r="D419">
            <v>18</v>
          </cell>
          <cell r="E419" t="str">
            <v>W-FOPL-YC70NXX-T3AD-02-9S0A</v>
          </cell>
          <cell r="F419">
            <v>21</v>
          </cell>
        </row>
        <row r="420">
          <cell r="B420" t="str">
            <v>AMWF-SG100XX-B1C3</v>
          </cell>
          <cell r="C420" t="str">
            <v>W-FOPL-YS67PXX-L65D-01-9S0A</v>
          </cell>
          <cell r="D420">
            <v>30</v>
          </cell>
          <cell r="E420" t="str">
            <v>W-FOPL-YS76NXX-T3AD-01-9S0A</v>
          </cell>
          <cell r="F420">
            <v>36</v>
          </cell>
        </row>
        <row r="421">
          <cell r="B421" t="str">
            <v>AMWF-SG200XX-C3C3</v>
          </cell>
          <cell r="C421" t="str">
            <v>W-FOPL-YS67PXX-L65D-01-9S0A</v>
          </cell>
          <cell r="D421">
            <v>66</v>
          </cell>
          <cell r="E421" t="str">
            <v>W-FOPL-YS76NXX-T3AD-01-9S0A</v>
          </cell>
          <cell r="F421">
            <v>72</v>
          </cell>
        </row>
        <row r="422">
          <cell r="B422" t="str">
            <v>AMWF-SG45XXX-A7C3</v>
          </cell>
          <cell r="C422" t="str">
            <v>W-FOPL-YU67PXX-L65D-02-9S0A</v>
          </cell>
          <cell r="D422">
            <v>9</v>
          </cell>
          <cell r="E422" t="str">
            <v>W-FOPL-YU76NXX-T3AD-02-9S0A</v>
          </cell>
          <cell r="F422">
            <v>12</v>
          </cell>
        </row>
        <row r="423">
          <cell r="B423" t="str">
            <v>AMWF-SG65XXX-B1C3</v>
          </cell>
          <cell r="C423" t="str">
            <v>W-FOPL-YU67PXX-L65D-02-9S0A</v>
          </cell>
          <cell r="D423">
            <v>15</v>
          </cell>
          <cell r="E423" t="str">
            <v>W-FOPL-YU76NXX-T3AD-02-9S0A</v>
          </cell>
          <cell r="F423">
            <v>18</v>
          </cell>
        </row>
        <row r="424">
          <cell r="B424" t="str">
            <v>AMWP-100D31L-B4P3</v>
          </cell>
          <cell r="C424" t="str">
            <v>W-UNPL-WG83PXX-L65F-00-7C00</v>
          </cell>
          <cell r="D424">
            <v>21</v>
          </cell>
          <cell r="E424" t="str">
            <v>W-UNPL-WG87NXX-T3AF-00-7C00</v>
          </cell>
          <cell r="F424">
            <v>21</v>
          </cell>
        </row>
        <row r="425">
          <cell r="B425" t="str">
            <v>AMWP-100D31R-B4P3</v>
          </cell>
          <cell r="C425" t="str">
            <v>W-UNPL-WG83PXX-L65F-00-7C00</v>
          </cell>
          <cell r="D425">
            <v>21</v>
          </cell>
          <cell r="E425" t="str">
            <v>W-UNPL-WG87NXX-T3AF-00-7C00</v>
          </cell>
          <cell r="F425">
            <v>21</v>
          </cell>
        </row>
        <row r="426">
          <cell r="B426" t="str">
            <v>AMWP-105D31L-B6P3</v>
          </cell>
          <cell r="C426" t="str">
            <v>W-UNPL-WG83PXX-L65F-00-7C00</v>
          </cell>
          <cell r="D426">
            <v>24</v>
          </cell>
          <cell r="E426" t="str">
            <v>W-UNPL-WG87NXX-T3AF-00-7C00</v>
          </cell>
          <cell r="F426">
            <v>24</v>
          </cell>
        </row>
        <row r="427">
          <cell r="B427" t="str">
            <v>AMWP-105D31R-B6P3</v>
          </cell>
          <cell r="C427" t="str">
            <v>W-UNPL-WG83PXX-L65F-00-7C00</v>
          </cell>
          <cell r="D427">
            <v>24</v>
          </cell>
          <cell r="E427" t="str">
            <v>W-UNPL-WG87NXX-T3AF-00-7C00</v>
          </cell>
          <cell r="F427">
            <v>24</v>
          </cell>
        </row>
        <row r="428">
          <cell r="B428" t="str">
            <v>AMWP-110D31L-B6P3</v>
          </cell>
          <cell r="C428" t="str">
            <v>W-UNPL-WG83PXX-L65F-00-7C00</v>
          </cell>
          <cell r="D428">
            <v>24</v>
          </cell>
          <cell r="E428" t="str">
            <v>W-UNPL-WG87NXX-T3AF-00-7C00</v>
          </cell>
          <cell r="F428">
            <v>24</v>
          </cell>
        </row>
        <row r="429">
          <cell r="B429" t="str">
            <v>AMWP-110D31R-B6P3</v>
          </cell>
          <cell r="C429" t="str">
            <v>W-UNPL-WG83PXX-L65F-00-7C00</v>
          </cell>
          <cell r="D429">
            <v>24</v>
          </cell>
          <cell r="E429" t="str">
            <v>W-UNPL-WG87NXX-T3AF-00-7C00</v>
          </cell>
          <cell r="F429">
            <v>24</v>
          </cell>
        </row>
        <row r="430">
          <cell r="B430" t="str">
            <v>AMWP-115D31L-B8P3</v>
          </cell>
          <cell r="C430" t="str">
            <v>W-UNPL-WG83PXX-L65F-00-7C00</v>
          </cell>
          <cell r="D430">
            <v>27</v>
          </cell>
          <cell r="E430" t="str">
            <v>W-UNPL-WG87NXX-T3AF-00-7C00</v>
          </cell>
          <cell r="F430">
            <v>27</v>
          </cell>
        </row>
        <row r="431">
          <cell r="B431" t="str">
            <v>AMWP-115D31R-B8P3</v>
          </cell>
          <cell r="C431" t="str">
            <v>W-UNPL-WG83PXX-L65F-00-7C00</v>
          </cell>
          <cell r="D431">
            <v>27</v>
          </cell>
          <cell r="E431" t="str">
            <v>W-UNPL-WG87NXX-T3AF-00-7C00</v>
          </cell>
          <cell r="F431">
            <v>27</v>
          </cell>
        </row>
        <row r="432">
          <cell r="B432" t="str">
            <v>AMWP-115E41L-B7C3</v>
          </cell>
          <cell r="C432" t="str">
            <v>W-UNPL-YG8079P-L650-02-7S00</v>
          </cell>
          <cell r="D432">
            <v>24</v>
          </cell>
          <cell r="E432" t="str">
            <v>W-UNPL-YG85NXX-T3A0-02-7S00</v>
          </cell>
          <cell r="F432">
            <v>27</v>
          </cell>
        </row>
        <row r="433">
          <cell r="B433" t="str">
            <v>AMWP-115E41R-B7C3</v>
          </cell>
          <cell r="C433" t="str">
            <v>W-UNPL-YG8079P-L650-02-7S00</v>
          </cell>
          <cell r="D433">
            <v>24</v>
          </cell>
          <cell r="E433" t="str">
            <v>W-UNPL-YG85NXX-T3A0-02-7S00</v>
          </cell>
          <cell r="F433">
            <v>27</v>
          </cell>
        </row>
        <row r="434">
          <cell r="B434" t="str">
            <v>AMWP-115E41R-C1C1</v>
          </cell>
          <cell r="C434" t="str">
            <v>W-UNPL-YG79HDP-L650-02-7S00</v>
          </cell>
          <cell r="D434">
            <v>30</v>
          </cell>
          <cell r="E434" t="str">
            <v>W-UNPL-YG85NXX-T3A0-02-7S00</v>
          </cell>
          <cell r="F434">
            <v>33</v>
          </cell>
        </row>
        <row r="435">
          <cell r="B435" t="str">
            <v>AMWP-115F51X-B9C4</v>
          </cell>
          <cell r="C435" t="str">
            <v>W-UNPL-YG8079P-L650-02-7S00</v>
          </cell>
          <cell r="D435">
            <v>27</v>
          </cell>
          <cell r="E435" t="str">
            <v>W-UNPL-YG85NXX-T3A0-02-7S00</v>
          </cell>
          <cell r="F435">
            <v>30</v>
          </cell>
        </row>
        <row r="436">
          <cell r="B436" t="str">
            <v>AMWP-115F51X-C1C3</v>
          </cell>
          <cell r="C436" t="str">
            <v>W-UNPL-YG8079P-L650-02-7S00</v>
          </cell>
          <cell r="D436">
            <v>30</v>
          </cell>
          <cell r="E436" t="str">
            <v>W-UNPL-YG85NXX-T3A0-02-7S00</v>
          </cell>
          <cell r="F436">
            <v>33</v>
          </cell>
        </row>
        <row r="437">
          <cell r="B437" t="str">
            <v>AMWP-115F51X-C5C1</v>
          </cell>
          <cell r="C437" t="str">
            <v>W-UNPL-YG79HDP-L650-02-7S00</v>
          </cell>
          <cell r="D437">
            <v>36</v>
          </cell>
          <cell r="E437" t="str">
            <v>W-UNPL-YG85NXX-T3A0-02-7S00</v>
          </cell>
          <cell r="F437">
            <v>39</v>
          </cell>
        </row>
        <row r="438">
          <cell r="B438" t="str">
            <v>AMWP-125D31L-B8P3</v>
          </cell>
          <cell r="C438" t="str">
            <v>W-UNPL-WG83PXX-L65F-00-7C00</v>
          </cell>
          <cell r="D438">
            <v>27</v>
          </cell>
          <cell r="E438" t="str">
            <v>W-UNPL-WG87NXX-T3AF-00-7C00</v>
          </cell>
          <cell r="F438">
            <v>27</v>
          </cell>
        </row>
        <row r="439">
          <cell r="B439" t="str">
            <v>AMWP-125D31R-B8P3</v>
          </cell>
          <cell r="C439" t="str">
            <v>W-UNPL-WG83PXX-L65F-00-7C00</v>
          </cell>
          <cell r="D439">
            <v>27</v>
          </cell>
          <cell r="E439" t="str">
            <v>W-UNPL-WG87NXX-T3AF-00-7C00</v>
          </cell>
          <cell r="F439">
            <v>27</v>
          </cell>
        </row>
        <row r="440">
          <cell r="B440" t="str">
            <v>AMWP-135F51X-C1C3</v>
          </cell>
          <cell r="C440" t="str">
            <v>W-UNPL-YG8079P-L650-02-7S00</v>
          </cell>
          <cell r="D440">
            <v>30</v>
          </cell>
          <cell r="E440" t="str">
            <v>W-UNPL-YG85NXX-T3A0-02-7S00</v>
          </cell>
          <cell r="F440">
            <v>33</v>
          </cell>
        </row>
        <row r="441">
          <cell r="B441" t="str">
            <v>AMWP-135F51X-C5C1</v>
          </cell>
          <cell r="C441" t="str">
            <v>W-UNPL-YG79HDP-L650-02-7S00</v>
          </cell>
          <cell r="D441">
            <v>36</v>
          </cell>
          <cell r="E441" t="str">
            <v>W-UNPL-YG85NXX-T3A0-02-7S00</v>
          </cell>
          <cell r="F441">
            <v>39</v>
          </cell>
        </row>
        <row r="442">
          <cell r="B442" t="str">
            <v>AMWP-145F51X-C5C1</v>
          </cell>
          <cell r="C442" t="str">
            <v>W-UNPL-YG79HDP-L650-02-7S00</v>
          </cell>
          <cell r="D442">
            <v>36</v>
          </cell>
          <cell r="E442" t="str">
            <v>W-UNPL-YG85NXX-T3A0-02-7S00</v>
          </cell>
          <cell r="F442">
            <v>39</v>
          </cell>
        </row>
        <row r="443">
          <cell r="B443" t="str">
            <v>AMWP-145G51X-C5C4</v>
          </cell>
          <cell r="C443" t="str">
            <v>W-UNPL-YG82PXX-L650-02-7S00</v>
          </cell>
          <cell r="D443">
            <v>39</v>
          </cell>
          <cell r="E443" t="str">
            <v>W-UNPL-YG85NXX-T3A0-02-7S00</v>
          </cell>
          <cell r="F443">
            <v>36</v>
          </cell>
        </row>
        <row r="444">
          <cell r="B444" t="str">
            <v>AMWP-145G51X-C7C3</v>
          </cell>
          <cell r="C444" t="str">
            <v>W-UNPL-YG82PXX-L650-02-7S00</v>
          </cell>
          <cell r="D444">
            <v>42</v>
          </cell>
          <cell r="E444" t="str">
            <v>W-UNPL-YG85NXX-T3A0-02-7S00</v>
          </cell>
          <cell r="F444">
            <v>39</v>
          </cell>
        </row>
        <row r="445">
          <cell r="B445" t="str">
            <v>AMWP-145G51X-D1C1</v>
          </cell>
          <cell r="C445" t="str">
            <v>W-UNPL-YG79HDP-L650-02-7S00</v>
          </cell>
          <cell r="D445">
            <v>45</v>
          </cell>
          <cell r="E445" t="str">
            <v>W-UNPL-YG85NXX-T3A0-02-7S00</v>
          </cell>
          <cell r="F445">
            <v>48</v>
          </cell>
        </row>
        <row r="446">
          <cell r="B446" t="str">
            <v>AMWP-170G51X-C7C3</v>
          </cell>
          <cell r="C446" t="str">
            <v>W-UNPL-YG82PXX-L650-02-7S00</v>
          </cell>
          <cell r="D446">
            <v>42</v>
          </cell>
          <cell r="E446" t="str">
            <v>W-UNPL-YG85NXX-T3A0-02-7S00</v>
          </cell>
          <cell r="F446">
            <v>39</v>
          </cell>
        </row>
        <row r="447">
          <cell r="B447" t="str">
            <v>AMWP-180G51X-D1C1</v>
          </cell>
          <cell r="C447" t="str">
            <v>W-UNPL-YG79HDP-L650-02-7S00</v>
          </cell>
          <cell r="D447">
            <v>45</v>
          </cell>
          <cell r="E447" t="str">
            <v>W-UNPL-YG85NXX-T3A0-02-7S00</v>
          </cell>
          <cell r="F447">
            <v>48</v>
          </cell>
        </row>
        <row r="448">
          <cell r="B448" t="str">
            <v>AMWP-190H52X-D4P3</v>
          </cell>
          <cell r="C448" t="str">
            <v>W-UNPL-WG83PXX-L65F-00-7C00</v>
          </cell>
          <cell r="D448">
            <v>51</v>
          </cell>
          <cell r="E448" t="str">
            <v>W-UNPL-WG87NXX-T3AF-00-7C00</v>
          </cell>
          <cell r="F448">
            <v>51</v>
          </cell>
        </row>
        <row r="449">
          <cell r="B449" t="str">
            <v>AMWP-190H52X-D7C3</v>
          </cell>
          <cell r="C449" t="str">
            <v>W-UNPL-YG82PXX-L650-02-7S00</v>
          </cell>
          <cell r="D449">
            <v>57</v>
          </cell>
          <cell r="E449" t="str">
            <v>W-UNPL-YG85NXX-T3A0-02-7S00</v>
          </cell>
          <cell r="F449">
            <v>54</v>
          </cell>
        </row>
        <row r="450">
          <cell r="B450" t="str">
            <v>AMWP-190H52X-E0C1</v>
          </cell>
          <cell r="C450" t="str">
            <v>W-UNPL-YG79HDP-L650-02-7S00</v>
          </cell>
          <cell r="D450">
            <v>60</v>
          </cell>
          <cell r="E450" t="str">
            <v>W-UNPL-YG85NXX-T3A0-02-7S00</v>
          </cell>
          <cell r="F450">
            <v>60</v>
          </cell>
        </row>
        <row r="451">
          <cell r="B451" t="str">
            <v>AMWP-210H52X-D4P3</v>
          </cell>
          <cell r="C451" t="str">
            <v>W-UNPL-WG83PXX-L65F-00-7C00</v>
          </cell>
          <cell r="D451">
            <v>51</v>
          </cell>
          <cell r="E451" t="str">
            <v>W-UNPL-WG87NXX-T3AF-00-7C00</v>
          </cell>
          <cell r="F451">
            <v>51</v>
          </cell>
        </row>
        <row r="452">
          <cell r="B452" t="str">
            <v>AMWP-210H52X-D7C3</v>
          </cell>
          <cell r="C452" t="str">
            <v>W-UNPL-YG82PXX-L650-02-7S00</v>
          </cell>
          <cell r="D452">
            <v>57</v>
          </cell>
          <cell r="E452" t="str">
            <v>W-UNPL-YG85NXX-T3A0-02-7S00</v>
          </cell>
          <cell r="F452">
            <v>54</v>
          </cell>
        </row>
        <row r="453">
          <cell r="B453" t="str">
            <v>AMWP-210H52X-E0C1</v>
          </cell>
          <cell r="C453" t="str">
            <v>W-UNPL-YG79HDP-L650-02-7S00</v>
          </cell>
          <cell r="D453">
            <v>60</v>
          </cell>
          <cell r="E453" t="str">
            <v>W-UNPL-YG85NXX-T3A0-02-7S00</v>
          </cell>
          <cell r="F453">
            <v>60</v>
          </cell>
        </row>
        <row r="454">
          <cell r="B454" t="str">
            <v>AMWP-26A19LX-A9C3</v>
          </cell>
          <cell r="C454" t="str">
            <v>W-UNPL-YL80PXX-L650-02-7S00</v>
          </cell>
          <cell r="D454">
            <v>12</v>
          </cell>
          <cell r="E454" t="str">
            <v>W-UNPL-YL84NXX-T3A0-02-7S00</v>
          </cell>
          <cell r="F454">
            <v>15</v>
          </cell>
        </row>
        <row r="455">
          <cell r="B455" t="str">
            <v>AMWP-26A19RX-A9C3</v>
          </cell>
          <cell r="C455" t="str">
            <v>W-UNPL-YL80PXX-L650-02-7S00</v>
          </cell>
          <cell r="D455">
            <v>12</v>
          </cell>
          <cell r="E455" t="str">
            <v>W-UNPL-YL84NXX-T3A0-02-7S00</v>
          </cell>
          <cell r="F455">
            <v>15</v>
          </cell>
        </row>
        <row r="456">
          <cell r="B456" t="str">
            <v>AMWP-32B20LX-A7P4</v>
          </cell>
          <cell r="C456" t="str">
            <v>W-UNPL-WM84PXX-L65F-00-7S00</v>
          </cell>
          <cell r="D456">
            <v>12</v>
          </cell>
          <cell r="E456" t="str">
            <v>W-UNPL-WM85NXX-T3AF-00-7S00</v>
          </cell>
          <cell r="F456">
            <v>9</v>
          </cell>
        </row>
        <row r="457">
          <cell r="B457" t="str">
            <v>AMWP-32B20LX-A9C3</v>
          </cell>
          <cell r="C457" t="str">
            <v>W-UNPL-YM84PXX-L650-02-7S00</v>
          </cell>
          <cell r="D457">
            <v>15</v>
          </cell>
          <cell r="E457" t="str">
            <v>W-UNPL-YM84NXX-T3A0-02-7S00</v>
          </cell>
          <cell r="F457">
            <v>12</v>
          </cell>
        </row>
        <row r="458">
          <cell r="B458" t="str">
            <v>AMWP-32B20LX-A9P3</v>
          </cell>
          <cell r="C458" t="str">
            <v>W-UNPL-WM84PXX-L65F-00-7S00</v>
          </cell>
          <cell r="D458">
            <v>15</v>
          </cell>
          <cell r="E458" t="str">
            <v>W-UNPL-WM85NXX-T3AF-00-7S00</v>
          </cell>
          <cell r="F458">
            <v>12</v>
          </cell>
        </row>
        <row r="459">
          <cell r="B459" t="str">
            <v>AMWP-32B20RX-A7P4</v>
          </cell>
          <cell r="C459" t="str">
            <v>W-UNPL-WM84PXX-L65F-00-7S00</v>
          </cell>
          <cell r="D459">
            <v>12</v>
          </cell>
          <cell r="E459" t="str">
            <v>W-UNPL-WM85NXX-T3AF-00-7S00</v>
          </cell>
          <cell r="F459">
            <v>9</v>
          </cell>
        </row>
        <row r="460">
          <cell r="B460" t="str">
            <v>AMWP-32B20RX-A9C3</v>
          </cell>
          <cell r="C460" t="str">
            <v>W-UNPL-YM84PXX-L650-02-7S00</v>
          </cell>
          <cell r="D460">
            <v>15</v>
          </cell>
          <cell r="E460" t="str">
            <v>W-UNPL-YM84NXX-T3A0-02-7S00</v>
          </cell>
          <cell r="F460">
            <v>12</v>
          </cell>
        </row>
        <row r="461">
          <cell r="B461" t="str">
            <v>AMWP-32B20RX-A9P3</v>
          </cell>
          <cell r="C461" t="str">
            <v>W-UNPL-WM84PXX-L65F-00-7S00</v>
          </cell>
          <cell r="D461">
            <v>15</v>
          </cell>
          <cell r="E461" t="str">
            <v>W-UNPL-WM85NXX-T3AF-00-7S00</v>
          </cell>
          <cell r="F461">
            <v>12</v>
          </cell>
        </row>
        <row r="462">
          <cell r="B462" t="str">
            <v>AMWP-32C24LX-A9P4</v>
          </cell>
          <cell r="C462" t="str">
            <v>W-UNPL-WM84PXX-L65F-00-7S00</v>
          </cell>
          <cell r="D462">
            <v>15</v>
          </cell>
          <cell r="E462" t="str">
            <v>W-UNPL-WM85NXX-T3AF-00-7S00</v>
          </cell>
          <cell r="F462">
            <v>12</v>
          </cell>
        </row>
        <row r="463">
          <cell r="B463" t="str">
            <v>AMWP-32C24LX-B0P3</v>
          </cell>
          <cell r="C463" t="str">
            <v>W-UNPL-WM84PXX-L65F-00-7S00</v>
          </cell>
          <cell r="D463">
            <v>15</v>
          </cell>
          <cell r="E463" t="str">
            <v>W-UNPL-WM85NXX-T3AF-00-7S00</v>
          </cell>
          <cell r="F463">
            <v>15</v>
          </cell>
        </row>
        <row r="464">
          <cell r="B464" t="str">
            <v>AMWP-32C24RX-A9P4</v>
          </cell>
          <cell r="C464" t="str">
            <v>W-UNPL-WM84PXX-L65F-00-7S00</v>
          </cell>
          <cell r="D464">
            <v>15</v>
          </cell>
          <cell r="E464" t="str">
            <v>W-UNPL-WM85NXX-T3AF-00-7S00</v>
          </cell>
          <cell r="F464">
            <v>12</v>
          </cell>
        </row>
        <row r="465">
          <cell r="B465" t="str">
            <v>AMWP-32C24RX-B0P3</v>
          </cell>
          <cell r="C465" t="str">
            <v>W-UNPL-WM84PXX-L65F-00-7S00</v>
          </cell>
          <cell r="D465">
            <v>15</v>
          </cell>
          <cell r="E465" t="str">
            <v>W-UNPL-WM85NXX-T3AF-00-7S00</v>
          </cell>
          <cell r="F465">
            <v>15</v>
          </cell>
        </row>
        <row r="466">
          <cell r="B466" t="str">
            <v>AMWP-36B20LS-B0P3</v>
          </cell>
          <cell r="C466" t="str">
            <v>W-UNPL-WM84PXX-L65F-00-7S00</v>
          </cell>
          <cell r="D466">
            <v>15</v>
          </cell>
          <cell r="E466" t="str">
            <v>W-UNPL-WM85NXX-T3AF-00-7S00</v>
          </cell>
          <cell r="F466">
            <v>15</v>
          </cell>
        </row>
        <row r="467">
          <cell r="B467" t="str">
            <v>AMWP-36B20LX-A7P5</v>
          </cell>
          <cell r="C467" t="str">
            <v>W-UNPL-WM84PXX-L65F-00-7S00</v>
          </cell>
          <cell r="D467">
            <v>12</v>
          </cell>
          <cell r="E467" t="str">
            <v>W-UNPL-WM85NXX-T3AF-00-7S00</v>
          </cell>
          <cell r="F467">
            <v>9</v>
          </cell>
        </row>
        <row r="468">
          <cell r="B468" t="str">
            <v>AMWP-36B20LX-A8P4</v>
          </cell>
          <cell r="C468" t="str">
            <v>W-UNPL-WM84PXX-L65F-00-7S00</v>
          </cell>
          <cell r="D468">
            <v>12</v>
          </cell>
          <cell r="E468" t="str">
            <v>W-UNPL-WM85NXX-T3AF-00-7S00</v>
          </cell>
          <cell r="F468">
            <v>12</v>
          </cell>
        </row>
        <row r="469">
          <cell r="B469" t="str">
            <v>AMWP-36B20LX-B0P2</v>
          </cell>
          <cell r="C469" t="str">
            <v>W-UNPL-WM84PXX-L65F-00-7S00</v>
          </cell>
          <cell r="D469">
            <v>15</v>
          </cell>
          <cell r="E469" t="str">
            <v>W-UNPL-WM85NXX-T3AF-00-7S00</v>
          </cell>
          <cell r="F469">
            <v>15</v>
          </cell>
        </row>
        <row r="470">
          <cell r="B470" t="str">
            <v>AMWP-36B20LX-B0P3</v>
          </cell>
          <cell r="C470" t="str">
            <v>W-UNPL-WM84PXX-L65F-00-7S00</v>
          </cell>
          <cell r="D470">
            <v>15</v>
          </cell>
          <cell r="E470" t="str">
            <v>W-UNPL-WM85NXX-T3AF-00-7S00</v>
          </cell>
          <cell r="F470">
            <v>15</v>
          </cell>
        </row>
        <row r="471">
          <cell r="B471" t="str">
            <v>AMWP-36B20LX-B1C3</v>
          </cell>
          <cell r="C471" t="str">
            <v>W-UNPL-YM84PXX-L650-02-7S00</v>
          </cell>
          <cell r="D471">
            <v>15</v>
          </cell>
          <cell r="E471" t="str">
            <v>W-UNPL-YM84NXX-T3A0-02-7S00</v>
          </cell>
          <cell r="F471">
            <v>18</v>
          </cell>
        </row>
        <row r="472">
          <cell r="B472" t="str">
            <v>AMWP-36B20RS-A8P4</v>
          </cell>
          <cell r="C472" t="str">
            <v>W-UNPL-WM84PXX-L65F-00-7S00</v>
          </cell>
          <cell r="D472">
            <v>12</v>
          </cell>
          <cell r="E472" t="str">
            <v>W-UNPL-WM85NXX-T3AF-00-7S00</v>
          </cell>
          <cell r="F472">
            <v>12</v>
          </cell>
        </row>
        <row r="473">
          <cell r="B473" t="str">
            <v>AMWP-36B20RX-A7P5</v>
          </cell>
          <cell r="C473" t="str">
            <v>W-UNPL-WM84PXX-L65F-00-7S00</v>
          </cell>
          <cell r="D473">
            <v>12</v>
          </cell>
          <cell r="E473" t="str">
            <v>W-UNPL-WM85NXX-T3AF-00-7S00</v>
          </cell>
          <cell r="F473">
            <v>9</v>
          </cell>
        </row>
        <row r="474">
          <cell r="B474" t="str">
            <v>AMWP-36B20RX-A8P4</v>
          </cell>
          <cell r="C474" t="str">
            <v>W-UNPL-WM84PXX-L65F-00-7S00</v>
          </cell>
          <cell r="D474">
            <v>12</v>
          </cell>
          <cell r="E474" t="str">
            <v>W-UNPL-WM85NXX-T3AF-00-7S00</v>
          </cell>
          <cell r="F474">
            <v>12</v>
          </cell>
        </row>
        <row r="475">
          <cell r="B475" t="str">
            <v>AMWP-36B20RX-B0P3</v>
          </cell>
          <cell r="C475" t="str">
            <v>W-UNPL-WM84PXX-L65F-00-7S00</v>
          </cell>
          <cell r="D475">
            <v>15</v>
          </cell>
          <cell r="E475" t="str">
            <v>W-UNPL-WM85NXX-T3AF-00-7S00</v>
          </cell>
          <cell r="F475">
            <v>15</v>
          </cell>
        </row>
        <row r="476">
          <cell r="B476" t="str">
            <v>AMWP-36B20RX-B1C3</v>
          </cell>
          <cell r="C476" t="str">
            <v>W-UNPL-YM84PXX-L650-02-7S00</v>
          </cell>
          <cell r="D476">
            <v>15</v>
          </cell>
          <cell r="E476" t="str">
            <v>W-UNPL-YM84NXX-T3A0-02-7S00</v>
          </cell>
          <cell r="F476">
            <v>18</v>
          </cell>
        </row>
        <row r="477">
          <cell r="B477" t="str">
            <v>AMWP-40B20LS-A9P3</v>
          </cell>
          <cell r="C477" t="str">
            <v>W-UNPL-WM84PXX-L65F-00-7S00</v>
          </cell>
          <cell r="D477">
            <v>15</v>
          </cell>
          <cell r="E477" t="str">
            <v>W-UNPL-WM85NXX-T3AF-00-7S00</v>
          </cell>
          <cell r="F477">
            <v>12</v>
          </cell>
        </row>
        <row r="478">
          <cell r="B478" t="str">
            <v>AMWP-40B20LX-A9C3</v>
          </cell>
          <cell r="C478" t="str">
            <v>W-UNPL-YM84PXX-L650-02-7S00</v>
          </cell>
          <cell r="D478">
            <v>15</v>
          </cell>
          <cell r="E478" t="str">
            <v>W-UNPL-YM84NXX-T3A0-02-7S00</v>
          </cell>
          <cell r="F478">
            <v>12</v>
          </cell>
        </row>
        <row r="479">
          <cell r="B479" t="str">
            <v>AMWP-40B20LX-A9P2</v>
          </cell>
          <cell r="C479" t="str">
            <v>W-UNPL-WM84PXX-L65F-00-7S00</v>
          </cell>
          <cell r="D479">
            <v>15</v>
          </cell>
          <cell r="E479" t="str">
            <v>W-UNPL-WM85NXX-T3AF-00-7S00</v>
          </cell>
          <cell r="F479">
            <v>12</v>
          </cell>
        </row>
        <row r="480">
          <cell r="B480" t="str">
            <v>AMWP-40B20LX-A9P3</v>
          </cell>
          <cell r="C480" t="str">
            <v>W-UNPL-WM84PXX-L65F-00-7S00</v>
          </cell>
          <cell r="D480">
            <v>15</v>
          </cell>
          <cell r="E480" t="str">
            <v>W-UNPL-WM85NXX-T3AF-00-7S00</v>
          </cell>
          <cell r="F480">
            <v>12</v>
          </cell>
        </row>
        <row r="481">
          <cell r="B481" t="str">
            <v>AMWP-40B20RS-A9P3</v>
          </cell>
          <cell r="C481" t="str">
            <v>W-UNPL-WM84PXX-L65F-00-7S00</v>
          </cell>
          <cell r="D481">
            <v>15</v>
          </cell>
          <cell r="E481" t="str">
            <v>W-UNPL-WM85NXX-T3AF-00-7S00</v>
          </cell>
          <cell r="F481">
            <v>12</v>
          </cell>
        </row>
        <row r="482">
          <cell r="B482" t="str">
            <v>AMWP-40B20RX-A9C3</v>
          </cell>
          <cell r="C482" t="str">
            <v>W-UNPL-YM84PXX-L650-02-7S00</v>
          </cell>
          <cell r="D482">
            <v>15</v>
          </cell>
          <cell r="E482" t="str">
            <v>W-UNPL-YM84NXX-T3A0-02-7S00</v>
          </cell>
          <cell r="F482">
            <v>12</v>
          </cell>
        </row>
        <row r="483">
          <cell r="B483" t="str">
            <v>AMWP-40B20RX-A9P2</v>
          </cell>
          <cell r="C483" t="str">
            <v>W-UNPL-WM84PXX-L65F-00-7S00</v>
          </cell>
          <cell r="D483">
            <v>15</v>
          </cell>
          <cell r="E483" t="str">
            <v>W-UNPL-WM85NXX-T3AF-00-7S00</v>
          </cell>
          <cell r="F483">
            <v>12</v>
          </cell>
        </row>
        <row r="484">
          <cell r="B484" t="str">
            <v>AMWP-40B20RX-A9P3</v>
          </cell>
          <cell r="C484" t="str">
            <v>W-UNPL-WM84PXX-L65F-00-7S00</v>
          </cell>
          <cell r="D484">
            <v>15</v>
          </cell>
          <cell r="E484" t="str">
            <v>W-UNPL-WM85NXX-T3AF-00-7S00</v>
          </cell>
          <cell r="F484">
            <v>12</v>
          </cell>
        </row>
        <row r="485">
          <cell r="B485" t="str">
            <v>AMWP-45B20LS-B0P3</v>
          </cell>
          <cell r="C485" t="str">
            <v>W-UNPL-WM84PXX-L65F-00-7S00</v>
          </cell>
          <cell r="D485">
            <v>15</v>
          </cell>
          <cell r="E485" t="str">
            <v>W-UNPL-WM85NXX-T3AF-00-7S00</v>
          </cell>
          <cell r="F485">
            <v>15</v>
          </cell>
        </row>
        <row r="486">
          <cell r="B486" t="str">
            <v>AMWP-45B20LX-B0P2</v>
          </cell>
          <cell r="C486" t="str">
            <v>W-UNPL-WM84PXX-L65F-00-7S00</v>
          </cell>
          <cell r="D486">
            <v>15</v>
          </cell>
          <cell r="E486" t="str">
            <v>W-UNPL-WM85NXX-T3AF-00-7S00</v>
          </cell>
          <cell r="F486">
            <v>15</v>
          </cell>
        </row>
        <row r="487">
          <cell r="B487" t="str">
            <v>AMWP-45B20LX-B0P3</v>
          </cell>
          <cell r="C487" t="str">
            <v>W-UNPL-WM84PXX-L65F-00-7S00</v>
          </cell>
          <cell r="D487">
            <v>15</v>
          </cell>
          <cell r="E487" t="str">
            <v>W-UNPL-WM85NXX-T3AF-00-7S00</v>
          </cell>
          <cell r="F487">
            <v>15</v>
          </cell>
        </row>
        <row r="488">
          <cell r="B488" t="str">
            <v>AMWP-45B20RS-B0P3</v>
          </cell>
          <cell r="C488" t="str">
            <v>W-UNPL-WM84PXX-L65F-00-7S00</v>
          </cell>
          <cell r="D488">
            <v>15</v>
          </cell>
          <cell r="E488" t="str">
            <v>W-UNPL-WM85NXX-T3AF-00-7S00</v>
          </cell>
          <cell r="F488">
            <v>15</v>
          </cell>
        </row>
        <row r="489">
          <cell r="B489" t="str">
            <v>AMWP-45B20RX-B0P3</v>
          </cell>
          <cell r="C489" t="str">
            <v>W-UNPL-WM84PXX-L65F-00-7S00</v>
          </cell>
          <cell r="D489">
            <v>15</v>
          </cell>
          <cell r="E489" t="str">
            <v>W-UNPL-WM85NXX-T3AF-00-7S00</v>
          </cell>
          <cell r="F489">
            <v>15</v>
          </cell>
        </row>
        <row r="490">
          <cell r="B490" t="str">
            <v>AMWP-45C24LX-B0P2</v>
          </cell>
          <cell r="C490" t="str">
            <v>W-UNPL-WM84PXX-L65F-00-7S00</v>
          </cell>
          <cell r="D490">
            <v>15</v>
          </cell>
          <cell r="E490" t="str">
            <v>W-UNPL-WM85NXX-T3AF-00-7S00</v>
          </cell>
          <cell r="F490">
            <v>15</v>
          </cell>
        </row>
        <row r="491">
          <cell r="B491" t="str">
            <v>AMWP-45C24LX-B0P3</v>
          </cell>
          <cell r="C491" t="str">
            <v>W-UNPL-WM84PXX-L65F-00-7S00</v>
          </cell>
          <cell r="D491">
            <v>15</v>
          </cell>
          <cell r="E491" t="str">
            <v>W-UNPL-WM85NXX-T3AF-00-7S00</v>
          </cell>
          <cell r="F491">
            <v>15</v>
          </cell>
        </row>
        <row r="492">
          <cell r="B492" t="str">
            <v>AMWP-45C24RX-B0P2</v>
          </cell>
          <cell r="C492" t="str">
            <v>W-UNPL-WM84PXX-L65F-00-7S00</v>
          </cell>
          <cell r="D492">
            <v>15</v>
          </cell>
          <cell r="E492" t="str">
            <v>W-UNPL-WM85NXX-T3AF-00-7S00</v>
          </cell>
          <cell r="F492">
            <v>15</v>
          </cell>
        </row>
        <row r="493">
          <cell r="B493" t="str">
            <v>AMWP-45C24RX-B0P3</v>
          </cell>
          <cell r="C493" t="str">
            <v>W-UNPL-WM84PXX-L65F-00-7S00</v>
          </cell>
          <cell r="D493">
            <v>15</v>
          </cell>
          <cell r="E493" t="str">
            <v>W-UNPL-WM85NXX-T3AF-00-7S00</v>
          </cell>
          <cell r="F493">
            <v>15</v>
          </cell>
        </row>
        <row r="494">
          <cell r="B494" t="str">
            <v>AMWP-46B24LS-A9P5</v>
          </cell>
          <cell r="C494" t="str">
            <v>W-UNPL-WM84PXX-L65F-00-7S00</v>
          </cell>
          <cell r="D494">
            <v>15</v>
          </cell>
          <cell r="E494" t="str">
            <v>W-UNPL-WM85NXX-T3AF-00-7S00</v>
          </cell>
          <cell r="F494">
            <v>12</v>
          </cell>
        </row>
        <row r="495">
          <cell r="B495" t="str">
            <v>AMWP-46B24LS-B0P4</v>
          </cell>
          <cell r="C495" t="str">
            <v>W-UNPL-WM84PXX-L65F-00-7S00</v>
          </cell>
          <cell r="D495">
            <v>15</v>
          </cell>
          <cell r="E495" t="str">
            <v>W-UNPL-WM85NXX-T3AF-00-7S00</v>
          </cell>
          <cell r="F495">
            <v>15</v>
          </cell>
        </row>
        <row r="496">
          <cell r="B496" t="str">
            <v>AMWP-46B24LS-B1P3</v>
          </cell>
          <cell r="C496" t="str">
            <v>W-UNPL-WM84PXX-L65F-00-7S00</v>
          </cell>
          <cell r="D496">
            <v>18</v>
          </cell>
          <cell r="E496" t="str">
            <v>W-UNPL-WM85NXX-T3AF-00-7S00</v>
          </cell>
          <cell r="F496">
            <v>15</v>
          </cell>
        </row>
        <row r="497">
          <cell r="B497" t="str">
            <v>AMWP-46B24LX-B0P4</v>
          </cell>
          <cell r="C497" t="str">
            <v>W-UNPL-WM84PXX-L65F-00-7S00</v>
          </cell>
          <cell r="D497">
            <v>15</v>
          </cell>
          <cell r="E497" t="str">
            <v>W-UNPL-WM85NXX-T3AF-00-7S00</v>
          </cell>
          <cell r="F497">
            <v>15</v>
          </cell>
        </row>
        <row r="498">
          <cell r="B498" t="str">
            <v>AMWP-46B24LX-B1P3</v>
          </cell>
          <cell r="C498" t="str">
            <v>W-UNPL-WM84PXX-L65F-00-7S00</v>
          </cell>
          <cell r="D498">
            <v>18</v>
          </cell>
          <cell r="E498" t="str">
            <v>W-UNPL-WM85NXX-T3AF-00-7S00</v>
          </cell>
          <cell r="F498">
            <v>15</v>
          </cell>
        </row>
        <row r="499">
          <cell r="B499" t="str">
            <v>AMWP-46B24RS-A9P5</v>
          </cell>
          <cell r="C499" t="str">
            <v>W-UNPL-WM84PXX-L65F-00-7S00</v>
          </cell>
          <cell r="D499">
            <v>15</v>
          </cell>
          <cell r="E499" t="str">
            <v>W-UNPL-WM85NXX-T3AF-00-7S00</v>
          </cell>
          <cell r="F499">
            <v>12</v>
          </cell>
        </row>
        <row r="500">
          <cell r="B500" t="str">
            <v>AMWP-46B24RS-B0P4</v>
          </cell>
          <cell r="C500" t="str">
            <v>W-UNPL-WM84PXX-L65F-00-7S00</v>
          </cell>
          <cell r="D500">
            <v>15</v>
          </cell>
          <cell r="E500" t="str">
            <v>W-UNPL-WM85NXX-T3AF-00-7S00</v>
          </cell>
          <cell r="F500">
            <v>15</v>
          </cell>
        </row>
        <row r="501">
          <cell r="B501" t="str">
            <v>AMWP-46B24RS-B1P3</v>
          </cell>
          <cell r="C501" t="str">
            <v>W-UNPL-WM84PXX-L65F-00-7S00</v>
          </cell>
          <cell r="D501">
            <v>18</v>
          </cell>
          <cell r="E501" t="str">
            <v>W-UNPL-WM85NXX-T3AF-00-7S00</v>
          </cell>
          <cell r="F501">
            <v>15</v>
          </cell>
        </row>
        <row r="502">
          <cell r="B502" t="str">
            <v>AMWP-46B24RX-B0P4</v>
          </cell>
          <cell r="C502" t="str">
            <v>W-UNPL-WM84PXX-L65F-00-7S00</v>
          </cell>
          <cell r="D502">
            <v>15</v>
          </cell>
          <cell r="E502" t="str">
            <v>W-UNPL-WM85NXX-T3AF-00-7S00</v>
          </cell>
          <cell r="F502">
            <v>15</v>
          </cell>
        </row>
        <row r="503">
          <cell r="B503" t="str">
            <v>AMWP-46B24RX-B1P3</v>
          </cell>
          <cell r="C503" t="str">
            <v>W-UNPL-WM84PXX-L65F-00-7S00</v>
          </cell>
          <cell r="D503">
            <v>18</v>
          </cell>
          <cell r="E503" t="str">
            <v>W-UNPL-WM85NXX-T3AF-00-7S00</v>
          </cell>
          <cell r="F503">
            <v>15</v>
          </cell>
        </row>
        <row r="504">
          <cell r="B504" t="str">
            <v>AMWP-48D26LX-A8P3</v>
          </cell>
          <cell r="C504" t="str">
            <v>W-UNPL-WG83PXX-L65F-00-7C00</v>
          </cell>
          <cell r="D504">
            <v>12</v>
          </cell>
          <cell r="E504" t="str">
            <v>W-UNPL-WG87NXX-T3AF-00-7C00</v>
          </cell>
          <cell r="F504">
            <v>12</v>
          </cell>
        </row>
        <row r="505">
          <cell r="B505" t="str">
            <v>AMWP-48D26RX-A8P3</v>
          </cell>
          <cell r="C505" t="str">
            <v>W-UNPL-WG83PXX-L65F-00-7C00</v>
          </cell>
          <cell r="D505">
            <v>12</v>
          </cell>
          <cell r="E505" t="str">
            <v>W-UNPL-WG87NXX-T3AF-00-7C00</v>
          </cell>
          <cell r="F505">
            <v>12</v>
          </cell>
        </row>
        <row r="506">
          <cell r="B506" t="str">
            <v>AMWP-4D150RX-D1C3</v>
          </cell>
          <cell r="C506" t="str">
            <v>W-UNPL-YG79HDP-L650-02-7S00</v>
          </cell>
          <cell r="D506">
            <v>45</v>
          </cell>
          <cell r="E506" t="str">
            <v>W-UNPL-YG85NXX-T3A0-02-7S00</v>
          </cell>
          <cell r="F506">
            <v>48</v>
          </cell>
        </row>
        <row r="507">
          <cell r="B507" t="str">
            <v>AMWP-4D170LX-D7C3</v>
          </cell>
          <cell r="C507" t="str">
            <v>W-UNPL-YG79HDP-L650-02-7S00</v>
          </cell>
          <cell r="D507">
            <v>54</v>
          </cell>
          <cell r="E507" t="str">
            <v>W-UNPL-YG85NXX-T3A0-02-7S00</v>
          </cell>
          <cell r="F507">
            <v>57</v>
          </cell>
        </row>
        <row r="508">
          <cell r="B508" t="str">
            <v>AMWP-4D170RX-D7C3</v>
          </cell>
          <cell r="C508" t="str">
            <v>W-UNPL-YG79HDP-L650-02-7S00</v>
          </cell>
          <cell r="D508">
            <v>54</v>
          </cell>
          <cell r="E508" t="str">
            <v>W-UNPL-YG85NXX-T3A0-02-7S00</v>
          </cell>
          <cell r="F508">
            <v>57</v>
          </cell>
        </row>
        <row r="509">
          <cell r="B509" t="str">
            <v>AMWP-4D200RX-E0C3</v>
          </cell>
          <cell r="C509" t="str">
            <v>W-UNPL-YG79HDP-L650-02-7S00</v>
          </cell>
          <cell r="D509">
            <v>60</v>
          </cell>
          <cell r="E509" t="str">
            <v>W-UNPL-YG85NXX-T3A0-02-7S00</v>
          </cell>
          <cell r="F509">
            <v>60</v>
          </cell>
        </row>
        <row r="510">
          <cell r="B510" t="str">
            <v>AMWP-50B24LS-B1P2</v>
          </cell>
          <cell r="C510" t="str">
            <v>W-UNPL-WM84PXX-L65F-00-7S00</v>
          </cell>
          <cell r="D510">
            <v>18</v>
          </cell>
          <cell r="E510" t="str">
            <v>W-UNPL-WM85NXX-T3AF-00-7S00</v>
          </cell>
          <cell r="F510">
            <v>15</v>
          </cell>
        </row>
        <row r="511">
          <cell r="B511" t="str">
            <v>AMWP-50B24LS-B1P3</v>
          </cell>
          <cell r="C511" t="str">
            <v>W-UNPL-WM84PXX-L65F-00-7S00</v>
          </cell>
          <cell r="D511">
            <v>18</v>
          </cell>
          <cell r="E511" t="str">
            <v>W-UNPL-WM85NXX-T3AF-00-7S00</v>
          </cell>
          <cell r="F511">
            <v>15</v>
          </cell>
        </row>
        <row r="512">
          <cell r="B512" t="str">
            <v>AMWP-50B24LX-B1P2</v>
          </cell>
          <cell r="C512" t="str">
            <v>W-UNPL-WM84PXX-L65F-00-7S00</v>
          </cell>
          <cell r="D512">
            <v>18</v>
          </cell>
          <cell r="E512" t="str">
            <v>W-UNPL-WM85NXX-T3AF-00-7S00</v>
          </cell>
          <cell r="F512">
            <v>15</v>
          </cell>
        </row>
        <row r="513">
          <cell r="B513" t="str">
            <v>AMWP-50B24LX-B1P3</v>
          </cell>
          <cell r="C513" t="str">
            <v>W-UNPL-WM84PXX-L65F-00-7S00</v>
          </cell>
          <cell r="D513">
            <v>18</v>
          </cell>
          <cell r="E513" t="str">
            <v>W-UNPL-WM85NXX-T3AF-00-7S00</v>
          </cell>
          <cell r="F513">
            <v>15</v>
          </cell>
        </row>
        <row r="514">
          <cell r="B514" t="str">
            <v>AMWP-50B24RS-B1P2</v>
          </cell>
          <cell r="C514" t="str">
            <v>W-UNPL-WM84PXX-L65F-00-7S00</v>
          </cell>
          <cell r="D514">
            <v>18</v>
          </cell>
          <cell r="E514" t="str">
            <v>W-UNPL-WM85NXX-T3AF-00-7S00</v>
          </cell>
          <cell r="F514">
            <v>15</v>
          </cell>
        </row>
        <row r="515">
          <cell r="B515" t="str">
            <v>AMWP-50B24RS-B1P3</v>
          </cell>
          <cell r="C515" t="str">
            <v>W-UNPL-WM84PXX-L65F-00-7S00</v>
          </cell>
          <cell r="D515">
            <v>18</v>
          </cell>
          <cell r="E515" t="str">
            <v>W-UNPL-WM85NXX-T3AF-00-7S00</v>
          </cell>
          <cell r="F515">
            <v>15</v>
          </cell>
        </row>
        <row r="516">
          <cell r="B516" t="str">
            <v>AMWP-50B24RX-B1P2</v>
          </cell>
          <cell r="C516" t="str">
            <v>W-UNPL-WM84PXX-L65F-00-7S00</v>
          </cell>
          <cell r="D516">
            <v>18</v>
          </cell>
          <cell r="E516" t="str">
            <v>W-UNPL-WM85NXX-T3AF-00-7S00</v>
          </cell>
          <cell r="F516">
            <v>15</v>
          </cell>
        </row>
        <row r="517">
          <cell r="B517" t="str">
            <v>AMWP-50B24RX-B1P3</v>
          </cell>
          <cell r="C517" t="str">
            <v>W-UNPL-WM84PXX-L65F-00-7S00</v>
          </cell>
          <cell r="D517">
            <v>18</v>
          </cell>
          <cell r="E517" t="str">
            <v>W-UNPL-WM85NXX-T3AF-00-7S00</v>
          </cell>
          <cell r="F517">
            <v>15</v>
          </cell>
        </row>
        <row r="518">
          <cell r="B518" t="str">
            <v>AMWP-54459LX-A8C3</v>
          </cell>
          <cell r="C518" t="str">
            <v>W-UNPL-YG82HDP-L650-02-7S00</v>
          </cell>
          <cell r="D518">
            <v>12</v>
          </cell>
          <cell r="E518" t="str">
            <v>W-UNPL-YG85NXX-T3A0-02-7S00</v>
          </cell>
          <cell r="F518">
            <v>12</v>
          </cell>
        </row>
        <row r="519">
          <cell r="B519" t="str">
            <v>AMWP-54464RX-A8C3</v>
          </cell>
          <cell r="C519" t="str">
            <v>W-UNPL-YG82HDP-L650-02-7S00</v>
          </cell>
          <cell r="D519">
            <v>12</v>
          </cell>
          <cell r="E519" t="str">
            <v>W-UNPL-YG85NXX-T3A0-02-7S00</v>
          </cell>
          <cell r="F519">
            <v>12</v>
          </cell>
        </row>
        <row r="520">
          <cell r="B520" t="str">
            <v>AMWP-54519LH-B1C3</v>
          </cell>
          <cell r="C520" t="str">
            <v>W-UNPL-YD84PXX-L870-02-7S00</v>
          </cell>
          <cell r="D520">
            <v>18</v>
          </cell>
          <cell r="E520" t="str">
            <v>W-UNPL-YD85NXX-T3A0-02-7S00</v>
          </cell>
          <cell r="F520">
            <v>15</v>
          </cell>
        </row>
        <row r="521">
          <cell r="B521" t="str">
            <v>AMWP-55055RX-A8C3</v>
          </cell>
          <cell r="C521" t="str">
            <v>W-UNPL-YG82HDP-L650-02-7S00</v>
          </cell>
          <cell r="D521">
            <v>12</v>
          </cell>
          <cell r="E521" t="str">
            <v>W-UNPL-YG85NXX-T3A0-02-7S00</v>
          </cell>
          <cell r="F521">
            <v>12</v>
          </cell>
        </row>
        <row r="522">
          <cell r="B522" t="str">
            <v>AMWP-55059LX-A8C3</v>
          </cell>
          <cell r="C522" t="str">
            <v>W-UNPL-YG82HDP-L650-02-7S00</v>
          </cell>
          <cell r="D522">
            <v>12</v>
          </cell>
          <cell r="E522" t="str">
            <v>W-UNPL-YG85NXX-T3A0-02-7S00</v>
          </cell>
          <cell r="F522">
            <v>12</v>
          </cell>
        </row>
        <row r="523">
          <cell r="B523" t="str">
            <v>AMWP-55559LX-B0C3</v>
          </cell>
          <cell r="C523" t="str">
            <v>W-UNPL-YG82HDP-L650-02-7S00</v>
          </cell>
          <cell r="D523">
            <v>15</v>
          </cell>
          <cell r="E523" t="str">
            <v>W-UNPL-YG85NXX-T3A0-02-7S00</v>
          </cell>
          <cell r="F523">
            <v>15</v>
          </cell>
        </row>
        <row r="524">
          <cell r="B524" t="str">
            <v>AMWP-55559LX-B2C2</v>
          </cell>
          <cell r="C524" t="str">
            <v>W-UNPL-YG8079P-L650-02-7S00</v>
          </cell>
          <cell r="D524">
            <v>18</v>
          </cell>
          <cell r="E524" t="str">
            <v>W-UNPL-YG85NXX-T3A0-02-7S00</v>
          </cell>
          <cell r="F524">
            <v>18</v>
          </cell>
        </row>
        <row r="525">
          <cell r="B525" t="str">
            <v>AMWP-55563RH-B3C3</v>
          </cell>
          <cell r="C525" t="str">
            <v>W-UNPL-YD84PXX-L870-02-7S00</v>
          </cell>
          <cell r="D525">
            <v>21</v>
          </cell>
          <cell r="E525" t="str">
            <v>W-UNPL-YD85NXX-T3A0-02-7S00</v>
          </cell>
          <cell r="F525">
            <v>18</v>
          </cell>
        </row>
        <row r="526">
          <cell r="B526" t="str">
            <v>AMWP-55565RX-B0C3</v>
          </cell>
          <cell r="C526" t="str">
            <v>W-UNPL-YG82HDP-L650-02-7S00</v>
          </cell>
          <cell r="D526">
            <v>15</v>
          </cell>
          <cell r="E526" t="str">
            <v>W-UNPL-YG85NXX-T3A0-02-7S00</v>
          </cell>
          <cell r="F526">
            <v>15</v>
          </cell>
        </row>
        <row r="527">
          <cell r="B527" t="str">
            <v>AMWP-55565RX-B2C2</v>
          </cell>
          <cell r="C527" t="str">
            <v>W-UNPL-YG8079P-L650-02-7S00</v>
          </cell>
          <cell r="D527">
            <v>18</v>
          </cell>
          <cell r="E527" t="str">
            <v>W-UNPL-YG85NXX-T3A0-02-7S00</v>
          </cell>
          <cell r="F527">
            <v>18</v>
          </cell>
        </row>
        <row r="528">
          <cell r="B528" t="str">
            <v>AMWP-55566LH-B3C3</v>
          </cell>
          <cell r="C528" t="str">
            <v>W-UNPL-YD84PXX-L870-02-7S00</v>
          </cell>
          <cell r="D528">
            <v>21</v>
          </cell>
          <cell r="E528" t="str">
            <v>W-UNPL-YD85NXX-T3A0-02-7S00</v>
          </cell>
          <cell r="F528">
            <v>18</v>
          </cell>
        </row>
        <row r="529">
          <cell r="B529" t="str">
            <v>AMWP-55D23LX-B0P3</v>
          </cell>
          <cell r="C529" t="str">
            <v>W-UNPL-WG83PXX-L65F-00-7C00</v>
          </cell>
          <cell r="D529">
            <v>15</v>
          </cell>
          <cell r="E529" t="str">
            <v>W-UNPL-WG87NXX-T3AF-00-7C00</v>
          </cell>
          <cell r="F529">
            <v>15</v>
          </cell>
        </row>
        <row r="530">
          <cell r="B530" t="str">
            <v>AMWP-55D23RX-B0P3</v>
          </cell>
          <cell r="C530" t="str">
            <v>W-UNPL-WG83PXX-L65F-00-7C00</v>
          </cell>
          <cell r="D530">
            <v>15</v>
          </cell>
          <cell r="E530" t="str">
            <v>W-UNPL-WG87NXX-T3AF-00-7C00</v>
          </cell>
          <cell r="F530">
            <v>15</v>
          </cell>
        </row>
        <row r="531">
          <cell r="B531" t="str">
            <v>AMWP-55D26LX-A8P3</v>
          </cell>
          <cell r="C531" t="str">
            <v>W-UNPL-WG83PXX-L65F-00-7C00</v>
          </cell>
          <cell r="D531">
            <v>12</v>
          </cell>
          <cell r="E531" t="str">
            <v>W-UNPL-WG87NXX-T3AF-00-7C00</v>
          </cell>
          <cell r="F531">
            <v>12</v>
          </cell>
        </row>
        <row r="532">
          <cell r="B532" t="str">
            <v>AMWP-55D26LX-B0P3</v>
          </cell>
          <cell r="C532" t="str">
            <v>W-UNPL-WG83PXX-L65F-00-7C00</v>
          </cell>
          <cell r="D532">
            <v>15</v>
          </cell>
          <cell r="E532" t="str">
            <v>W-UNPL-WG87NXX-T3AF-00-7C00</v>
          </cell>
          <cell r="F532">
            <v>15</v>
          </cell>
        </row>
        <row r="533">
          <cell r="B533" t="str">
            <v>AMWP-55D26RX-A8P3</v>
          </cell>
          <cell r="C533" t="str">
            <v>W-UNPL-WG83PXX-L65F-00-7C00</v>
          </cell>
          <cell r="D533">
            <v>12</v>
          </cell>
          <cell r="E533" t="str">
            <v>W-UNPL-WG87NXX-T3AF-00-7C00</v>
          </cell>
          <cell r="F533">
            <v>12</v>
          </cell>
        </row>
        <row r="534">
          <cell r="B534" t="str">
            <v>AMWP-55D26RX-B0P3</v>
          </cell>
          <cell r="C534" t="str">
            <v>W-UNPL-WG83PXX-L65F-00-7C00</v>
          </cell>
          <cell r="D534">
            <v>15</v>
          </cell>
          <cell r="E534" t="str">
            <v>W-UNPL-WG87NXX-T3AF-00-7C00</v>
          </cell>
          <cell r="F534">
            <v>15</v>
          </cell>
        </row>
        <row r="535">
          <cell r="B535" t="str">
            <v>AMWP-56073LX-B1C3</v>
          </cell>
          <cell r="C535" t="str">
            <v>W-UNPL-YG82HDP-L650-02-7S00</v>
          </cell>
          <cell r="D535">
            <v>15</v>
          </cell>
          <cell r="E535" t="str">
            <v>W-UNPL-YG85NXX-T3A0-02-7S00</v>
          </cell>
          <cell r="F535">
            <v>18</v>
          </cell>
        </row>
        <row r="536">
          <cell r="B536" t="str">
            <v>AMWP-56205LH-B5C3</v>
          </cell>
          <cell r="C536" t="str">
            <v>W-UNPL-YD84PXX-L870-02-7S00</v>
          </cell>
          <cell r="D536">
            <v>24</v>
          </cell>
          <cell r="E536" t="str">
            <v>W-UNPL-YD85NXX-T3A0-02-7S00</v>
          </cell>
          <cell r="F536">
            <v>21</v>
          </cell>
        </row>
        <row r="537">
          <cell r="B537" t="str">
            <v>AMWP-56219LX-B2C3</v>
          </cell>
          <cell r="C537" t="str">
            <v>W-UNPL-YG82HDP-L650-02-7S00</v>
          </cell>
          <cell r="D537">
            <v>18</v>
          </cell>
          <cell r="E537" t="str">
            <v>W-UNPL-YG85NXX-T3A0-02-7S00</v>
          </cell>
          <cell r="F537">
            <v>18</v>
          </cell>
        </row>
        <row r="538">
          <cell r="B538" t="str">
            <v>AMWP-56221RX-B2C3</v>
          </cell>
          <cell r="C538" t="str">
            <v>W-UNPL-YG82HDP-L650-02-7S00</v>
          </cell>
          <cell r="D538">
            <v>18</v>
          </cell>
          <cell r="E538" t="str">
            <v>W-UNPL-YG85NXX-T3A0-02-7S00</v>
          </cell>
          <cell r="F538">
            <v>18</v>
          </cell>
        </row>
        <row r="539">
          <cell r="B539" t="str">
            <v>AMWP-56638LX-B2C3</v>
          </cell>
          <cell r="C539" t="str">
            <v>W-UNPL-YG82HDP-L650-02-7S00</v>
          </cell>
          <cell r="D539">
            <v>18</v>
          </cell>
          <cell r="E539" t="str">
            <v>W-UNPL-YG85NXX-T3A0-02-7S00</v>
          </cell>
          <cell r="F539">
            <v>18</v>
          </cell>
        </row>
        <row r="540">
          <cell r="B540" t="str">
            <v>AMWP-56638LX-B4C2</v>
          </cell>
          <cell r="C540" t="str">
            <v>W-UNPL-YG8079P-L650-02-7S00</v>
          </cell>
          <cell r="D540">
            <v>21</v>
          </cell>
          <cell r="E540" t="str">
            <v>W-UNPL-YG85NXX-T3A0-02-7S00</v>
          </cell>
          <cell r="F540">
            <v>21</v>
          </cell>
        </row>
        <row r="541">
          <cell r="B541" t="str">
            <v>AMWP-56640LH-B5C3</v>
          </cell>
          <cell r="C541" t="str">
            <v>W-UNPL-YD84PXX-L870-02-7S00</v>
          </cell>
          <cell r="D541">
            <v>24</v>
          </cell>
          <cell r="E541" t="str">
            <v>W-UNPL-YD85NXX-T3A0-02-7S00</v>
          </cell>
          <cell r="F541">
            <v>21</v>
          </cell>
        </row>
        <row r="542">
          <cell r="B542" t="str">
            <v>AMWP-57229LX-B4C3</v>
          </cell>
          <cell r="C542" t="str">
            <v>W-UNPL-YG79HDP-L650-02-7S00</v>
          </cell>
          <cell r="D542">
            <v>21</v>
          </cell>
          <cell r="E542" t="str">
            <v>W-UNPL-YG85NXX-T3A0-02-7S00</v>
          </cell>
          <cell r="F542">
            <v>21</v>
          </cell>
        </row>
        <row r="543">
          <cell r="B543" t="str">
            <v>AMWP-57233RX-B4C3</v>
          </cell>
          <cell r="C543" t="str">
            <v>W-UNPL-YG79HDP-L650-02-7S00</v>
          </cell>
          <cell r="D543">
            <v>21</v>
          </cell>
          <cell r="E543" t="str">
            <v>W-UNPL-YG85NXX-T3A0-02-7S00</v>
          </cell>
          <cell r="F543">
            <v>21</v>
          </cell>
        </row>
        <row r="544">
          <cell r="B544" t="str">
            <v>AMWP-57412LX-B4C3</v>
          </cell>
          <cell r="C544" t="str">
            <v>W-UNPL-YG79HDP-L650-02-7S00</v>
          </cell>
          <cell r="D544">
            <v>21</v>
          </cell>
          <cell r="E544" t="str">
            <v>W-UNPL-YG85NXX-T3A0-02-7S00</v>
          </cell>
          <cell r="F544">
            <v>21</v>
          </cell>
        </row>
        <row r="545">
          <cell r="B545" t="str">
            <v>AMWP-57413RX-B4C3</v>
          </cell>
          <cell r="C545" t="str">
            <v>W-UNPL-YG79HDP-L650-02-7S00</v>
          </cell>
          <cell r="D545">
            <v>21</v>
          </cell>
          <cell r="E545" t="str">
            <v>W-UNPL-YG85NXX-T3A0-02-7S00</v>
          </cell>
          <cell r="F545">
            <v>21</v>
          </cell>
        </row>
        <row r="546">
          <cell r="B546" t="str">
            <v>AMWP-57519LX-B4C3</v>
          </cell>
          <cell r="C546" t="str">
            <v>W-UNPL-YG79HDP-L650-02-7S00</v>
          </cell>
          <cell r="D546">
            <v>21</v>
          </cell>
          <cell r="E546" t="str">
            <v>W-UNPL-YG85NXX-T3A0-02-7S00</v>
          </cell>
          <cell r="F546">
            <v>21</v>
          </cell>
        </row>
        <row r="547">
          <cell r="B547" t="str">
            <v>AMWP-57520RX-B4C3</v>
          </cell>
          <cell r="C547" t="str">
            <v>W-UNPL-YG79HDP-L650-02-7S00</v>
          </cell>
          <cell r="D547">
            <v>21</v>
          </cell>
          <cell r="E547" t="str">
            <v>W-UNPL-YG85NXX-T3A0-02-7S00</v>
          </cell>
          <cell r="F547">
            <v>21</v>
          </cell>
        </row>
        <row r="548">
          <cell r="B548" t="str">
            <v>AMWP-57540LH-B7C3</v>
          </cell>
          <cell r="C548" t="str">
            <v>W-UNPL-YD84PXX-L870-02-7S00</v>
          </cell>
          <cell r="D548">
            <v>27</v>
          </cell>
          <cell r="E548" t="str">
            <v>W-UNPL-YD85NXX-T3A0-02-7S00</v>
          </cell>
          <cell r="F548">
            <v>24</v>
          </cell>
        </row>
        <row r="549">
          <cell r="B549" t="str">
            <v>AMWP-58024LX-B4C3</v>
          </cell>
          <cell r="C549" t="str">
            <v>W-UNPL-YG79HDP-L650-02-7S00</v>
          </cell>
          <cell r="D549">
            <v>21</v>
          </cell>
          <cell r="E549" t="str">
            <v>W-UNPL-YG85NXX-T3A0-02-7S00</v>
          </cell>
          <cell r="F549">
            <v>21</v>
          </cell>
        </row>
        <row r="550">
          <cell r="B550" t="str">
            <v>AMWP-58815LH-C1C3</v>
          </cell>
          <cell r="C550" t="str">
            <v>W-UNPL-YD84PXX-L870-02-7S00</v>
          </cell>
          <cell r="D550">
            <v>33</v>
          </cell>
          <cell r="E550" t="str">
            <v>W-UNPL-YD85NXX-T3A0-02-7S00</v>
          </cell>
          <cell r="F550">
            <v>30</v>
          </cell>
        </row>
        <row r="551">
          <cell r="B551" t="str">
            <v>AMWP-58821RX-B6C3</v>
          </cell>
          <cell r="C551" t="str">
            <v>W-UNPL-YG82HDP-L650-02-7S00</v>
          </cell>
          <cell r="D551">
            <v>24</v>
          </cell>
          <cell r="E551" t="str">
            <v>W-UNPL-YG85NXX-T3A0-02-7S00</v>
          </cell>
          <cell r="F551">
            <v>24</v>
          </cell>
        </row>
        <row r="552">
          <cell r="B552" t="str">
            <v>AMWP-58827LX-B6C3</v>
          </cell>
          <cell r="C552" t="str">
            <v>W-UNPL-YG82HDP-L650-02-7S00</v>
          </cell>
          <cell r="D552">
            <v>24</v>
          </cell>
          <cell r="E552" t="str">
            <v>W-UNPL-YG85NXX-T3A0-02-7S00</v>
          </cell>
          <cell r="F552">
            <v>24</v>
          </cell>
        </row>
        <row r="553">
          <cell r="B553" t="str">
            <v>AMWP-60038LX-B8C3</v>
          </cell>
          <cell r="C553" t="str">
            <v>W-UNPL-YG79HDP-L650-02-7S00</v>
          </cell>
          <cell r="D553">
            <v>27</v>
          </cell>
          <cell r="E553" t="str">
            <v>W-UNPL-YG85NXX-T3A0-02-7S00</v>
          </cell>
          <cell r="F553">
            <v>27</v>
          </cell>
        </row>
        <row r="554">
          <cell r="B554" t="str">
            <v>AMWP-60038LX-C0C2</v>
          </cell>
          <cell r="C554" t="str">
            <v>W-UNPL-YG8079P-L650-02-7S00</v>
          </cell>
          <cell r="D554">
            <v>30</v>
          </cell>
          <cell r="E554" t="str">
            <v>W-UNPL-YG85NXX-T3A0-02-7S00</v>
          </cell>
          <cell r="F554">
            <v>30</v>
          </cell>
        </row>
        <row r="555">
          <cell r="B555" t="str">
            <v>AMWP-60D26LX-A8P3</v>
          </cell>
          <cell r="C555" t="str">
            <v>W-UNPL-WG83PXX-L65F-00-7C00</v>
          </cell>
          <cell r="D555">
            <v>12</v>
          </cell>
          <cell r="E555" t="str">
            <v>W-UNPL-WG87NXX-T3AF-00-7C00</v>
          </cell>
          <cell r="F555">
            <v>12</v>
          </cell>
        </row>
        <row r="556">
          <cell r="B556" t="str">
            <v>AMWP-60D26LX-B1P2</v>
          </cell>
          <cell r="C556" t="str">
            <v>W-UNPL-WG83PXX-L65F-00-7C00</v>
          </cell>
          <cell r="D556">
            <v>15</v>
          </cell>
          <cell r="E556" t="str">
            <v>W-UNPL-WG87NXX-T3AF-00-7C00</v>
          </cell>
          <cell r="F556">
            <v>18</v>
          </cell>
        </row>
        <row r="557">
          <cell r="B557" t="str">
            <v>AMWP-60D26RX-A8P3</v>
          </cell>
          <cell r="C557" t="str">
            <v>W-UNPL-WG83PXX-L65F-00-7C00</v>
          </cell>
          <cell r="D557">
            <v>12</v>
          </cell>
          <cell r="E557" t="str">
            <v>W-UNPL-WG87NXX-T3AF-00-7C00</v>
          </cell>
          <cell r="F557">
            <v>12</v>
          </cell>
        </row>
        <row r="558">
          <cell r="B558" t="str">
            <v>AMWP-60D26RX-B1P2</v>
          </cell>
          <cell r="C558" t="str">
            <v>W-UNPL-WG83PXX-L65F-00-7C00</v>
          </cell>
          <cell r="D558">
            <v>15</v>
          </cell>
          <cell r="E558" t="str">
            <v>W-UNPL-WG87NXX-T3AF-00-7C00</v>
          </cell>
          <cell r="F558">
            <v>18</v>
          </cell>
        </row>
        <row r="559">
          <cell r="B559" t="str">
            <v>AMWP-65D23LX-B0P3</v>
          </cell>
          <cell r="C559" t="str">
            <v>W-UNPL-WG83PXX-L65F-00-7C00</v>
          </cell>
          <cell r="D559">
            <v>15</v>
          </cell>
          <cell r="E559" t="str">
            <v>W-UNPL-WG87NXX-T3AF-00-7C00</v>
          </cell>
          <cell r="F559">
            <v>15</v>
          </cell>
        </row>
        <row r="560">
          <cell r="B560" t="str">
            <v>AMWP-65D23LX-B3P2</v>
          </cell>
          <cell r="C560" t="str">
            <v>W-UNPL-WG83PXX-L65F-00-7C00</v>
          </cell>
          <cell r="D560">
            <v>18</v>
          </cell>
          <cell r="E560" t="str">
            <v>W-UNPL-WG87NXX-T3AF-00-7C00</v>
          </cell>
          <cell r="F560">
            <v>21</v>
          </cell>
        </row>
        <row r="561">
          <cell r="B561" t="str">
            <v>AMWP-65D23RX-B0P3</v>
          </cell>
          <cell r="C561" t="str">
            <v>W-UNPL-WG83PXX-L65F-00-7C00</v>
          </cell>
          <cell r="D561">
            <v>15</v>
          </cell>
          <cell r="E561" t="str">
            <v>W-UNPL-WG87NXX-T3AF-00-7C00</v>
          </cell>
          <cell r="F561">
            <v>15</v>
          </cell>
        </row>
        <row r="562">
          <cell r="B562" t="str">
            <v>AMWP-65D23RX-B3P2</v>
          </cell>
          <cell r="C562" t="str">
            <v>W-UNPL-WG83PXX-L65F-00-7C00</v>
          </cell>
          <cell r="D562">
            <v>18</v>
          </cell>
          <cell r="E562" t="str">
            <v>W-UNPL-WG87NXX-T3AF-00-7C00</v>
          </cell>
          <cell r="F562">
            <v>21</v>
          </cell>
        </row>
        <row r="563">
          <cell r="B563" t="str">
            <v>AMWP-65D26LX-B0P4</v>
          </cell>
          <cell r="C563" t="str">
            <v>W-UNPL-WG83PXX-L65F-00-7C00</v>
          </cell>
          <cell r="D563">
            <v>15</v>
          </cell>
          <cell r="E563" t="str">
            <v>W-UNPL-WG87NXX-T3AF-00-7C00</v>
          </cell>
          <cell r="F563">
            <v>15</v>
          </cell>
        </row>
        <row r="564">
          <cell r="B564" t="str">
            <v>AMWP-65D26LX-B3P3</v>
          </cell>
          <cell r="C564" t="str">
            <v>W-UNPL-WG83PXX-L65F-00-7C00</v>
          </cell>
          <cell r="D564">
            <v>18</v>
          </cell>
          <cell r="E564" t="str">
            <v>W-UNPL-WG87NXX-T3AF-00-7C00</v>
          </cell>
          <cell r="F564">
            <v>21</v>
          </cell>
        </row>
        <row r="565">
          <cell r="B565" t="str">
            <v>AMWP-65D26RX-B0P4</v>
          </cell>
          <cell r="C565" t="str">
            <v>W-UNPL-WG83PXX-L65F-00-7C00</v>
          </cell>
          <cell r="D565">
            <v>15</v>
          </cell>
          <cell r="E565" t="str">
            <v>W-UNPL-WG87NXX-T3AF-00-7C00</v>
          </cell>
          <cell r="F565">
            <v>15</v>
          </cell>
        </row>
        <row r="566">
          <cell r="B566" t="str">
            <v>AMWP-65D26RX-B3P3</v>
          </cell>
          <cell r="C566" t="str">
            <v>W-UNPL-WG83PXX-L65F-00-7C00</v>
          </cell>
          <cell r="D566">
            <v>18</v>
          </cell>
          <cell r="E566" t="str">
            <v>W-UNPL-WG87NXX-T3AF-00-7C00</v>
          </cell>
          <cell r="F566">
            <v>21</v>
          </cell>
        </row>
        <row r="567">
          <cell r="B567" t="str">
            <v>AMWP-65D31LX-B2P3</v>
          </cell>
          <cell r="C567" t="str">
            <v>W-UNPL-WG83PXX-L65F-00-7C00</v>
          </cell>
          <cell r="D567">
            <v>18</v>
          </cell>
          <cell r="E567" t="str">
            <v>W-UNPL-WG87NXX-T3AF-00-7C00</v>
          </cell>
          <cell r="F567">
            <v>18</v>
          </cell>
        </row>
        <row r="568">
          <cell r="B568" t="str">
            <v>AMWP-65D31LX-B3P2</v>
          </cell>
          <cell r="C568" t="str">
            <v>W-UNPL-WG83PXX-L65F-00-7C00</v>
          </cell>
          <cell r="D568">
            <v>18</v>
          </cell>
          <cell r="E568" t="str">
            <v>W-UNPL-WG87NXX-T3AF-00-7C00</v>
          </cell>
          <cell r="F568">
            <v>21</v>
          </cell>
        </row>
        <row r="569">
          <cell r="B569" t="str">
            <v>AMWP-65D31RX-B1P4</v>
          </cell>
          <cell r="C569" t="str">
            <v>W-UNPL-WG83PXX-L65F-00-7C00</v>
          </cell>
          <cell r="D569">
            <v>15</v>
          </cell>
          <cell r="E569" t="str">
            <v>W-UNPL-WG87NXX-T3AF-00-7C00</v>
          </cell>
          <cell r="F569">
            <v>18</v>
          </cell>
        </row>
        <row r="570">
          <cell r="B570" t="str">
            <v>AMWP-65D31RX-B2P3</v>
          </cell>
          <cell r="C570" t="str">
            <v>W-UNPL-WG83PXX-L65F-00-7C00</v>
          </cell>
          <cell r="D570">
            <v>18</v>
          </cell>
          <cell r="E570" t="str">
            <v>W-UNPL-WG87NXX-T3AF-00-7C00</v>
          </cell>
          <cell r="F570">
            <v>18</v>
          </cell>
        </row>
        <row r="571">
          <cell r="B571" t="str">
            <v>AMWP-65D31RX-B4P1</v>
          </cell>
          <cell r="C571" t="str">
            <v>W-UNPL-WG83PXX-L65F-00-7C00</v>
          </cell>
          <cell r="D571">
            <v>21</v>
          </cell>
          <cell r="E571" t="str">
            <v>W-UNPL-WG87NXX-T3AF-00-7C00</v>
          </cell>
          <cell r="F571">
            <v>21</v>
          </cell>
        </row>
        <row r="572">
          <cell r="B572" t="str">
            <v>AMWP-67018LX-D5C3</v>
          </cell>
          <cell r="C572" t="str">
            <v>W-UNPL-YG8079P-L650-02-7S00</v>
          </cell>
          <cell r="D572">
            <v>51</v>
          </cell>
          <cell r="E572" t="str">
            <v>W-UNPL-YG85NXX-T3A0-02-7S00</v>
          </cell>
          <cell r="F572">
            <v>54</v>
          </cell>
        </row>
        <row r="573">
          <cell r="B573" t="str">
            <v>AMWP-70D26LX-B0P3</v>
          </cell>
          <cell r="C573" t="str">
            <v>W-UNPL-WG83PXX-L65F-00-7C00</v>
          </cell>
          <cell r="D573">
            <v>15</v>
          </cell>
          <cell r="E573" t="str">
            <v>W-UNPL-WG87NXX-T3AF-00-7C00</v>
          </cell>
          <cell r="F573">
            <v>15</v>
          </cell>
        </row>
        <row r="574">
          <cell r="B574" t="str">
            <v>AMWP-70D26RX-B0P3</v>
          </cell>
          <cell r="C574" t="str">
            <v>W-UNPL-WG83PXX-L65F-00-7C00</v>
          </cell>
          <cell r="D574">
            <v>15</v>
          </cell>
          <cell r="E574" t="str">
            <v>W-UNPL-WG87NXX-T3AF-00-7C00</v>
          </cell>
          <cell r="F574">
            <v>15</v>
          </cell>
        </row>
        <row r="575">
          <cell r="B575" t="str">
            <v>AMWP-72018LX-E3C3</v>
          </cell>
          <cell r="C575" t="str">
            <v>W-UNPL-YG8079P-L650-02-7S00</v>
          </cell>
          <cell r="D575">
            <v>63</v>
          </cell>
          <cell r="E575" t="str">
            <v>W-UNPL-YG85NXX-T3A0-02-7S00</v>
          </cell>
          <cell r="F575">
            <v>66</v>
          </cell>
        </row>
        <row r="576">
          <cell r="B576" t="str">
            <v>AMWP-72018RX-E3C3</v>
          </cell>
          <cell r="C576" t="str">
            <v>W-UNPL-YG8079P-L650-02-7S00</v>
          </cell>
          <cell r="D576">
            <v>63</v>
          </cell>
          <cell r="E576" t="str">
            <v>W-UNPL-YG85NXX-T3A0-02-7S00</v>
          </cell>
          <cell r="F576">
            <v>66</v>
          </cell>
        </row>
        <row r="577">
          <cell r="B577" t="str">
            <v>AMWP-75D23LX-B3P3</v>
          </cell>
          <cell r="C577" t="str">
            <v>W-UNPL-WG83PXX-L65F-00-7C00</v>
          </cell>
          <cell r="D577">
            <v>18</v>
          </cell>
          <cell r="E577" t="str">
            <v>W-UNPL-WG87NXX-T3AF-00-7C00</v>
          </cell>
          <cell r="F577">
            <v>21</v>
          </cell>
        </row>
        <row r="578">
          <cell r="B578" t="str">
            <v>AMWP-75D23RX-B3P3</v>
          </cell>
          <cell r="C578" t="str">
            <v>W-UNPL-WG83PXX-L65F-00-7C00</v>
          </cell>
          <cell r="D578">
            <v>18</v>
          </cell>
          <cell r="E578" t="str">
            <v>W-UNPL-WG87NXX-T3AF-00-7C00</v>
          </cell>
          <cell r="F578">
            <v>21</v>
          </cell>
        </row>
        <row r="579">
          <cell r="B579" t="str">
            <v>AMWP-75D26LX-B3P3</v>
          </cell>
          <cell r="C579" t="str">
            <v>W-UNPL-WG83PXX-L65F-00-7C00</v>
          </cell>
          <cell r="D579">
            <v>18</v>
          </cell>
          <cell r="E579" t="str">
            <v>W-UNPL-WG87NXX-T3AF-00-7C00</v>
          </cell>
          <cell r="F579">
            <v>21</v>
          </cell>
        </row>
        <row r="580">
          <cell r="B580" t="str">
            <v>AMWP-75D26RX-B3P3</v>
          </cell>
          <cell r="C580" t="str">
            <v>W-UNPL-WG83PXX-L65F-00-7C00</v>
          </cell>
          <cell r="D580">
            <v>18</v>
          </cell>
          <cell r="E580" t="str">
            <v>W-UNPL-WG87NXX-T3AF-00-7C00</v>
          </cell>
          <cell r="F580">
            <v>21</v>
          </cell>
        </row>
        <row r="581">
          <cell r="B581" t="str">
            <v>AMWP-75D31LX-B2P4</v>
          </cell>
          <cell r="C581" t="str">
            <v>W-UNPL-WG83PXX-L65F-00-7C00</v>
          </cell>
          <cell r="D581">
            <v>18</v>
          </cell>
          <cell r="E581" t="str">
            <v>W-UNPL-WG87NXX-T3AF-00-7C00</v>
          </cell>
          <cell r="F581">
            <v>18</v>
          </cell>
        </row>
        <row r="582">
          <cell r="B582" t="str">
            <v>AMWP-75D31LX-B3P3</v>
          </cell>
          <cell r="C582" t="str">
            <v>W-UNPL-WG83PXX-L65F-00-7C00</v>
          </cell>
          <cell r="D582">
            <v>18</v>
          </cell>
          <cell r="E582" t="str">
            <v>W-UNPL-WG87NXX-T3AF-00-7C00</v>
          </cell>
          <cell r="F582">
            <v>21</v>
          </cell>
        </row>
        <row r="583">
          <cell r="B583" t="str">
            <v>AMWP-75D31RX-B2P4</v>
          </cell>
          <cell r="C583" t="str">
            <v>W-UNPL-WG83PXX-L65F-00-7C00</v>
          </cell>
          <cell r="D583">
            <v>18</v>
          </cell>
          <cell r="E583" t="str">
            <v>W-UNPL-WG87NXX-T3AF-00-7C00</v>
          </cell>
          <cell r="F583">
            <v>18</v>
          </cell>
        </row>
        <row r="584">
          <cell r="B584" t="str">
            <v>AMWP-75D31RX-B3P3</v>
          </cell>
          <cell r="C584" t="str">
            <v>W-UNPL-WG83PXX-L65F-00-7C00</v>
          </cell>
          <cell r="D584">
            <v>18</v>
          </cell>
          <cell r="E584" t="str">
            <v>W-UNPL-WG87NXX-T3AF-00-7C00</v>
          </cell>
          <cell r="F584">
            <v>21</v>
          </cell>
        </row>
        <row r="585">
          <cell r="B585" t="str">
            <v>AMWP-80D23LX-B3P3</v>
          </cell>
          <cell r="C585" t="str">
            <v>W-UNPL-WG83PXX-L65F-00-7C00</v>
          </cell>
          <cell r="D585">
            <v>18</v>
          </cell>
          <cell r="E585" t="str">
            <v>W-UNPL-WG87NXX-T3AF-00-7C00</v>
          </cell>
          <cell r="F585">
            <v>21</v>
          </cell>
        </row>
        <row r="586">
          <cell r="B586" t="str">
            <v>AMWP-80D23RX-B3P3</v>
          </cell>
          <cell r="C586" t="str">
            <v>W-UNPL-WG83PXX-L65F-00-7C00</v>
          </cell>
          <cell r="D586">
            <v>18</v>
          </cell>
          <cell r="E586" t="str">
            <v>W-UNPL-WG87NXX-T3AF-00-7C00</v>
          </cell>
          <cell r="F586">
            <v>21</v>
          </cell>
        </row>
        <row r="587">
          <cell r="B587" t="str">
            <v>AMWP-80D26LX-B3P3</v>
          </cell>
          <cell r="C587" t="str">
            <v>W-UNPL-WG83PXX-L65F-00-7C00</v>
          </cell>
          <cell r="D587">
            <v>21</v>
          </cell>
          <cell r="E587" t="str">
            <v>W-UNPL-WG87NXX-T3AF-00-7C00</v>
          </cell>
          <cell r="F587">
            <v>18</v>
          </cell>
        </row>
        <row r="588">
          <cell r="B588" t="str">
            <v>AMWP-80D26RX-B3P3</v>
          </cell>
          <cell r="C588" t="str">
            <v>W-UNPL-WG83PXX-L65F-00-7C00</v>
          </cell>
          <cell r="D588">
            <v>21</v>
          </cell>
          <cell r="E588" t="str">
            <v>W-UNPL-WG87NXX-T3AF-00-7C00</v>
          </cell>
          <cell r="F588">
            <v>18</v>
          </cell>
        </row>
        <row r="589">
          <cell r="B589" t="str">
            <v>AMWP-80D31LX-B2P3</v>
          </cell>
          <cell r="C589" t="str">
            <v>W-UNPL-WG83PXX-L65F-00-7C00</v>
          </cell>
          <cell r="D589">
            <v>18</v>
          </cell>
          <cell r="E589" t="str">
            <v>W-UNPL-WG87NXX-T3AF-00-7C00</v>
          </cell>
          <cell r="F589">
            <v>18</v>
          </cell>
        </row>
        <row r="590">
          <cell r="B590" t="str">
            <v>AMWP-80D31LX-B3P2</v>
          </cell>
          <cell r="C590" t="str">
            <v>W-UNPL-WG83PXX-L65F-00-7C00</v>
          </cell>
          <cell r="D590">
            <v>18</v>
          </cell>
          <cell r="E590" t="str">
            <v>W-UNPL-WG87NXX-T3AF-00-7C00</v>
          </cell>
          <cell r="F590">
            <v>21</v>
          </cell>
        </row>
        <row r="591">
          <cell r="B591" t="str">
            <v>AMWP-80D31RX-B2P3</v>
          </cell>
          <cell r="C591" t="str">
            <v>W-UNPL-WG83PXX-L65F-00-7C00</v>
          </cell>
          <cell r="D591">
            <v>18</v>
          </cell>
          <cell r="E591" t="str">
            <v>W-UNPL-WG87NXX-T3AF-00-7C00</v>
          </cell>
          <cell r="F591">
            <v>18</v>
          </cell>
        </row>
        <row r="592">
          <cell r="B592" t="str">
            <v>AMWP-80D31RX-B3P2</v>
          </cell>
          <cell r="C592" t="str">
            <v>W-UNPL-WG83PXX-L65F-00-7C00</v>
          </cell>
          <cell r="D592">
            <v>18</v>
          </cell>
          <cell r="E592" t="str">
            <v>W-UNPL-WG87NXX-T3AF-00-7C00</v>
          </cell>
          <cell r="F592">
            <v>21</v>
          </cell>
        </row>
        <row r="593">
          <cell r="B593" t="str">
            <v>AMWP-90D26LX-B3P3</v>
          </cell>
          <cell r="C593" t="str">
            <v>W-UNPL-WG83PXX-L65F-00-7C00</v>
          </cell>
          <cell r="D593">
            <v>21</v>
          </cell>
          <cell r="E593" t="str">
            <v>W-UNPL-WG87NXX-T3AF-00-7C00</v>
          </cell>
          <cell r="F593">
            <v>18</v>
          </cell>
        </row>
        <row r="594">
          <cell r="B594" t="str">
            <v>AMWP-90D26RX-B3P3</v>
          </cell>
          <cell r="C594" t="str">
            <v>W-UNPL-WG83PXX-L65F-00-7C00</v>
          </cell>
          <cell r="D594">
            <v>21</v>
          </cell>
          <cell r="E594" t="str">
            <v>W-UNPL-WG87NXX-T3AF-00-7C00</v>
          </cell>
          <cell r="F594">
            <v>18</v>
          </cell>
        </row>
        <row r="595">
          <cell r="B595" t="str">
            <v>AMWP-95D26LX-B3P3</v>
          </cell>
          <cell r="C595" t="str">
            <v>W-UNPL-WG83PXX-L65F-00-7C00</v>
          </cell>
          <cell r="D595">
            <v>21</v>
          </cell>
          <cell r="E595" t="str">
            <v>W-UNPL-WG87NXX-T3AF-00-7C00</v>
          </cell>
          <cell r="F595">
            <v>18</v>
          </cell>
        </row>
        <row r="596">
          <cell r="B596" t="str">
            <v>AMWP-95D26RX-B3P3</v>
          </cell>
          <cell r="C596" t="str">
            <v>W-UNPL-WG83PXX-L65F-00-7C00</v>
          </cell>
          <cell r="D596">
            <v>21</v>
          </cell>
          <cell r="E596" t="str">
            <v>W-UNPL-WG87NXX-T3AF-00-7C00</v>
          </cell>
          <cell r="F596">
            <v>18</v>
          </cell>
        </row>
        <row r="597">
          <cell r="B597" t="str">
            <v>AMWP-95D31LX-B2P5</v>
          </cell>
          <cell r="C597" t="str">
            <v>W-UNPL-WG83PXX-L65F-00-7C00</v>
          </cell>
          <cell r="D597">
            <v>18</v>
          </cell>
          <cell r="E597" t="str">
            <v>W-UNPL-WG87NXX-T3AF-00-7C00</v>
          </cell>
          <cell r="F597">
            <v>18</v>
          </cell>
        </row>
        <row r="598">
          <cell r="B598" t="str">
            <v>AMWP-95D31LX-B3P3</v>
          </cell>
          <cell r="C598" t="str">
            <v>W-UNPL-WG83PXX-L65F-00-7C00</v>
          </cell>
          <cell r="D598">
            <v>18</v>
          </cell>
          <cell r="E598" t="str">
            <v>W-UNPL-WG87NXX-T3AF-00-7C00</v>
          </cell>
          <cell r="F598">
            <v>21</v>
          </cell>
        </row>
        <row r="599">
          <cell r="B599" t="str">
            <v>AMWP-95D31LX-B3P4</v>
          </cell>
          <cell r="C599" t="str">
            <v>W-UNPL-WG83PXX-L65F-00-7C00</v>
          </cell>
          <cell r="D599">
            <v>18</v>
          </cell>
          <cell r="E599" t="str">
            <v>W-UNPL-WG87NXX-T3AF-00-7C00</v>
          </cell>
          <cell r="F599">
            <v>21</v>
          </cell>
        </row>
        <row r="600">
          <cell r="B600" t="str">
            <v>AMWP-95D31LX-B4P3</v>
          </cell>
          <cell r="C600" t="str">
            <v>W-UNPL-WG83PXX-L65F-00-7C00</v>
          </cell>
          <cell r="D600">
            <v>21</v>
          </cell>
          <cell r="E600" t="str">
            <v>W-UNPL-WG87NXX-T3AF-00-7C00</v>
          </cell>
          <cell r="F600">
            <v>21</v>
          </cell>
        </row>
        <row r="601">
          <cell r="B601" t="str">
            <v>AMWP-95D31RX-B2P5</v>
          </cell>
          <cell r="C601" t="str">
            <v>W-UNPL-WG83PXX-L65F-00-7C00</v>
          </cell>
          <cell r="D601">
            <v>18</v>
          </cell>
          <cell r="E601" t="str">
            <v>W-UNPL-WG87NXX-T3AF-00-7C00</v>
          </cell>
          <cell r="F601">
            <v>18</v>
          </cell>
        </row>
        <row r="602">
          <cell r="B602" t="str">
            <v>AMWP-95D31RX-B3P3</v>
          </cell>
          <cell r="C602" t="str">
            <v>W-UNPL-WG83PXX-L65F-00-7C00</v>
          </cell>
          <cell r="D602">
            <v>18</v>
          </cell>
          <cell r="E602" t="str">
            <v>W-UNPL-WG87NXX-T3AF-00-7C00</v>
          </cell>
          <cell r="F602">
            <v>21</v>
          </cell>
        </row>
        <row r="603">
          <cell r="B603" t="str">
            <v>AMWP-95D31RX-B3P4</v>
          </cell>
          <cell r="C603" t="str">
            <v>W-UNPL-WG83PXX-L65F-00-7C00</v>
          </cell>
          <cell r="D603">
            <v>18</v>
          </cell>
          <cell r="E603" t="str">
            <v>W-UNPL-WG87NXX-T3AF-00-7C00</v>
          </cell>
          <cell r="F603">
            <v>21</v>
          </cell>
        </row>
        <row r="604">
          <cell r="B604" t="str">
            <v>AMWP-95D31RX-B4P3</v>
          </cell>
          <cell r="C604" t="str">
            <v>W-UNPL-WG83PXX-L65F-00-7C00</v>
          </cell>
          <cell r="D604">
            <v>21</v>
          </cell>
          <cell r="E604" t="str">
            <v>W-UNPL-WG87NXX-T3AF-00-7C00</v>
          </cell>
          <cell r="F604">
            <v>21</v>
          </cell>
        </row>
        <row r="605">
          <cell r="B605" t="str">
            <v>AMWP-95E41LX-B5C4</v>
          </cell>
          <cell r="C605" t="str">
            <v>W-UNPL-YG8079P-L650-02-7S00</v>
          </cell>
          <cell r="D605">
            <v>21</v>
          </cell>
          <cell r="E605" t="str">
            <v>W-UNPL-YG85NXX-T3A0-02-7S00</v>
          </cell>
          <cell r="F605">
            <v>24</v>
          </cell>
        </row>
        <row r="606">
          <cell r="B606" t="str">
            <v>AMWP-95E41LX-B7C3</v>
          </cell>
          <cell r="C606" t="str">
            <v>W-UNPL-YG8079P-L650-02-7S00</v>
          </cell>
          <cell r="D606">
            <v>24</v>
          </cell>
          <cell r="E606" t="str">
            <v>W-UNPL-YG85NXX-T3A0-02-7S00</v>
          </cell>
          <cell r="F606">
            <v>27</v>
          </cell>
        </row>
        <row r="607">
          <cell r="B607" t="str">
            <v>AMWP-95E41RX-B5C4</v>
          </cell>
          <cell r="C607" t="str">
            <v>W-UNPL-YG8079P-L650-02-7S00</v>
          </cell>
          <cell r="D607">
            <v>21</v>
          </cell>
          <cell r="E607" t="str">
            <v>W-UNPL-YG85NXX-T3A0-02-7S00</v>
          </cell>
          <cell r="F607">
            <v>24</v>
          </cell>
        </row>
        <row r="608">
          <cell r="B608" t="str">
            <v>AMWP-95E41RX-B7C3</v>
          </cell>
          <cell r="C608" t="str">
            <v>W-UNPL-YG8079P-L650-02-7S00</v>
          </cell>
          <cell r="D608">
            <v>24</v>
          </cell>
          <cell r="E608" t="str">
            <v>W-UNPL-YG85NXX-T3A0-02-7S00</v>
          </cell>
          <cell r="F608">
            <v>27</v>
          </cell>
        </row>
        <row r="609">
          <cell r="B609" t="str">
            <v>AMWP-EFBM42L-B2P3</v>
          </cell>
          <cell r="C609" t="str">
            <v>W-UNPL-WM84ESP-L03B-00-7S0A</v>
          </cell>
          <cell r="D609">
            <v>18</v>
          </cell>
          <cell r="E609" t="str">
            <v>W-UNPL-WM87ESN-T3B0-00-7S0A</v>
          </cell>
          <cell r="F609">
            <v>18</v>
          </cell>
        </row>
        <row r="610">
          <cell r="B610" t="str">
            <v>AMWP-EFBQ85L-B3C3</v>
          </cell>
          <cell r="C610" t="str">
            <v>W-UNPL-YA82ESP-L03B-02-7S0A</v>
          </cell>
          <cell r="D610">
            <v>21</v>
          </cell>
          <cell r="E610" t="str">
            <v>W-UNPL-YA85ESN-T3B0-02-7S0A</v>
          </cell>
          <cell r="F610">
            <v>18</v>
          </cell>
        </row>
        <row r="611">
          <cell r="B611" t="str">
            <v>AMWP-LN2LXXX-B2C3</v>
          </cell>
          <cell r="C611" t="str">
            <v>W-UNPL-YG8079P-L650-02-7S00</v>
          </cell>
          <cell r="D611">
            <v>18</v>
          </cell>
          <cell r="E611" t="str">
            <v>W-UNPL-YG8785N-T3A0-02-7S00</v>
          </cell>
          <cell r="F611">
            <v>18</v>
          </cell>
        </row>
        <row r="612">
          <cell r="B612" t="str">
            <v>AMWP-LN3LXXX-B4C3</v>
          </cell>
          <cell r="C612" t="str">
            <v>W-UNPL-YG8079P-L650-02-7S00</v>
          </cell>
          <cell r="D612">
            <v>21</v>
          </cell>
          <cell r="E612" t="str">
            <v>W-UNPL-YG8785N-T3A0-02-7S00</v>
          </cell>
          <cell r="F612">
            <v>21</v>
          </cell>
        </row>
        <row r="613">
          <cell r="B613" t="str">
            <v>AMWP-N50ZDXX-B1C3</v>
          </cell>
          <cell r="C613" t="str">
            <v>W-UNPL-YG8079P-L340-02-7S00</v>
          </cell>
          <cell r="D613">
            <v>18</v>
          </cell>
          <cell r="E613" t="str">
            <v>W-UNPL-YG85NXX-T3A0-02-7S00</v>
          </cell>
          <cell r="F613">
            <v>15</v>
          </cell>
        </row>
        <row r="614">
          <cell r="B614" t="str">
            <v>AMWP-N70ZDXX-B5C3</v>
          </cell>
          <cell r="C614" t="str">
            <v>W-UNPL-YG8079P-L340-02-7S00</v>
          </cell>
          <cell r="D614">
            <v>24</v>
          </cell>
          <cell r="E614" t="str">
            <v>W-UNPL-YG85NXX-T3A0-02-7S00</v>
          </cell>
          <cell r="F614">
            <v>21</v>
          </cell>
        </row>
        <row r="615">
          <cell r="B615" t="str">
            <v>AMWP-N70ZZXX-B6P3</v>
          </cell>
          <cell r="C615" t="str">
            <v>W-UNPL-WG83PXX-L65F-00-7C00</v>
          </cell>
          <cell r="D615">
            <v>24</v>
          </cell>
          <cell r="E615" t="str">
            <v>W-UNPL-WG87NXX-T3AF-00-7C00</v>
          </cell>
          <cell r="F615">
            <v>24</v>
          </cell>
        </row>
        <row r="616">
          <cell r="B616" t="str">
            <v>AMWP-NS50LXX-B4C3</v>
          </cell>
          <cell r="C616" t="str">
            <v>W-UNPL-YD84PXX-L870-02-7S00</v>
          </cell>
          <cell r="D616">
            <v>21</v>
          </cell>
          <cell r="E616" t="str">
            <v>W-UNPL-YD85NXX-T3A0-02-7S00</v>
          </cell>
          <cell r="F616">
            <v>21</v>
          </cell>
        </row>
        <row r="617">
          <cell r="B617" t="str">
            <v>AVUP-32B20RX-A8A3</v>
          </cell>
          <cell r="C617" t="str">
            <v>W-UNPL-CM84APX-L870-02-7S00</v>
          </cell>
          <cell r="D617">
            <v>12</v>
          </cell>
          <cell r="E617" t="str">
            <v>W-UNPL-WM85NXX-T3AF-00-7S00</v>
          </cell>
          <cell r="F617">
            <v>12</v>
          </cell>
        </row>
        <row r="618">
          <cell r="B618" t="str">
            <v>AVUP-36B20LS-A8A4</v>
          </cell>
          <cell r="C618" t="str">
            <v>W-UNPL-CM84APX-L870-02-7S00</v>
          </cell>
          <cell r="D618">
            <v>12</v>
          </cell>
          <cell r="E618" t="str">
            <v>W-UNPL-WM85NXX-T3AF-00-7S00</v>
          </cell>
          <cell r="F618">
            <v>12</v>
          </cell>
        </row>
        <row r="619">
          <cell r="B619" t="str">
            <v>AVUP-36B20LX-A7A5</v>
          </cell>
          <cell r="C619" t="str">
            <v>W-UNPL-CM84APX-L870-02-7S00</v>
          </cell>
          <cell r="D619">
            <v>12</v>
          </cell>
          <cell r="E619" t="str">
            <v>W-UNPL-WM85NXX-T3AF-00-7S00</v>
          </cell>
          <cell r="F619">
            <v>9</v>
          </cell>
        </row>
        <row r="620">
          <cell r="B620" t="str">
            <v>AVUP-36B20LX-A8A3</v>
          </cell>
          <cell r="C620" t="str">
            <v>W-UNPL-CM84APX-L870-02-7S00</v>
          </cell>
          <cell r="D620">
            <v>12</v>
          </cell>
          <cell r="E620" t="str">
            <v>W-UNPL-WM85NXX-T3AF-00-7S00</v>
          </cell>
          <cell r="F620">
            <v>12</v>
          </cell>
        </row>
        <row r="621">
          <cell r="B621" t="str">
            <v>AVUP-36B20LX-A8A4</v>
          </cell>
          <cell r="C621" t="str">
            <v>W-UNPL-CM84APX-L870-02-7S00</v>
          </cell>
          <cell r="D621">
            <v>12</v>
          </cell>
          <cell r="E621" t="str">
            <v>W-UNPL-WM85NXX-T3AF-00-7S00</v>
          </cell>
          <cell r="F621">
            <v>12</v>
          </cell>
        </row>
        <row r="622">
          <cell r="B622" t="str">
            <v>AVUP-36B20RX-A7A5</v>
          </cell>
          <cell r="C622" t="str">
            <v>W-UNPL-CM84APX-L870-02-7S00</v>
          </cell>
          <cell r="D622">
            <v>12</v>
          </cell>
          <cell r="E622" t="str">
            <v>W-UNPL-WM85NXX-T3AF-00-7S00</v>
          </cell>
          <cell r="F622">
            <v>9</v>
          </cell>
        </row>
        <row r="623">
          <cell r="B623" t="str">
            <v>AVUP-36B20RX-A8A4</v>
          </cell>
          <cell r="C623" t="str">
            <v>W-UNPL-CM84APX-L870-02-7S00</v>
          </cell>
          <cell r="D623">
            <v>12</v>
          </cell>
          <cell r="E623" t="str">
            <v>W-UNPL-WM85NXX-T3AF-00-7S00</v>
          </cell>
          <cell r="F623">
            <v>12</v>
          </cell>
        </row>
        <row r="624">
          <cell r="B624" t="str">
            <v>AVUP-40B20LX-A8A3</v>
          </cell>
          <cell r="C624" t="str">
            <v>W-UNPL-CM84APX-L870-02-7S00</v>
          </cell>
          <cell r="D624">
            <v>12</v>
          </cell>
          <cell r="E624" t="str">
            <v>W-UNPL-WM85NXX-T3AF-00-7S00</v>
          </cell>
          <cell r="F624">
            <v>12</v>
          </cell>
        </row>
        <row r="625">
          <cell r="B625" t="str">
            <v>AVUP-40B20RX-A8A3</v>
          </cell>
          <cell r="C625" t="str">
            <v>W-UNPL-CM84APX-L870-02-7S00</v>
          </cell>
          <cell r="D625">
            <v>12</v>
          </cell>
          <cell r="E625" t="str">
            <v>W-UNPL-WM85NXX-T3AF-00-7S00</v>
          </cell>
          <cell r="F625">
            <v>12</v>
          </cell>
        </row>
        <row r="626">
          <cell r="B626" t="str">
            <v>AVUP-46B24LS-A9A3</v>
          </cell>
          <cell r="C626" t="str">
            <v>W-UNPL-CM84APX-L870-02-7S00</v>
          </cell>
          <cell r="D626">
            <v>15</v>
          </cell>
          <cell r="E626" t="str">
            <v>W-UNPL-WM85NXX-T3AF-00-7S00</v>
          </cell>
          <cell r="F626">
            <v>12</v>
          </cell>
        </row>
        <row r="627">
          <cell r="B627" t="str">
            <v>AVUP-46B24LS-A9A5</v>
          </cell>
          <cell r="C627" t="str">
            <v>W-UNPL-CM84APX-L870-02-7S00</v>
          </cell>
          <cell r="D627">
            <v>15</v>
          </cell>
          <cell r="E627" t="str">
            <v>W-UNPL-WM85NXX-T3AF-00-7S00</v>
          </cell>
          <cell r="F627">
            <v>12</v>
          </cell>
        </row>
        <row r="628">
          <cell r="B628" t="str">
            <v>AVUP-46B24LS-B0A4</v>
          </cell>
          <cell r="C628" t="str">
            <v>W-UNPL-CM84APX-L870-02-7S00</v>
          </cell>
          <cell r="D628">
            <v>15</v>
          </cell>
          <cell r="E628" t="str">
            <v>W-UNPL-WM85NXX-T3AF-00-7S00</v>
          </cell>
          <cell r="F628">
            <v>15</v>
          </cell>
        </row>
        <row r="629">
          <cell r="B629" t="str">
            <v>AVUP-46B24LX-A9A3</v>
          </cell>
          <cell r="C629" t="str">
            <v>W-UNPL-CM84APX-L870-02-7S00</v>
          </cell>
          <cell r="D629">
            <v>15</v>
          </cell>
          <cell r="E629" t="str">
            <v>W-UNPL-WM85NXX-T3AF-00-7S00</v>
          </cell>
          <cell r="F629">
            <v>12</v>
          </cell>
        </row>
        <row r="630">
          <cell r="B630" t="str">
            <v>AVUP-46B24LX-A9A5</v>
          </cell>
          <cell r="C630" t="str">
            <v>W-UNPL-CM84APX-L870-02-7S00</v>
          </cell>
          <cell r="D630">
            <v>15</v>
          </cell>
          <cell r="E630" t="str">
            <v>W-UNPL-WM85NXX-T3AF-00-7S00</v>
          </cell>
          <cell r="F630">
            <v>12</v>
          </cell>
        </row>
        <row r="631">
          <cell r="B631" t="str">
            <v>AVUP-46B24LX-B0A4</v>
          </cell>
          <cell r="C631" t="str">
            <v>W-UNPL-CM84APX-L870-02-7S00</v>
          </cell>
          <cell r="D631">
            <v>15</v>
          </cell>
          <cell r="E631" t="str">
            <v>W-UNPL-WM85NXX-T3AF-00-7S00</v>
          </cell>
          <cell r="F631">
            <v>15</v>
          </cell>
        </row>
        <row r="632">
          <cell r="B632" t="str">
            <v>AVUP-46B24RS-A9A3</v>
          </cell>
          <cell r="C632" t="str">
            <v>W-UNPL-CM84APX-L870-02-7S00</v>
          </cell>
          <cell r="D632">
            <v>15</v>
          </cell>
          <cell r="E632" t="str">
            <v>W-UNPL-WM85NXX-T3AF-00-7S00</v>
          </cell>
          <cell r="F632">
            <v>12</v>
          </cell>
        </row>
        <row r="633">
          <cell r="B633" t="str">
            <v>AVUP-46B24RS-A9A5</v>
          </cell>
          <cell r="C633" t="str">
            <v>W-UNPL-CM84APX-L870-02-7S00</v>
          </cell>
          <cell r="D633">
            <v>15</v>
          </cell>
          <cell r="E633" t="str">
            <v>W-UNPL-WM85NXX-T3AF-00-7S00</v>
          </cell>
          <cell r="F633">
            <v>12</v>
          </cell>
        </row>
        <row r="634">
          <cell r="B634" t="str">
            <v>AVUP-46B24RS-B0A4</v>
          </cell>
          <cell r="C634" t="str">
            <v>W-UNPL-CM84APX-L870-02-7S00</v>
          </cell>
          <cell r="D634">
            <v>15</v>
          </cell>
          <cell r="E634" t="str">
            <v>W-UNPL-WM85NXX-T3AF-00-7S00</v>
          </cell>
          <cell r="F634">
            <v>15</v>
          </cell>
        </row>
        <row r="635">
          <cell r="B635" t="str">
            <v>AVUP-46B24RX-A9A3</v>
          </cell>
          <cell r="C635" t="str">
            <v>W-UNPL-CM84APX-L870-02-7S00</v>
          </cell>
          <cell r="D635">
            <v>15</v>
          </cell>
          <cell r="E635" t="str">
            <v>W-UNPL-WM85NXX-T3AF-00-7S00</v>
          </cell>
          <cell r="F635">
            <v>12</v>
          </cell>
        </row>
        <row r="636">
          <cell r="B636" t="str">
            <v>AVUP-46B24RX-A9A5</v>
          </cell>
          <cell r="C636" t="str">
            <v>W-UNPL-CM84APX-L870-02-7S00</v>
          </cell>
          <cell r="D636">
            <v>15</v>
          </cell>
          <cell r="E636" t="str">
            <v>W-UNPL-WM85NXX-T3AF-00-7S00</v>
          </cell>
          <cell r="F636">
            <v>12</v>
          </cell>
        </row>
        <row r="637">
          <cell r="B637" t="str">
            <v>AVUP-46B24RX-B0A4</v>
          </cell>
          <cell r="C637" t="str">
            <v>W-UNPL-CM84APX-L870-02-7S00</v>
          </cell>
          <cell r="D637">
            <v>15</v>
          </cell>
          <cell r="E637" t="str">
            <v>W-UNPL-WM85NXX-T3AF-00-7S00</v>
          </cell>
          <cell r="F637">
            <v>15</v>
          </cell>
        </row>
        <row r="638">
          <cell r="B638" t="str">
            <v>AVUP-65D26LX-A9A3</v>
          </cell>
          <cell r="C638" t="str">
            <v>W-UNPL-CG85EPX-L870-02-7C00</v>
          </cell>
          <cell r="D638">
            <v>15</v>
          </cell>
          <cell r="E638" t="str">
            <v>W-UNPL-WG87NXX-T3AF-00-7C00</v>
          </cell>
          <cell r="F638">
            <v>12</v>
          </cell>
        </row>
        <row r="639">
          <cell r="B639" t="str">
            <v>AVUP-65D26LX-B0A4</v>
          </cell>
          <cell r="C639" t="str">
            <v>W-UNPL-CG85EPX-L870-02-7C00</v>
          </cell>
          <cell r="D639">
            <v>15</v>
          </cell>
          <cell r="E639" t="str">
            <v>W-UNPL-WG87NXX-T3AF-00-7C00</v>
          </cell>
          <cell r="F639">
            <v>15</v>
          </cell>
        </row>
        <row r="640">
          <cell r="B640" t="str">
            <v>AVUP-65D26RX-A9A3</v>
          </cell>
          <cell r="C640" t="str">
            <v>W-UNPL-CG85EPX-L870-02-7C00</v>
          </cell>
          <cell r="D640">
            <v>15</v>
          </cell>
          <cell r="E640" t="str">
            <v>W-UNPL-WG87NXX-T3AF-00-7C00</v>
          </cell>
          <cell r="F640">
            <v>12</v>
          </cell>
        </row>
        <row r="641">
          <cell r="B641" t="str">
            <v>AVUP-65D26RX-B0A4</v>
          </cell>
          <cell r="C641" t="str">
            <v>W-UNPL-CG85EPX-L870-02-7C00</v>
          </cell>
          <cell r="D641">
            <v>15</v>
          </cell>
          <cell r="E641" t="str">
            <v>W-UNPL-WG87NXX-T3AF-00-7C00</v>
          </cell>
          <cell r="F641">
            <v>15</v>
          </cell>
        </row>
        <row r="642">
          <cell r="B642" t="str">
            <v>AVWP-32B20LX-A8A3</v>
          </cell>
          <cell r="C642" t="str">
            <v>W-UNPL-CM84APX-L870-02-7S00</v>
          </cell>
          <cell r="D642">
            <v>12</v>
          </cell>
          <cell r="E642" t="str">
            <v>W-UNPL-WM85NXX-T3AF-00-7S00</v>
          </cell>
          <cell r="F642">
            <v>12</v>
          </cell>
        </row>
        <row r="643">
          <cell r="B643" t="str">
            <v>AVWP-32B20RX-A8A3</v>
          </cell>
          <cell r="C643" t="str">
            <v>W-UNPL-CM84APX-L870-02-7S00</v>
          </cell>
          <cell r="D643">
            <v>12</v>
          </cell>
          <cell r="E643" t="str">
            <v>W-UNPL-WM85NXX-T3AF-00-7S00</v>
          </cell>
          <cell r="F643">
            <v>12</v>
          </cell>
        </row>
        <row r="644">
          <cell r="B644" t="str">
            <v>AVWP-36B20LX-A7A5</v>
          </cell>
          <cell r="C644" t="str">
            <v>W-UNPL-CM84APX-L870-02-7S00</v>
          </cell>
          <cell r="D644">
            <v>12</v>
          </cell>
          <cell r="E644" t="str">
            <v>W-UNPL-WM85NXX-T3AF-00-7S00</v>
          </cell>
          <cell r="F644">
            <v>9</v>
          </cell>
        </row>
        <row r="645">
          <cell r="B645" t="str">
            <v>AVWP-36B20LX-A8A3</v>
          </cell>
          <cell r="C645" t="str">
            <v>W-UNPL-CM84APX-L870-02-7S00</v>
          </cell>
          <cell r="D645">
            <v>12</v>
          </cell>
          <cell r="E645" t="str">
            <v>W-UNPL-WM85NXX-T3AF-00-7S00</v>
          </cell>
          <cell r="F645">
            <v>12</v>
          </cell>
        </row>
        <row r="646">
          <cell r="B646" t="str">
            <v>AVWP-36B20LX-A8A4</v>
          </cell>
          <cell r="C646" t="str">
            <v>W-UNPL-CM84APX-L870-02-7S00</v>
          </cell>
          <cell r="D646">
            <v>12</v>
          </cell>
          <cell r="E646" t="str">
            <v>W-UNPL-WM85NXX-T3AF-00-7S00</v>
          </cell>
          <cell r="F646">
            <v>12</v>
          </cell>
        </row>
        <row r="647">
          <cell r="B647" t="str">
            <v>AVWP-36B20RS-A8A4</v>
          </cell>
          <cell r="C647" t="str">
            <v>W-UNPL-CM84APX-L870-02-7S00</v>
          </cell>
          <cell r="D647">
            <v>12</v>
          </cell>
          <cell r="E647" t="str">
            <v>W-UNPL-WM85NXX-T3AF-00-7S00</v>
          </cell>
          <cell r="F647">
            <v>12</v>
          </cell>
        </row>
        <row r="648">
          <cell r="B648" t="str">
            <v>AVWP-36B20RX-A7A5</v>
          </cell>
          <cell r="C648" t="str">
            <v>W-UNPL-CM84APX-L870-02-7S00</v>
          </cell>
          <cell r="D648">
            <v>12</v>
          </cell>
          <cell r="E648" t="str">
            <v>W-UNPL-WM85NXX-T3AF-00-7S00</v>
          </cell>
          <cell r="F648">
            <v>9</v>
          </cell>
        </row>
        <row r="649">
          <cell r="B649" t="str">
            <v>AVWP-36B20RX-A8A3</v>
          </cell>
          <cell r="C649" t="str">
            <v>W-UNPL-CM84APX-L870-02-7S00</v>
          </cell>
          <cell r="D649">
            <v>12</v>
          </cell>
          <cell r="E649" t="str">
            <v>W-UNPL-WM85NXX-T3AF-00-7S00</v>
          </cell>
          <cell r="F649">
            <v>12</v>
          </cell>
        </row>
        <row r="650">
          <cell r="B650" t="str">
            <v>AVWP-36B20RX-A8A4</v>
          </cell>
          <cell r="C650" t="str">
            <v>W-UNPL-CM84APX-L870-02-7S00</v>
          </cell>
          <cell r="D650">
            <v>12</v>
          </cell>
          <cell r="E650" t="str">
            <v>W-UNPL-WM85NXX-T3AF-00-7S00</v>
          </cell>
          <cell r="F650">
            <v>12</v>
          </cell>
        </row>
        <row r="651">
          <cell r="B651" t="str">
            <v>AVWP-40B20LS-A8A3</v>
          </cell>
          <cell r="C651" t="str">
            <v>W-UNPL-CM84APX-L870-02-7S00</v>
          </cell>
          <cell r="D651">
            <v>12</v>
          </cell>
          <cell r="E651" t="str">
            <v>W-UNPL-WM85NXX-T3AF-00-7S00</v>
          </cell>
          <cell r="F651">
            <v>12</v>
          </cell>
        </row>
        <row r="652">
          <cell r="B652" t="str">
            <v>AVWP-40B20LX-A8A3</v>
          </cell>
          <cell r="C652" t="str">
            <v>W-UNPL-CM84APX-L870-02-7S00</v>
          </cell>
          <cell r="D652">
            <v>12</v>
          </cell>
          <cell r="E652" t="str">
            <v>W-UNPL-WM85NXX-T3AF-00-7S00</v>
          </cell>
          <cell r="F652">
            <v>12</v>
          </cell>
        </row>
        <row r="653">
          <cell r="B653" t="str">
            <v>AVWP-40B20RS-A8A3</v>
          </cell>
          <cell r="C653" t="str">
            <v>W-UNPL-CM84APX-L870-02-7S00</v>
          </cell>
          <cell r="D653">
            <v>12</v>
          </cell>
          <cell r="E653" t="str">
            <v>W-UNPL-WM85NXX-T3AF-00-7S00</v>
          </cell>
          <cell r="F653">
            <v>12</v>
          </cell>
        </row>
        <row r="654">
          <cell r="B654" t="str">
            <v>AVWP-40B20RX-A8A3</v>
          </cell>
          <cell r="C654" t="str">
            <v>W-UNPL-CM84APX-L870-02-7S00</v>
          </cell>
          <cell r="D654">
            <v>12</v>
          </cell>
          <cell r="E654" t="str">
            <v>W-UNPL-WM85NXX-T3AF-00-7S00</v>
          </cell>
          <cell r="F654">
            <v>12</v>
          </cell>
        </row>
        <row r="655">
          <cell r="B655" t="str">
            <v>AVWP-46B24LS-A9A3</v>
          </cell>
          <cell r="C655" t="str">
            <v>W-UNPL-CM84APX-L870-02-7S00</v>
          </cell>
          <cell r="D655">
            <v>15</v>
          </cell>
          <cell r="E655" t="str">
            <v>W-UNPL-WM85NXX-T3AF-00-7S00</v>
          </cell>
          <cell r="F655">
            <v>12</v>
          </cell>
        </row>
        <row r="656">
          <cell r="B656" t="str">
            <v>AVWP-46B24LS-A9A5</v>
          </cell>
          <cell r="C656" t="str">
            <v>W-UNPL-CM84APX-L870-02-7S00</v>
          </cell>
          <cell r="D656">
            <v>15</v>
          </cell>
          <cell r="E656" t="str">
            <v>W-UNPL-WM85NXX-T3AF-00-7S00</v>
          </cell>
          <cell r="F656">
            <v>12</v>
          </cell>
        </row>
        <row r="657">
          <cell r="B657" t="str">
            <v>AVWP-46B24LS-B0A4</v>
          </cell>
          <cell r="C657" t="str">
            <v>W-UNPL-CM84APX-L870-02-7S00</v>
          </cell>
          <cell r="D657">
            <v>15</v>
          </cell>
          <cell r="E657" t="str">
            <v>W-UNPL-WM85NXX-T3AF-00-7S00</v>
          </cell>
          <cell r="F657">
            <v>15</v>
          </cell>
        </row>
        <row r="658">
          <cell r="B658" t="str">
            <v>AVWP-46B24LX-A9A3</v>
          </cell>
          <cell r="C658" t="str">
            <v>W-UNPL-CM84APX-L870-02-7S00</v>
          </cell>
          <cell r="D658">
            <v>15</v>
          </cell>
          <cell r="E658" t="str">
            <v>W-UNPL-WM85NXX-T3AF-00-7S00</v>
          </cell>
          <cell r="F658">
            <v>12</v>
          </cell>
        </row>
        <row r="659">
          <cell r="B659" t="str">
            <v>AVWP-46B24LX-B0A4</v>
          </cell>
          <cell r="C659" t="str">
            <v>W-UNPL-CM84APX-L870-02-7S00</v>
          </cell>
          <cell r="D659">
            <v>15</v>
          </cell>
          <cell r="E659" t="str">
            <v>W-UNPL-WM85NXX-T3AF-00-7S00</v>
          </cell>
          <cell r="F659">
            <v>15</v>
          </cell>
        </row>
        <row r="660">
          <cell r="B660" t="str">
            <v>AVWP-46B24RS-A9A3</v>
          </cell>
          <cell r="C660" t="str">
            <v>W-UNPL-CM84APX-L870-02-7S00</v>
          </cell>
          <cell r="D660">
            <v>15</v>
          </cell>
          <cell r="E660" t="str">
            <v>W-UNPL-WM85NXX-T3AF-00-7S00</v>
          </cell>
          <cell r="F660">
            <v>12</v>
          </cell>
        </row>
        <row r="661">
          <cell r="B661" t="str">
            <v>AVWP-46B24RS-A9A5</v>
          </cell>
          <cell r="C661" t="str">
            <v>W-UNPL-CM84APX-L870-02-7S00</v>
          </cell>
          <cell r="D661">
            <v>15</v>
          </cell>
          <cell r="E661" t="str">
            <v>W-UNPL-WM85NXX-T3AF-00-7S00</v>
          </cell>
          <cell r="F661">
            <v>12</v>
          </cell>
        </row>
        <row r="662">
          <cell r="B662" t="str">
            <v>AVWP-46B24RS-B0A4</v>
          </cell>
          <cell r="C662" t="str">
            <v>W-UNPL-CM84APX-L870-02-7S00</v>
          </cell>
          <cell r="D662">
            <v>15</v>
          </cell>
          <cell r="E662" t="str">
            <v>W-UNPL-WM85NXX-T3AF-00-7S00</v>
          </cell>
          <cell r="F662">
            <v>15</v>
          </cell>
        </row>
        <row r="663">
          <cell r="B663" t="str">
            <v>AVWP-46B24RX-A9A3</v>
          </cell>
          <cell r="C663" t="str">
            <v>W-UNPL-CM84APX-L870-02-7S00</v>
          </cell>
          <cell r="D663">
            <v>15</v>
          </cell>
          <cell r="E663" t="str">
            <v>W-UNPL-WM85NXX-T3AF-00-7S00</v>
          </cell>
          <cell r="F663">
            <v>12</v>
          </cell>
        </row>
        <row r="664">
          <cell r="B664" t="str">
            <v>AVWP-46B24RX-B0A4</v>
          </cell>
          <cell r="C664" t="str">
            <v>W-UNPL-CM84APX-L870-02-7S00</v>
          </cell>
          <cell r="D664">
            <v>15</v>
          </cell>
          <cell r="E664" t="str">
            <v>W-UNPL-WM85NXX-T3AF-00-7S00</v>
          </cell>
          <cell r="F664">
            <v>15</v>
          </cell>
        </row>
        <row r="665">
          <cell r="B665" t="str">
            <v>AVWP-65D26LX-A9A3</v>
          </cell>
          <cell r="C665" t="str">
            <v>W-UNPL-CG85EPX-L870-02-7C00</v>
          </cell>
          <cell r="D665">
            <v>15</v>
          </cell>
          <cell r="E665" t="str">
            <v>W-UNPL-WG87NXX-T3AF-00-7C00</v>
          </cell>
          <cell r="F665">
            <v>12</v>
          </cell>
        </row>
        <row r="666">
          <cell r="B666" t="str">
            <v>AVWP-65D26LX-B0A4</v>
          </cell>
          <cell r="C666" t="str">
            <v>W-UNPL-CG85EPX-L870-02-7C00</v>
          </cell>
          <cell r="D666">
            <v>15</v>
          </cell>
          <cell r="E666" t="str">
            <v>W-UNPL-WG87NXX-T3AF-00-7C00</v>
          </cell>
          <cell r="F666">
            <v>15</v>
          </cell>
        </row>
        <row r="667">
          <cell r="B667" t="str">
            <v>AVWP-65D26RX-A9A3</v>
          </cell>
          <cell r="C667" t="str">
            <v>W-UNPL-CG85EPX-L870-02-7C00</v>
          </cell>
          <cell r="D667">
            <v>15</v>
          </cell>
          <cell r="E667" t="str">
            <v>W-UNPL-WG87NXX-T3AF-00-7C00</v>
          </cell>
          <cell r="F667">
            <v>12</v>
          </cell>
        </row>
        <row r="668">
          <cell r="B668" t="str">
            <v>AVWP-65D26RX-B0A4</v>
          </cell>
          <cell r="C668" t="str">
            <v>W-UNPL-CG85EPX-L870-02-7C00</v>
          </cell>
          <cell r="D668">
            <v>15</v>
          </cell>
          <cell r="E668" t="str">
            <v>W-UNPL-WG87NXX-T3AF-00-7C00</v>
          </cell>
          <cell r="F668">
            <v>15</v>
          </cell>
        </row>
        <row r="669">
          <cell r="B669" t="str">
            <v>BESA-00440KW-1204</v>
          </cell>
          <cell r="C669" t="str">
            <v>W-FOPL-YC62PXX-L65D-02-9S0A</v>
          </cell>
          <cell r="D669">
            <v>216</v>
          </cell>
          <cell r="E669" t="str">
            <v>W-FOPL-YC70NXX-T3AD-02-9S0A</v>
          </cell>
          <cell r="F669">
            <v>252</v>
          </cell>
        </row>
      </sheetData>
      <sheetData sheetId="1">
        <row r="1">
          <cell r="C1" t="str">
            <v>Item</v>
          </cell>
          <cell r="D1" t="str">
            <v>Timah</v>
          </cell>
          <cell r="E1" t="str">
            <v>pule/plate</v>
          </cell>
        </row>
        <row r="2">
          <cell r="C2" t="str">
            <v>W-UNPL-CG79PXX-L34A-02-7S00</v>
          </cell>
          <cell r="D2" t="str">
            <v>M-PULE-9997XXX-0000-00-2600</v>
          </cell>
          <cell r="E2">
            <v>0.1903</v>
          </cell>
        </row>
        <row r="3">
          <cell r="C3" t="str">
            <v>W-UNPL-CG80PXX-L870-02-7S00</v>
          </cell>
          <cell r="D3" t="str">
            <v>M-PULE-9997XXX-0000-00-2600</v>
          </cell>
          <cell r="E3">
            <v>0.15109999999999998</v>
          </cell>
        </row>
        <row r="4">
          <cell r="C4" t="str">
            <v>W-UNPL-CG80PXX-L870-02-7S00</v>
          </cell>
          <cell r="D4" t="str">
            <v>M-PULE-9997XXX-0000-00-2600</v>
          </cell>
          <cell r="E4">
            <v>0.15109999999999998</v>
          </cell>
        </row>
        <row r="5">
          <cell r="C5" t="str">
            <v>W-UNPL-CG82PXX-L870-02-7S00</v>
          </cell>
          <cell r="D5" t="str">
            <v>M-PULE-9997XXX-0000-00-2600</v>
          </cell>
          <cell r="E5">
            <v>0.12849999999999998</v>
          </cell>
        </row>
        <row r="6">
          <cell r="C6" t="str">
            <v>W-UNPL-CG82PXX-L870-02-7S00</v>
          </cell>
          <cell r="D6" t="str">
            <v>M-PULE-9997XXX-0000-00-2600</v>
          </cell>
          <cell r="E6">
            <v>0.12849999999999998</v>
          </cell>
        </row>
        <row r="7">
          <cell r="C7" t="str">
            <v>W-UNPL-CG84NXX-T3S0-02-7S0A</v>
          </cell>
          <cell r="D7" t="str">
            <v>M-PULE-9997XXX-0000-00-2600</v>
          </cell>
          <cell r="E7">
            <v>0.15459999999999999</v>
          </cell>
        </row>
        <row r="8">
          <cell r="C8" t="str">
            <v>W-UNPL-CG85EPX-L870-02-7C00</v>
          </cell>
          <cell r="D8" t="str">
            <v>M-PULE-9997XXX-0000-00-2600</v>
          </cell>
          <cell r="E8">
            <v>0.1222</v>
          </cell>
        </row>
        <row r="9">
          <cell r="C9" t="str">
            <v>W-UNPL-CG85NXX-T3A0-02-7S00</v>
          </cell>
          <cell r="D9" t="str">
            <v>M-PULE-9997XXX-0000-00-2600</v>
          </cell>
          <cell r="E9">
            <v>0.13069999999999998</v>
          </cell>
        </row>
        <row r="10">
          <cell r="C10" t="str">
            <v>W-UNPL-CG85NXX-T3L0-02-7S00</v>
          </cell>
          <cell r="D10" t="str">
            <v>M-PULE-9997XXX-0000-00-2600</v>
          </cell>
          <cell r="E10">
            <v>0.13069999999999998</v>
          </cell>
        </row>
        <row r="11">
          <cell r="C11" t="str">
            <v>W-UNPL-CG85PXX-L870-02-7S00</v>
          </cell>
          <cell r="D11" t="str">
            <v>M-PULE-9997XXX-0000-00-2600</v>
          </cell>
          <cell r="E11">
            <v>0.1178</v>
          </cell>
        </row>
        <row r="12">
          <cell r="C12" t="str">
            <v>W-UNPL-CG85PXX-L870-02-7S00</v>
          </cell>
          <cell r="D12" t="str">
            <v>M-PULE-9997XXX-0000-00-2600</v>
          </cell>
          <cell r="E12">
            <v>0.1178</v>
          </cell>
        </row>
        <row r="13">
          <cell r="C13" t="str">
            <v>W-UNPL-CG87NXX-T3A0-02-7S00</v>
          </cell>
          <cell r="D13" t="str">
            <v>M-PULE-9997XXX-0000-00-2600</v>
          </cell>
          <cell r="E13">
            <v>0.115</v>
          </cell>
        </row>
        <row r="14">
          <cell r="C14" t="str">
            <v>W-UNPL-CG87NXX-T3L0-02-7S00</v>
          </cell>
          <cell r="D14" t="str">
            <v>M-PULE-9997XXX-0000-00-2600</v>
          </cell>
          <cell r="E14">
            <v>0.115</v>
          </cell>
        </row>
        <row r="15">
          <cell r="C15" t="str">
            <v>W-UNPL-CM84APX-L870-02-7S00</v>
          </cell>
          <cell r="D15" t="str">
            <v>M-PULE-9997XXX-0000-00-2600</v>
          </cell>
          <cell r="E15">
            <v>8.9700000000000002E-2</v>
          </cell>
        </row>
        <row r="16">
          <cell r="C16" t="str">
            <v>W-UNPL-CM84APX-L870-02-7S00</v>
          </cell>
          <cell r="D16" t="str">
            <v>M-PULE-9997XXX-0000-00-2600</v>
          </cell>
          <cell r="E16">
            <v>8.9700000000000002E-2</v>
          </cell>
        </row>
        <row r="17">
          <cell r="C17" t="str">
            <v>W-UNPL-CM8786N-T3A0-02-7S00</v>
          </cell>
          <cell r="D17" t="str">
            <v>M-PULE-9997XXX-0000-00-2600</v>
          </cell>
          <cell r="E17">
            <v>9.4300000000000009E-2</v>
          </cell>
        </row>
        <row r="18">
          <cell r="C18" t="str">
            <v>W-UNPL-CM8786N-T3L0-02-7S00</v>
          </cell>
          <cell r="D18" t="str">
            <v>M-PULE-9997XXX-0000-00-2600</v>
          </cell>
          <cell r="E18">
            <v>9.4300000000000009E-2</v>
          </cell>
        </row>
        <row r="19">
          <cell r="C19" t="str">
            <v>W-UNPL-M8783PX-L87C-08-9S0A</v>
          </cell>
          <cell r="D19" t="str">
            <v>M-PULE-9999XXX-0000-00-2600</v>
          </cell>
          <cell r="E19">
            <v>9.3399999999999997E-2</v>
          </cell>
        </row>
        <row r="20">
          <cell r="C20" t="str">
            <v>W-UNPL-M8786NX-T3AC-08-9S0A</v>
          </cell>
          <cell r="D20" t="str">
            <v>M-PULE-9999XXX-0000-00-2600</v>
          </cell>
          <cell r="E20">
            <v>8.5100000000000009E-2</v>
          </cell>
        </row>
        <row r="21">
          <cell r="C21" t="str">
            <v>W-UNPL-WG83PXX-L65F-00-7C00</v>
          </cell>
          <cell r="D21" t="str">
            <v>M-PULE-9997XXX-0000-00-2600</v>
          </cell>
          <cell r="E21">
            <v>0.16929999999999998</v>
          </cell>
        </row>
        <row r="22">
          <cell r="C22" t="str">
            <v>W-UNPL-WG87NXX-T3AF-00-7C00</v>
          </cell>
          <cell r="D22" t="str">
            <v>M-PULE-9997XXX-0000-00-2600</v>
          </cell>
          <cell r="E22">
            <v>0.13069999999999998</v>
          </cell>
        </row>
        <row r="23">
          <cell r="C23" t="str">
            <v>W-UNPL-WM84ESP-L03B-00-7S0A</v>
          </cell>
          <cell r="D23" t="str">
            <v>M-PULE-9997XXX-0000-00-2600</v>
          </cell>
          <cell r="E23">
            <v>0.1149</v>
          </cell>
        </row>
        <row r="24">
          <cell r="C24" t="str">
            <v>W-UNPL-WM84PXX-L65F-00-7S00</v>
          </cell>
          <cell r="D24" t="str">
            <v>M-PULE-9997XXX-0000-00-2600</v>
          </cell>
          <cell r="E24">
            <v>0.1139</v>
          </cell>
        </row>
        <row r="25">
          <cell r="C25" t="str">
            <v>W-UNPL-WM85NXX-T3AF-00-7S00</v>
          </cell>
          <cell r="D25" t="str">
            <v>M-PULE-9997XXX-0000-00-2600</v>
          </cell>
          <cell r="E25">
            <v>0.10630000000000001</v>
          </cell>
        </row>
        <row r="26">
          <cell r="C26" t="str">
            <v>W-UNPL-WM87ESN-T3B0-00-7S0A</v>
          </cell>
          <cell r="D26" t="str">
            <v>M-PULE-9997XXX-0000-00-2600</v>
          </cell>
          <cell r="E26">
            <v>9.4899999999999998E-2</v>
          </cell>
        </row>
        <row r="27">
          <cell r="C27" t="str">
            <v>W-UNPL-YA82ESP-L03B-02-7S0A</v>
          </cell>
          <cell r="D27" t="str">
            <v>M-PULE-9997XXX-0000-00-2600</v>
          </cell>
          <cell r="E27">
            <v>0.1757</v>
          </cell>
        </row>
        <row r="28">
          <cell r="E28">
            <v>0.17560000000000001</v>
          </cell>
        </row>
        <row r="29">
          <cell r="C29" t="str">
            <v>W-UNPL-YA85ESN-T3B0-02-7S0A</v>
          </cell>
          <cell r="D29" t="str">
            <v>M-PULE-9997XXX-0000-00-2600</v>
          </cell>
          <cell r="E29">
            <v>0.1636</v>
          </cell>
        </row>
        <row r="30">
          <cell r="E30">
            <v>0.16350000000000001</v>
          </cell>
        </row>
        <row r="31">
          <cell r="C31" t="str">
            <v>W-UNPL-YD84PXX-L870-02-7S00</v>
          </cell>
          <cell r="D31" t="str">
            <v>M-PULE-9997XXX-0000-00-2600</v>
          </cell>
          <cell r="E31">
            <v>0.1193</v>
          </cell>
        </row>
        <row r="32">
          <cell r="C32" t="str">
            <v>W-UNPL-YD85NXX-T3A0-02-7S00</v>
          </cell>
          <cell r="D32" t="str">
            <v>M-PULE-9997XXX-0000-00-2600</v>
          </cell>
          <cell r="E32">
            <v>0.1205</v>
          </cell>
        </row>
        <row r="33">
          <cell r="C33" t="str">
            <v>W-UNPL-YG79HDP-L650-02-7S00</v>
          </cell>
          <cell r="D33" t="str">
            <v>M-PULE-9997XXX-0000-00-2600</v>
          </cell>
          <cell r="E33">
            <v>0.14429999999999998</v>
          </cell>
        </row>
        <row r="34">
          <cell r="E34">
            <v>0.16259999999999999</v>
          </cell>
        </row>
        <row r="35">
          <cell r="C35" t="str">
            <v>W-UNPL-YG8079P-L650-02-7S00</v>
          </cell>
          <cell r="D35" t="str">
            <v>M-PULE-9997XXX-0000-00-2600</v>
          </cell>
          <cell r="E35">
            <v>0.158</v>
          </cell>
        </row>
        <row r="36">
          <cell r="E36">
            <v>0.15029999999999999</v>
          </cell>
        </row>
        <row r="37">
          <cell r="C37" t="str">
            <v>W-UNPL-YG82HDP-L650-02-7S00</v>
          </cell>
          <cell r="D37" t="str">
            <v>M-PULE-9997XXX-0000-00-2600</v>
          </cell>
          <cell r="E37">
            <v>0.13749999999999998</v>
          </cell>
        </row>
        <row r="38">
          <cell r="C38" t="str">
            <v>W-UNPL-YG82PXX-L650-02-7S00</v>
          </cell>
          <cell r="D38" t="str">
            <v>M-PULE-9997XXX-0000-00-2600</v>
          </cell>
          <cell r="E38">
            <v>0.13749999999999998</v>
          </cell>
        </row>
        <row r="39">
          <cell r="C39" t="str">
            <v>W-UNPL-YG85NXX-T3A0-02-7S00</v>
          </cell>
          <cell r="D39" t="str">
            <v>M-PULE-9997XXX-0000-00-2600</v>
          </cell>
          <cell r="E39">
            <v>0.13069999999999998</v>
          </cell>
        </row>
        <row r="40">
          <cell r="C40" t="str">
            <v>W-UNPL-YG85NXX-T3A0-02-7S00</v>
          </cell>
          <cell r="D40" t="str">
            <v>M-PULE-9997XXX-0000-00-2600</v>
          </cell>
          <cell r="E40">
            <v>0.13069999999999998</v>
          </cell>
        </row>
        <row r="41">
          <cell r="C41" t="str">
            <v>W-UNPL-YM84NXX-T3A0-02-7S00</v>
          </cell>
          <cell r="D41" t="str">
            <v>M-PULE-9997XXX-0000-00-2600</v>
          </cell>
          <cell r="E41">
            <v>0.10340000000000001</v>
          </cell>
        </row>
        <row r="42">
          <cell r="C42" t="str">
            <v>W-UNPL-YM84NXX-T3A0-02-7S00</v>
          </cell>
          <cell r="D42" t="str">
            <v>M-PULE-9997XXX-0000-00-2600</v>
          </cell>
          <cell r="E42">
            <v>0.10340000000000001</v>
          </cell>
        </row>
        <row r="43">
          <cell r="C43" t="str">
            <v>W-UNPL-YM84NXX-T3A0-02-7S00</v>
          </cell>
          <cell r="D43" t="str">
            <v>M-PULE-9997XXX-0000-00-2600</v>
          </cell>
          <cell r="E43">
            <v>0.10340000000000001</v>
          </cell>
        </row>
        <row r="44">
          <cell r="C44" t="str">
            <v>W-UNPL-YM84NXX-T3A0-02-7S00</v>
          </cell>
          <cell r="D44" t="str">
            <v>M-PULE-9997XXX-0000-00-2600</v>
          </cell>
          <cell r="E44">
            <v>0.10340000000000001</v>
          </cell>
        </row>
        <row r="45">
          <cell r="C45" t="str">
            <v>W-UNPL-YS67PXX-L65D-01-9S0A</v>
          </cell>
          <cell r="D45" t="str">
            <v>M-PULE-9999XXX-0000-00-2600</v>
          </cell>
          <cell r="E45">
            <v>0.2208</v>
          </cell>
        </row>
        <row r="46">
          <cell r="C46" t="str">
            <v>W-UNPL-YS76NXX-T3AD-01-9S0A</v>
          </cell>
          <cell r="D46" t="str">
            <v>M-PULE-9999XXX-0000-00-2600</v>
          </cell>
          <cell r="E46">
            <v>0.16699999999999998</v>
          </cell>
        </row>
        <row r="47">
          <cell r="C47" t="str">
            <v>W-UNPL-YW75PXX-L65D-06-9S0A</v>
          </cell>
          <cell r="D47" t="str">
            <v>M-PULE-9999XXX-0000-00-2600</v>
          </cell>
          <cell r="E47">
            <v>0.1472</v>
          </cell>
        </row>
        <row r="48">
          <cell r="C48" t="str">
            <v>W-UNPL-YW82NXX-T3AD-06-9S0A</v>
          </cell>
          <cell r="D48" t="str">
            <v>M-PULE-9999XXX-0000-00-2600</v>
          </cell>
          <cell r="E48">
            <v>9.820000000000001E-2</v>
          </cell>
        </row>
        <row r="49">
          <cell r="E49">
            <v>0.10440000000000001</v>
          </cell>
        </row>
        <row r="50">
          <cell r="E50">
            <v>9.7500000000000003E-2</v>
          </cell>
        </row>
        <row r="51">
          <cell r="E51">
            <v>0.2482</v>
          </cell>
        </row>
        <row r="52">
          <cell r="E52">
            <v>0.18720000000000001</v>
          </cell>
        </row>
        <row r="53">
          <cell r="E53">
            <v>0.18740000000000001</v>
          </cell>
        </row>
        <row r="54">
          <cell r="E54">
            <v>0.1298</v>
          </cell>
        </row>
        <row r="55">
          <cell r="E55">
            <v>0.1153</v>
          </cell>
        </row>
        <row r="56">
          <cell r="E56">
            <v>0.1153</v>
          </cell>
        </row>
        <row r="57">
          <cell r="E57">
            <v>0.2616</v>
          </cell>
        </row>
        <row r="58">
          <cell r="E58">
            <v>0.14069999999999999</v>
          </cell>
        </row>
        <row r="59">
          <cell r="E59">
            <v>7.9000000000000001E-2</v>
          </cell>
        </row>
        <row r="60">
          <cell r="E60">
            <v>7.8700000000000006E-2</v>
          </cell>
        </row>
        <row r="61">
          <cell r="E61">
            <v>0.10630000000000001</v>
          </cell>
        </row>
        <row r="62">
          <cell r="E62">
            <v>0.1037</v>
          </cell>
        </row>
        <row r="63">
          <cell r="E63">
            <v>9.4500000000000001E-2</v>
          </cell>
        </row>
        <row r="64">
          <cell r="E64">
            <v>0.1366</v>
          </cell>
        </row>
        <row r="65">
          <cell r="E65">
            <v>0.1071</v>
          </cell>
        </row>
      </sheetData>
      <sheetData sheetId="2">
        <row r="2">
          <cell r="C2" t="str">
            <v>CG85</v>
          </cell>
          <cell r="D2" t="str">
            <v>Grid Casting</v>
          </cell>
        </row>
        <row r="3">
          <cell r="C3" t="str">
            <v>CG80</v>
          </cell>
          <cell r="D3" t="str">
            <v>Grid Casting</v>
          </cell>
        </row>
        <row r="4">
          <cell r="C4" t="str">
            <v>CG82</v>
          </cell>
          <cell r="D4" t="str">
            <v>Grid Casting</v>
          </cell>
        </row>
        <row r="5">
          <cell r="C5" t="str">
            <v>CM84</v>
          </cell>
          <cell r="D5" t="str">
            <v>Grid Casting</v>
          </cell>
        </row>
        <row r="6">
          <cell r="C6" t="str">
            <v>CG79</v>
          </cell>
          <cell r="D6" t="str">
            <v>Grid Casting</v>
          </cell>
        </row>
        <row r="7">
          <cell r="C7" t="str">
            <v>WG83</v>
          </cell>
          <cell r="D7" t="str">
            <v>Grid Punching</v>
          </cell>
        </row>
        <row r="8">
          <cell r="C8" t="str">
            <v>YG80</v>
          </cell>
          <cell r="D8" t="str">
            <v>Grid Casting</v>
          </cell>
        </row>
        <row r="9">
          <cell r="C9" t="str">
            <v>YG82</v>
          </cell>
          <cell r="D9" t="str">
            <v>Grid Casting</v>
          </cell>
        </row>
        <row r="10">
          <cell r="C10" t="str">
            <v>WM84</v>
          </cell>
          <cell r="D10" t="str">
            <v>Grid Casting</v>
          </cell>
        </row>
        <row r="11">
          <cell r="C11" t="str">
            <v>YD84</v>
          </cell>
          <cell r="D11" t="str">
            <v>Grid Casting</v>
          </cell>
        </row>
        <row r="12">
          <cell r="C12" t="str">
            <v>YG79</v>
          </cell>
          <cell r="D12" t="str">
            <v>Grid Casting</v>
          </cell>
        </row>
        <row r="13">
          <cell r="C13" t="str">
            <v>YA82</v>
          </cell>
          <cell r="D13" t="str">
            <v>Grid Casting</v>
          </cell>
        </row>
        <row r="14">
          <cell r="C14" t="str">
            <v>YC62</v>
          </cell>
          <cell r="D14" t="str">
            <v>Grid Casting</v>
          </cell>
        </row>
        <row r="15">
          <cell r="C15" t="str">
            <v>YS67</v>
          </cell>
          <cell r="D15" t="str">
            <v>Grid Casting</v>
          </cell>
        </row>
        <row r="16">
          <cell r="C16" t="str">
            <v>CG87</v>
          </cell>
          <cell r="D16" t="str">
            <v>Grid Casting</v>
          </cell>
        </row>
        <row r="17">
          <cell r="C17" t="str">
            <v>CG85</v>
          </cell>
          <cell r="D17" t="str">
            <v>Grid Casting</v>
          </cell>
        </row>
        <row r="18">
          <cell r="C18" t="str">
            <v>CM87</v>
          </cell>
          <cell r="D18" t="str">
            <v>Grid Casting</v>
          </cell>
        </row>
        <row r="19">
          <cell r="C19" t="str">
            <v>CG84</v>
          </cell>
          <cell r="D19" t="str">
            <v>Grid Casting</v>
          </cell>
        </row>
        <row r="20">
          <cell r="C20" t="str">
            <v>WM85</v>
          </cell>
          <cell r="D20" t="str">
            <v>Grid Punching</v>
          </cell>
        </row>
        <row r="21">
          <cell r="C21" t="str">
            <v>YM84</v>
          </cell>
          <cell r="D21" t="str">
            <v>Grid Casting</v>
          </cell>
        </row>
        <row r="22">
          <cell r="C22" t="str">
            <v>WG87</v>
          </cell>
          <cell r="D22" t="str">
            <v>Grid Punching</v>
          </cell>
        </row>
        <row r="23">
          <cell r="C23" t="str">
            <v>YG85</v>
          </cell>
          <cell r="D23" t="str">
            <v>Grid Casting</v>
          </cell>
        </row>
        <row r="24">
          <cell r="C24" t="str">
            <v>YD85</v>
          </cell>
          <cell r="D24" t="str">
            <v>Grid Casting</v>
          </cell>
        </row>
        <row r="25">
          <cell r="C25" t="str">
            <v>WM87</v>
          </cell>
          <cell r="D25" t="str">
            <v>Grid Punching</v>
          </cell>
        </row>
        <row r="26">
          <cell r="C26" t="str">
            <v>YA85</v>
          </cell>
          <cell r="D26" t="str">
            <v>Grid Casting</v>
          </cell>
        </row>
        <row r="27">
          <cell r="C27" t="str">
            <v>YC70</v>
          </cell>
          <cell r="D27" t="str">
            <v>Grid Casting</v>
          </cell>
        </row>
        <row r="28">
          <cell r="C28" t="str">
            <v>YS76</v>
          </cell>
          <cell r="D28" t="str">
            <v>Grid Casting</v>
          </cell>
        </row>
        <row r="29">
          <cell r="C29" t="str">
            <v>M878</v>
          </cell>
          <cell r="D29" t="str">
            <v>Grid Casting</v>
          </cell>
        </row>
        <row r="30">
          <cell r="C30" t="str">
            <v>DF72</v>
          </cell>
          <cell r="D30" t="str">
            <v>Grid Casting</v>
          </cell>
        </row>
        <row r="31">
          <cell r="C31" t="str">
            <v>YL80</v>
          </cell>
          <cell r="D31" t="str">
            <v>Grid Casting</v>
          </cell>
        </row>
        <row r="32">
          <cell r="C32" t="str">
            <v>CR82</v>
          </cell>
          <cell r="D32" t="str">
            <v>Grid Casting</v>
          </cell>
        </row>
        <row r="33">
          <cell r="C33" t="str">
            <v>YR79</v>
          </cell>
          <cell r="D33" t="str">
            <v>Grid Casting</v>
          </cell>
        </row>
        <row r="34">
          <cell r="C34" t="str">
            <v>CM82</v>
          </cell>
          <cell r="D34" t="str">
            <v>Grid Casting</v>
          </cell>
        </row>
        <row r="35">
          <cell r="C35" t="str">
            <v>YG81</v>
          </cell>
          <cell r="D35" t="str">
            <v>Grid Casting</v>
          </cell>
        </row>
        <row r="36">
          <cell r="C36" t="str">
            <v>DF72</v>
          </cell>
          <cell r="D36" t="str">
            <v>Grid Casting</v>
          </cell>
        </row>
        <row r="37">
          <cell r="C37" t="str">
            <v>CR82</v>
          </cell>
          <cell r="D37" t="str">
            <v>Grid Casting</v>
          </cell>
        </row>
        <row r="38">
          <cell r="C38" t="str">
            <v>DF72</v>
          </cell>
          <cell r="D38" t="str">
            <v>Grid Casting</v>
          </cell>
        </row>
        <row r="39">
          <cell r="C39" t="str">
            <v>DF78</v>
          </cell>
          <cell r="D39" t="str">
            <v>Grid Casting</v>
          </cell>
        </row>
        <row r="40">
          <cell r="C40" t="str">
            <v>YL84</v>
          </cell>
          <cell r="D40" t="str">
            <v>Grid Casting</v>
          </cell>
        </row>
        <row r="41">
          <cell r="C41" t="str">
            <v>CR87</v>
          </cell>
          <cell r="D41" t="str">
            <v>Grid Casting</v>
          </cell>
        </row>
        <row r="42">
          <cell r="C42" t="str">
            <v>YR85</v>
          </cell>
          <cell r="D42" t="str">
            <v>Grid Casting</v>
          </cell>
        </row>
        <row r="43">
          <cell r="C43" t="str">
            <v>CM87</v>
          </cell>
          <cell r="D43" t="str">
            <v>Grid Casting</v>
          </cell>
        </row>
        <row r="44">
          <cell r="C44" t="str">
            <v>YG85</v>
          </cell>
          <cell r="D44" t="str">
            <v>Grid Casting</v>
          </cell>
        </row>
        <row r="45">
          <cell r="C45" t="str">
            <v>DF78</v>
          </cell>
          <cell r="D45" t="str">
            <v>Grid Casting</v>
          </cell>
        </row>
        <row r="46">
          <cell r="C46" t="str">
            <v>CR87</v>
          </cell>
          <cell r="D46" t="str">
            <v>Grid Casting</v>
          </cell>
        </row>
        <row r="47">
          <cell r="C47" t="str">
            <v>DF78</v>
          </cell>
          <cell r="D47" t="str">
            <v>Grid Casting</v>
          </cell>
        </row>
        <row r="48">
          <cell r="C48" t="str">
            <v>YG87</v>
          </cell>
          <cell r="D48" t="str">
            <v>Grid Casting</v>
          </cell>
        </row>
        <row r="49">
          <cell r="C49" t="str">
            <v>YU67</v>
          </cell>
          <cell r="D49" t="str">
            <v>Grid Casting</v>
          </cell>
        </row>
        <row r="50">
          <cell r="C50" t="str">
            <v>YU76</v>
          </cell>
          <cell r="D50" t="str">
            <v>Grid Casting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Validation"/>
      <sheetName val="Factor Konversi"/>
      <sheetName val="Raw Mat"/>
      <sheetName val="Pasta"/>
      <sheetName val="Lead Part"/>
      <sheetName val="AMB Lead Consumtion-01"/>
      <sheetName val="AMB Lead Consumtion-02"/>
      <sheetName val="Coscal10"/>
      <sheetName val="Plastic-AMB"/>
      <sheetName val="Plastic-MCB"/>
      <sheetName val="Plastic"/>
      <sheetName val="Platic"/>
      <sheetName val="Master Batch"/>
      <sheetName val="Revision-00"/>
      <sheetName val="Revision-96"/>
    </sheetNames>
    <sheetDataSet>
      <sheetData sheetId="0"/>
      <sheetData sheetId="1"/>
      <sheetData sheetId="2"/>
      <sheetData sheetId="3">
        <row r="11">
          <cell r="C11" t="str">
            <v>RAW MATERIAL CONSUMPTION (PLATE)</v>
          </cell>
        </row>
        <row r="13">
          <cell r="I13" t="str">
            <v xml:space="preserve">A C T I V E    M A T E R I A L </v>
          </cell>
        </row>
        <row r="14">
          <cell r="F14" t="str">
            <v>GRID</v>
          </cell>
        </row>
        <row r="15">
          <cell r="C15" t="str">
            <v>PLATE  TYPE</v>
          </cell>
          <cell r="G15" t="str">
            <v>INCLUDE</v>
          </cell>
          <cell r="H15" t="str">
            <v>FORMED</v>
          </cell>
          <cell r="I15" t="str">
            <v>LEAD POWDER</v>
          </cell>
          <cell r="K15" t="str">
            <v>PURE LEAD</v>
          </cell>
          <cell r="M15" t="str">
            <v>ADDITIVE  MATERIAL</v>
          </cell>
        </row>
        <row r="16">
          <cell r="F16" t="str">
            <v>DRAWING</v>
          </cell>
          <cell r="G16" t="str">
            <v xml:space="preserve"> </v>
          </cell>
          <cell r="H16" t="str">
            <v>DRAWING</v>
          </cell>
          <cell r="I16" t="str">
            <v>C =</v>
          </cell>
          <cell r="J16" t="str">
            <v>D =</v>
          </cell>
          <cell r="K16" t="str">
            <v>E =</v>
          </cell>
          <cell r="L16" t="str">
            <v>F =</v>
          </cell>
          <cell r="M16" t="str">
            <v>G =</v>
          </cell>
          <cell r="N16" t="str">
            <v>H =</v>
          </cell>
        </row>
        <row r="17">
          <cell r="G17" t="str">
            <v>LOSS 4%</v>
          </cell>
          <cell r="H17" t="str">
            <v>B</v>
          </cell>
          <cell r="I17" t="str">
            <v xml:space="preserve">+B  x  F2  </v>
          </cell>
          <cell r="J17" t="str">
            <v>C x 1.04</v>
          </cell>
          <cell r="K17" t="str">
            <v>+B  x  F4</v>
          </cell>
          <cell r="L17" t="str">
            <v>E x 1.05</v>
          </cell>
          <cell r="M17" t="str">
            <v xml:space="preserve">L65 : B  x  F6 </v>
          </cell>
          <cell r="N17" t="str">
            <v>I x 1.04</v>
          </cell>
        </row>
        <row r="18">
          <cell r="F18" t="str">
            <v>A</v>
          </cell>
          <cell r="G18" t="str">
            <v xml:space="preserve"> </v>
          </cell>
          <cell r="I18" t="str">
            <v>-B  x  F3</v>
          </cell>
          <cell r="J18" t="str">
            <v>INCLUDE</v>
          </cell>
          <cell r="K18" t="str">
            <v>-B  x  F5</v>
          </cell>
          <cell r="L18" t="str">
            <v xml:space="preserve">INCLUDE </v>
          </cell>
          <cell r="M18" t="str">
            <v>L87 : B  x  F7</v>
          </cell>
          <cell r="N18" t="str">
            <v>INCLUDE</v>
          </cell>
        </row>
        <row r="19">
          <cell r="C19" t="str">
            <v>GRID</v>
          </cell>
          <cell r="E19" t="str">
            <v>PASTE</v>
          </cell>
          <cell r="G19" t="str">
            <v>A x 1.04</v>
          </cell>
          <cell r="J19" t="str">
            <v>LOSS 4%</v>
          </cell>
          <cell r="L19" t="str">
            <v>LOSS 5%</v>
          </cell>
          <cell r="M19" t="str">
            <v>VT3P : B  x  F8</v>
          </cell>
          <cell r="N19" t="str">
            <v>LOSS 4%</v>
          </cell>
        </row>
        <row r="20">
          <cell r="C20" t="str">
            <v>TYPE</v>
          </cell>
          <cell r="E20" t="str">
            <v>TYPE</v>
          </cell>
        </row>
        <row r="21">
          <cell r="F21" t="str">
            <v>g</v>
          </cell>
          <cell r="G21" t="str">
            <v>g</v>
          </cell>
          <cell r="H21" t="str">
            <v>g</v>
          </cell>
          <cell r="I21" t="str">
            <v>g</v>
          </cell>
          <cell r="J21" t="str">
            <v>g</v>
          </cell>
          <cell r="K21" t="str">
            <v>g</v>
          </cell>
          <cell r="L21" t="str">
            <v>g</v>
          </cell>
          <cell r="M21" t="str">
            <v>g</v>
          </cell>
          <cell r="N21" t="str">
            <v>g</v>
          </cell>
        </row>
        <row r="22">
          <cell r="C22" t="str">
            <v xml:space="preserve"> + CA-82B</v>
          </cell>
          <cell r="D22" t="str">
            <v>x2</v>
          </cell>
          <cell r="E22" t="str">
            <v>L6 - 5</v>
          </cell>
          <cell r="F22">
            <v>106</v>
          </cell>
          <cell r="G22">
            <v>110.24000000000001</v>
          </cell>
          <cell r="H22">
            <v>184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39.964800000000004</v>
          </cell>
          <cell r="N22">
            <v>41.563392000000007</v>
          </cell>
        </row>
        <row r="23">
          <cell r="C23" t="str">
            <v xml:space="preserve">  - CA-86B-87</v>
          </cell>
          <cell r="D23" t="str">
            <v>x2</v>
          </cell>
          <cell r="E23" t="str">
            <v>VT - 3P</v>
          </cell>
          <cell r="F23">
            <v>86</v>
          </cell>
          <cell r="G23">
            <v>89.44</v>
          </cell>
          <cell r="H23">
            <v>140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30.408000000000001</v>
          </cell>
          <cell r="N23">
            <v>31.624320000000001</v>
          </cell>
        </row>
        <row r="24">
          <cell r="C24" t="str">
            <v xml:space="preserve"> + CG-80  </v>
          </cell>
          <cell r="D24" t="str">
            <v>x2</v>
          </cell>
          <cell r="E24" t="str">
            <v>L6 - 5</v>
          </cell>
          <cell r="F24">
            <v>95</v>
          </cell>
          <cell r="G24">
            <v>98.8</v>
          </cell>
          <cell r="H24">
            <v>174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37.7928</v>
          </cell>
          <cell r="N24">
            <v>39.304512000000003</v>
          </cell>
        </row>
        <row r="25">
          <cell r="C25" t="str">
            <v xml:space="preserve"> - CG-85  </v>
          </cell>
          <cell r="D25" t="str">
            <v>x2</v>
          </cell>
          <cell r="E25" t="str">
            <v>VT - 3P</v>
          </cell>
          <cell r="F25">
            <v>83</v>
          </cell>
          <cell r="G25">
            <v>86.320000000000007</v>
          </cell>
          <cell r="H25">
            <v>144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31.276800000000001</v>
          </cell>
          <cell r="N25">
            <v>32.527872000000002</v>
          </cell>
        </row>
        <row r="26">
          <cell r="C26" t="str">
            <v xml:space="preserve"> + CK-85A</v>
          </cell>
          <cell r="D26" t="str">
            <v>x2</v>
          </cell>
          <cell r="E26" t="str">
            <v>L6 - 5</v>
          </cell>
          <cell r="F26">
            <v>73</v>
          </cell>
          <cell r="G26">
            <v>75.92</v>
          </cell>
          <cell r="H26">
            <v>112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24.3264</v>
          </cell>
          <cell r="N26">
            <v>25.299455999999999</v>
          </cell>
        </row>
        <row r="27">
          <cell r="C27" t="str">
            <v xml:space="preserve"> - CK-87A-88</v>
          </cell>
          <cell r="D27" t="str">
            <v>x2</v>
          </cell>
          <cell r="E27" t="str">
            <v>VT - 3P</v>
          </cell>
          <cell r="F27">
            <v>63</v>
          </cell>
          <cell r="G27">
            <v>65.52</v>
          </cell>
          <cell r="H27">
            <v>104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22.588799999999999</v>
          </cell>
          <cell r="N27">
            <v>23.492352</v>
          </cell>
        </row>
        <row r="28">
          <cell r="C28" t="str">
            <v xml:space="preserve"> + CL82C   </v>
          </cell>
          <cell r="D28" t="str">
            <v>x2</v>
          </cell>
          <cell r="E28" t="str">
            <v>L8 - 7</v>
          </cell>
          <cell r="F28">
            <v>64</v>
          </cell>
          <cell r="G28">
            <v>66.56</v>
          </cell>
          <cell r="H28">
            <v>92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23.165600000000001</v>
          </cell>
          <cell r="N28">
            <v>24.092224000000002</v>
          </cell>
        </row>
        <row r="29">
          <cell r="C29" t="str">
            <v xml:space="preserve"> + CL84B   </v>
          </cell>
          <cell r="D29" t="str">
            <v>x2</v>
          </cell>
          <cell r="E29" t="str">
            <v>L8 - 7</v>
          </cell>
          <cell r="F29">
            <v>56</v>
          </cell>
          <cell r="G29">
            <v>58.24</v>
          </cell>
          <cell r="H29">
            <v>82.8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20.849040000000002</v>
          </cell>
          <cell r="N29">
            <v>21.683001600000004</v>
          </cell>
        </row>
        <row r="30">
          <cell r="C30" t="str">
            <v xml:space="preserve"> - CL-84B - 85   </v>
          </cell>
          <cell r="D30" t="str">
            <v>x2</v>
          </cell>
          <cell r="E30" t="str">
            <v>VT - 3P</v>
          </cell>
          <cell r="F30">
            <v>56</v>
          </cell>
          <cell r="G30">
            <v>58.24</v>
          </cell>
          <cell r="H30">
            <v>85.8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18.635760000000001</v>
          </cell>
          <cell r="N30">
            <v>19.381190400000001</v>
          </cell>
        </row>
        <row r="31">
          <cell r="C31" t="str">
            <v xml:space="preserve"> - CL86 - 87</v>
          </cell>
          <cell r="D31" t="str">
            <v>x2</v>
          </cell>
          <cell r="E31" t="str">
            <v>VT - 3P</v>
          </cell>
          <cell r="F31">
            <v>49</v>
          </cell>
          <cell r="G31">
            <v>50.96</v>
          </cell>
          <cell r="H31">
            <v>74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16.072800000000001</v>
          </cell>
          <cell r="N31">
            <v>16.715712</v>
          </cell>
        </row>
        <row r="32">
          <cell r="C32" t="str">
            <v xml:space="preserve"> + CR-79  </v>
          </cell>
          <cell r="D32" t="str">
            <v>x2</v>
          </cell>
          <cell r="E32" t="str">
            <v>L6 - 5</v>
          </cell>
          <cell r="F32">
            <v>115</v>
          </cell>
          <cell r="G32">
            <v>119.60000000000001</v>
          </cell>
          <cell r="H32">
            <v>158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34.317599999999999</v>
          </cell>
          <cell r="N32">
            <v>35.690303999999998</v>
          </cell>
        </row>
        <row r="33">
          <cell r="C33" t="str">
            <v xml:space="preserve"> - CR-85  </v>
          </cell>
          <cell r="D33" t="str">
            <v>x2</v>
          </cell>
          <cell r="E33" t="str">
            <v>VT - 3P</v>
          </cell>
          <cell r="F33">
            <v>78</v>
          </cell>
          <cell r="G33">
            <v>81.12</v>
          </cell>
          <cell r="H33">
            <v>122.6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26.628719999999998</v>
          </cell>
          <cell r="N33">
            <v>27.693868799999997</v>
          </cell>
        </row>
        <row r="34">
          <cell r="C34" t="str">
            <v xml:space="preserve"> + O3-79  </v>
          </cell>
          <cell r="D34" t="str">
            <v>x2</v>
          </cell>
          <cell r="E34" t="str">
            <v>L6 - 5</v>
          </cell>
          <cell r="F34">
            <v>145</v>
          </cell>
          <cell r="G34">
            <v>150.80000000000001</v>
          </cell>
          <cell r="H34">
            <v>200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43.44</v>
          </cell>
          <cell r="N34">
            <v>45.177599999999998</v>
          </cell>
        </row>
        <row r="35">
          <cell r="C35" t="str">
            <v xml:space="preserve"> -  O3-81  </v>
          </cell>
          <cell r="D35" t="str">
            <v>x2</v>
          </cell>
          <cell r="E35" t="str">
            <v>VT - 3P</v>
          </cell>
          <cell r="F35">
            <v>145</v>
          </cell>
          <cell r="G35">
            <v>150.80000000000001</v>
          </cell>
          <cell r="H35">
            <v>161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34.969200000000001</v>
          </cell>
          <cell r="N35">
            <v>36.367968000000005</v>
          </cell>
        </row>
        <row r="37">
          <cell r="C37" t="str">
            <v xml:space="preserve"> + MA-73  </v>
          </cell>
          <cell r="D37" t="str">
            <v>x9</v>
          </cell>
          <cell r="E37" t="str">
            <v>L8 - 7</v>
          </cell>
          <cell r="F37">
            <v>185</v>
          </cell>
          <cell r="G37">
            <v>192.4</v>
          </cell>
          <cell r="H37">
            <v>160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40.288000000000004</v>
          </cell>
          <cell r="N37">
            <v>41.899520000000003</v>
          </cell>
        </row>
        <row r="38">
          <cell r="C38" t="str">
            <v xml:space="preserve"> + MA-82  </v>
          </cell>
          <cell r="D38" t="str">
            <v>x9</v>
          </cell>
          <cell r="E38" t="str">
            <v>L8 - 7</v>
          </cell>
          <cell r="F38">
            <v>129</v>
          </cell>
          <cell r="G38">
            <v>134.16</v>
          </cell>
          <cell r="H38">
            <v>118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29.712400000000002</v>
          </cell>
          <cell r="N38">
            <v>30.900896000000003</v>
          </cell>
        </row>
        <row r="39">
          <cell r="C39" t="str">
            <v xml:space="preserve"> - MA-82  </v>
          </cell>
          <cell r="D39" t="str">
            <v>x9</v>
          </cell>
          <cell r="E39" t="str">
            <v>VT - 3P</v>
          </cell>
          <cell r="F39">
            <v>129</v>
          </cell>
          <cell r="G39">
            <v>134.16</v>
          </cell>
          <cell r="H39">
            <v>127.4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27.671280000000003</v>
          </cell>
          <cell r="N39">
            <v>28.778131200000004</v>
          </cell>
        </row>
        <row r="40">
          <cell r="C40" t="str">
            <v xml:space="preserve"> - MA-86</v>
          </cell>
          <cell r="D40" t="str">
            <v>x9</v>
          </cell>
          <cell r="E40" t="str">
            <v>VT - 3P</v>
          </cell>
          <cell r="F40">
            <v>94</v>
          </cell>
          <cell r="G40">
            <v>97.76</v>
          </cell>
          <cell r="H40">
            <v>104.2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22.632239999999999</v>
          </cell>
          <cell r="N40">
            <v>23.537529599999999</v>
          </cell>
        </row>
        <row r="41">
          <cell r="C41" t="str">
            <v xml:space="preserve"> + MB-82  </v>
          </cell>
          <cell r="D41" t="str">
            <v>x6</v>
          </cell>
          <cell r="E41" t="str">
            <v>L8 - 7</v>
          </cell>
          <cell r="F41">
            <v>130</v>
          </cell>
          <cell r="G41">
            <v>135.20000000000002</v>
          </cell>
          <cell r="H41">
            <v>131.6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33.136880000000005</v>
          </cell>
          <cell r="N41">
            <v>34.462355200000005</v>
          </cell>
        </row>
        <row r="42">
          <cell r="C42" t="str">
            <v xml:space="preserve"> - MB-86  </v>
          </cell>
          <cell r="D42" t="str">
            <v>x6</v>
          </cell>
          <cell r="E42" t="str">
            <v>VT - 3P</v>
          </cell>
          <cell r="F42">
            <v>96</v>
          </cell>
          <cell r="G42">
            <v>99.84</v>
          </cell>
          <cell r="H42">
            <v>119.4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25.933680000000003</v>
          </cell>
          <cell r="N42">
            <v>26.971027200000002</v>
          </cell>
        </row>
        <row r="43">
          <cell r="C43" t="str">
            <v xml:space="preserve"> + MD-80  </v>
          </cell>
          <cell r="D43" t="str">
            <v>x4</v>
          </cell>
          <cell r="E43" t="str">
            <v>L8 - 7</v>
          </cell>
          <cell r="F43">
            <v>102</v>
          </cell>
          <cell r="G43">
            <v>106.08</v>
          </cell>
          <cell r="H43">
            <v>104.7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26.363460000000003</v>
          </cell>
          <cell r="N43">
            <v>27.417998400000005</v>
          </cell>
        </row>
        <row r="44">
          <cell r="C44" t="str">
            <v xml:space="preserve"> - MD-86  </v>
          </cell>
          <cell r="D44" t="str">
            <v>x4</v>
          </cell>
          <cell r="E44" t="str">
            <v>VT - 3P</v>
          </cell>
          <cell r="F44">
            <v>63</v>
          </cell>
          <cell r="G44">
            <v>65.52</v>
          </cell>
          <cell r="H44">
            <v>82.1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17.83212</v>
          </cell>
          <cell r="N44">
            <v>18.5454048</v>
          </cell>
        </row>
        <row r="45">
          <cell r="C45" t="str">
            <v xml:space="preserve"> + MF-85 </v>
          </cell>
          <cell r="D45" t="str">
            <v>x4</v>
          </cell>
          <cell r="E45" t="str">
            <v>L8 - 7</v>
          </cell>
          <cell r="F45">
            <v>110</v>
          </cell>
          <cell r="G45">
            <v>114.4</v>
          </cell>
          <cell r="H45">
            <v>124.4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31.323920000000005</v>
          </cell>
          <cell r="N45">
            <v>32.576876800000008</v>
          </cell>
        </row>
        <row r="46">
          <cell r="C46" t="str">
            <v xml:space="preserve"> - MF-87  </v>
          </cell>
          <cell r="D46" t="str">
            <v>x4</v>
          </cell>
          <cell r="E46" t="str">
            <v>VT - 3P</v>
          </cell>
          <cell r="F46">
            <v>94</v>
          </cell>
          <cell r="G46">
            <v>97.76</v>
          </cell>
          <cell r="H46">
            <v>122.8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26.672160000000002</v>
          </cell>
          <cell r="N46">
            <v>27.739046400000003</v>
          </cell>
        </row>
        <row r="47">
          <cell r="C47" t="str">
            <v xml:space="preserve"> + MG-82  </v>
          </cell>
          <cell r="D47" t="str">
            <v>x9</v>
          </cell>
          <cell r="E47" t="str">
            <v>L8 - 7</v>
          </cell>
          <cell r="F47">
            <v>148</v>
          </cell>
          <cell r="G47">
            <v>153.92000000000002</v>
          </cell>
          <cell r="H47">
            <v>141.5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35.629700000000007</v>
          </cell>
          <cell r="N47">
            <v>37.054888000000005</v>
          </cell>
        </row>
        <row r="48">
          <cell r="C48" t="str">
            <v xml:space="preserve"> + MG-86  </v>
          </cell>
          <cell r="D48" t="str">
            <v>x9</v>
          </cell>
          <cell r="E48" t="str">
            <v>L8 - 7</v>
          </cell>
          <cell r="F48">
            <v>110</v>
          </cell>
          <cell r="G48">
            <v>114.4</v>
          </cell>
          <cell r="H48">
            <v>158.4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39.885120000000008</v>
          </cell>
          <cell r="N48">
            <v>41.480524800000012</v>
          </cell>
        </row>
        <row r="49">
          <cell r="C49" t="str">
            <v xml:space="preserve"> - MG-86  </v>
          </cell>
          <cell r="D49" t="str">
            <v>x9</v>
          </cell>
          <cell r="E49" t="str">
            <v>VT - 3P</v>
          </cell>
          <cell r="F49">
            <v>110</v>
          </cell>
          <cell r="G49">
            <v>114.4</v>
          </cell>
          <cell r="H49">
            <v>129.30000000000001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28.083960000000005</v>
          </cell>
          <cell r="N49">
            <v>29.207318400000005</v>
          </cell>
        </row>
        <row r="51">
          <cell r="C51" t="str">
            <v>REMARK :</v>
          </cell>
        </row>
        <row r="52">
          <cell r="C52" t="str">
            <v>CONVERSION FACTOR :</v>
          </cell>
        </row>
        <row r="53">
          <cell r="E53" t="str">
            <v xml:space="preserve">F1      =  </v>
          </cell>
          <cell r="F53">
            <v>0</v>
          </cell>
          <cell r="H53" t="str">
            <v xml:space="preserve">F2      =  </v>
          </cell>
          <cell r="I53">
            <v>0</v>
          </cell>
        </row>
        <row r="54">
          <cell r="E54" t="str">
            <v xml:space="preserve">F3      =  </v>
          </cell>
          <cell r="F54">
            <v>0</v>
          </cell>
          <cell r="H54" t="str">
            <v xml:space="preserve">F4      =  </v>
          </cell>
          <cell r="I54">
            <v>0</v>
          </cell>
        </row>
        <row r="55">
          <cell r="E55" t="str">
            <v xml:space="preserve">F5      =  </v>
          </cell>
          <cell r="F55">
            <v>0</v>
          </cell>
          <cell r="H55" t="str">
            <v xml:space="preserve">F6      = </v>
          </cell>
          <cell r="I55">
            <v>0</v>
          </cell>
        </row>
        <row r="56">
          <cell r="E56" t="str">
            <v xml:space="preserve">F7      =  </v>
          </cell>
          <cell r="F56">
            <v>0</v>
          </cell>
          <cell r="H56" t="str">
            <v xml:space="preserve">F8      =  </v>
          </cell>
          <cell r="I56">
            <v>0</v>
          </cell>
        </row>
        <row r="57">
          <cell r="C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">
          <cell r="D59" t="str">
            <v>Mulai Pebruari 1988, material aktif dinaikkan 30% dari design.</v>
          </cell>
        </row>
        <row r="60">
          <cell r="D60" t="str">
            <v>Dari 13.5 gr / plate  menjadi 17.6 gr / plate ; untuk menyesuaikan kapasitas  battery  GM5Z-3B.</v>
          </cell>
        </row>
        <row r="61">
          <cell r="D61" t="str">
            <v>Mulai  28 Nopember 1988, material aktif dinaikkan   9 %  dari design.</v>
          </cell>
        </row>
        <row r="62">
          <cell r="D62" t="str">
            <v>Dari 19.4 gr / plate  menjadi  21.1  gr / plate ; untuk menyesuaikkan kapasitas battery  GM2.5A-3C-2.</v>
          </cell>
        </row>
        <row r="64">
          <cell r="C64" t="str">
            <v>RAW MATERIAL CONSUMPTION (PLATE)</v>
          </cell>
        </row>
        <row r="66">
          <cell r="I66" t="str">
            <v xml:space="preserve">A C T I V E    M A T E R I A L </v>
          </cell>
        </row>
        <row r="67">
          <cell r="F67" t="str">
            <v>GRID</v>
          </cell>
        </row>
        <row r="68">
          <cell r="C68" t="str">
            <v>PLATE  TYPE</v>
          </cell>
          <cell r="G68" t="str">
            <v>INCLUDE</v>
          </cell>
          <cell r="H68" t="str">
            <v>FORMED</v>
          </cell>
          <cell r="I68" t="str">
            <v>LEAD POWDER</v>
          </cell>
          <cell r="K68" t="str">
            <v>PURE LEAD</v>
          </cell>
          <cell r="M68" t="str">
            <v>ADDITIVE  MATERIAL</v>
          </cell>
        </row>
        <row r="69">
          <cell r="F69" t="str">
            <v>DRAWING</v>
          </cell>
          <cell r="G69" t="str">
            <v xml:space="preserve"> </v>
          </cell>
          <cell r="H69" t="str">
            <v>DRAWING</v>
          </cell>
          <cell r="I69" t="str">
            <v>C =</v>
          </cell>
          <cell r="J69" t="str">
            <v>D =</v>
          </cell>
          <cell r="K69" t="str">
            <v>E =</v>
          </cell>
          <cell r="L69" t="str">
            <v>F =</v>
          </cell>
          <cell r="M69" t="str">
            <v>G =</v>
          </cell>
          <cell r="N69" t="str">
            <v>H =</v>
          </cell>
        </row>
        <row r="70">
          <cell r="G70" t="str">
            <v>LOSS 4%</v>
          </cell>
          <cell r="H70" t="str">
            <v>B</v>
          </cell>
          <cell r="I70" t="str">
            <v xml:space="preserve">+B  x  F2  </v>
          </cell>
          <cell r="J70" t="str">
            <v>C x 1.04</v>
          </cell>
          <cell r="K70" t="str">
            <v>+B  x  F4</v>
          </cell>
          <cell r="L70" t="str">
            <v>E x 1.05</v>
          </cell>
          <cell r="M70" t="str">
            <v xml:space="preserve">L65 : B  x  F6 </v>
          </cell>
          <cell r="N70" t="str">
            <v>I x 1.04</v>
          </cell>
        </row>
        <row r="71">
          <cell r="F71" t="str">
            <v>A</v>
          </cell>
          <cell r="G71" t="str">
            <v xml:space="preserve"> </v>
          </cell>
          <cell r="I71" t="str">
            <v>-B  x  F3</v>
          </cell>
          <cell r="J71" t="str">
            <v>INCLUDE</v>
          </cell>
          <cell r="K71" t="str">
            <v>-B  x  F5</v>
          </cell>
          <cell r="L71" t="str">
            <v xml:space="preserve">INCLUDE </v>
          </cell>
          <cell r="M71" t="str">
            <v>L87 : B  x  F7</v>
          </cell>
          <cell r="N71" t="str">
            <v>INCLUDE</v>
          </cell>
        </row>
        <row r="72">
          <cell r="C72" t="str">
            <v>GRID</v>
          </cell>
          <cell r="E72" t="str">
            <v>PASTE</v>
          </cell>
          <cell r="G72" t="str">
            <v>A x 1.04</v>
          </cell>
          <cell r="J72" t="str">
            <v>LOSS 4%</v>
          </cell>
          <cell r="L72" t="str">
            <v>LOSS 5%</v>
          </cell>
          <cell r="M72" t="str">
            <v>VT3P : B  x  F8</v>
          </cell>
          <cell r="N72" t="str">
            <v>LOSS 4%</v>
          </cell>
        </row>
        <row r="73">
          <cell r="C73" t="str">
            <v>TYPE</v>
          </cell>
          <cell r="E73" t="str">
            <v>TYPE</v>
          </cell>
        </row>
        <row r="74">
          <cell r="F74" t="str">
            <v>g</v>
          </cell>
          <cell r="G74" t="str">
            <v>g</v>
          </cell>
          <cell r="H74" t="str">
            <v>g</v>
          </cell>
          <cell r="I74" t="str">
            <v>g</v>
          </cell>
          <cell r="J74" t="str">
            <v>g</v>
          </cell>
          <cell r="K74" t="str">
            <v>g</v>
          </cell>
          <cell r="L74" t="str">
            <v>g</v>
          </cell>
          <cell r="M74" t="str">
            <v>g</v>
          </cell>
          <cell r="N74" t="str">
            <v>g</v>
          </cell>
        </row>
        <row r="75">
          <cell r="C75" t="str">
            <v xml:space="preserve"> + MH-82  </v>
          </cell>
          <cell r="D75" t="str">
            <v>x4</v>
          </cell>
          <cell r="E75" t="str">
            <v>L8 - 7</v>
          </cell>
          <cell r="F75">
            <v>117</v>
          </cell>
          <cell r="G75">
            <v>121.68</v>
          </cell>
          <cell r="H75">
            <v>135.19999999999999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34.04336</v>
          </cell>
          <cell r="N75">
            <v>35.405094400000003</v>
          </cell>
        </row>
        <row r="76">
          <cell r="C76" t="str">
            <v xml:space="preserve"> + MH-86  </v>
          </cell>
          <cell r="D76" t="str">
            <v>x4</v>
          </cell>
          <cell r="E76" t="str">
            <v>L8 - 7</v>
          </cell>
          <cell r="F76">
            <v>86</v>
          </cell>
          <cell r="G76">
            <v>89.44</v>
          </cell>
          <cell r="H76">
            <v>106.5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26.816700000000001</v>
          </cell>
          <cell r="N76">
            <v>27.889368000000001</v>
          </cell>
        </row>
        <row r="77">
          <cell r="C77" t="str">
            <v xml:space="preserve"> - MH-86  </v>
          </cell>
          <cell r="D77" t="str">
            <v>x4</v>
          </cell>
          <cell r="E77" t="str">
            <v>VT - 3P</v>
          </cell>
          <cell r="F77">
            <v>86</v>
          </cell>
          <cell r="G77">
            <v>89.44</v>
          </cell>
          <cell r="H77">
            <v>118.8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25.803360000000001</v>
          </cell>
          <cell r="N77">
            <v>26.835494400000002</v>
          </cell>
        </row>
        <row r="78">
          <cell r="C78" t="str">
            <v xml:space="preserve"> + MQ - 76</v>
          </cell>
          <cell r="D78" t="str">
            <v>x 12</v>
          </cell>
          <cell r="E78" t="str">
            <v>L8 - 7</v>
          </cell>
          <cell r="F78">
            <v>173</v>
          </cell>
          <cell r="G78">
            <v>179.92000000000002</v>
          </cell>
          <cell r="H78">
            <v>123.3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31.046940000000003</v>
          </cell>
          <cell r="N78">
            <v>32.288817600000002</v>
          </cell>
        </row>
        <row r="79">
          <cell r="C79" t="str">
            <v xml:space="preserve"> - MQ - 81</v>
          </cell>
          <cell r="D79" t="str">
            <v>x 12</v>
          </cell>
          <cell r="E79" t="str">
            <v>VT - 3P</v>
          </cell>
          <cell r="F79">
            <v>139</v>
          </cell>
          <cell r="G79">
            <v>144.56</v>
          </cell>
          <cell r="H79">
            <v>103.9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22.567080000000001</v>
          </cell>
          <cell r="N79">
            <v>23.469763200000003</v>
          </cell>
        </row>
        <row r="80">
          <cell r="C80" t="str">
            <v xml:space="preserve"> + MV-69 A </v>
          </cell>
          <cell r="D80" t="str">
            <v>x8</v>
          </cell>
          <cell r="E80" t="str">
            <v>L8 - 7</v>
          </cell>
          <cell r="F80">
            <v>176</v>
          </cell>
          <cell r="G80">
            <v>183.04000000000002</v>
          </cell>
          <cell r="H80">
            <v>168.8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42.503840000000004</v>
          </cell>
          <cell r="N80">
            <v>44.203993600000004</v>
          </cell>
        </row>
        <row r="81">
          <cell r="C81" t="str">
            <v xml:space="preserve"> + MV-71  </v>
          </cell>
          <cell r="D81" t="str">
            <v>x8</v>
          </cell>
          <cell r="E81" t="str">
            <v>L8 - 7</v>
          </cell>
          <cell r="F81">
            <v>165</v>
          </cell>
          <cell r="G81">
            <v>171.6</v>
          </cell>
          <cell r="H81">
            <v>140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35.252000000000002</v>
          </cell>
          <cell r="N81">
            <v>36.662080000000003</v>
          </cell>
        </row>
        <row r="82">
          <cell r="C82" t="str">
            <v xml:space="preserve"> + MV-82  A</v>
          </cell>
          <cell r="D82" t="str">
            <v>x8</v>
          </cell>
          <cell r="E82" t="str">
            <v>L8 - 7</v>
          </cell>
          <cell r="F82">
            <v>104</v>
          </cell>
          <cell r="G82">
            <v>108.16</v>
          </cell>
          <cell r="H82">
            <v>90.5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22.7879</v>
          </cell>
          <cell r="N82">
            <v>23.699416000000003</v>
          </cell>
        </row>
        <row r="83">
          <cell r="C83" t="str">
            <v xml:space="preserve"> - MV-84 A </v>
          </cell>
          <cell r="D83" t="str">
            <v>x8</v>
          </cell>
          <cell r="E83" t="str">
            <v>VT - 3P</v>
          </cell>
          <cell r="F83">
            <v>102</v>
          </cell>
          <cell r="G83">
            <v>106.08</v>
          </cell>
          <cell r="H83">
            <v>90.6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19.678319999999999</v>
          </cell>
          <cell r="N83">
            <v>20.465452800000001</v>
          </cell>
        </row>
        <row r="84">
          <cell r="C84" t="str">
            <v xml:space="preserve"> + MW-84  </v>
          </cell>
          <cell r="D84" t="str">
            <v>x4</v>
          </cell>
          <cell r="E84" t="str">
            <v>L8 - 7</v>
          </cell>
          <cell r="F84">
            <v>109</v>
          </cell>
          <cell r="G84">
            <v>113.36</v>
          </cell>
          <cell r="H84">
            <v>116.3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29.284340000000004</v>
          </cell>
          <cell r="N84">
            <v>30.455713600000006</v>
          </cell>
        </row>
        <row r="85">
          <cell r="C85" t="str">
            <v xml:space="preserve"> - MW-87  </v>
          </cell>
          <cell r="D85" t="str">
            <v>x4</v>
          </cell>
          <cell r="E85" t="str">
            <v>VT - 3P</v>
          </cell>
          <cell r="F85">
            <v>77</v>
          </cell>
          <cell r="G85">
            <v>80.08</v>
          </cell>
          <cell r="H85">
            <v>115.9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25.173480000000001</v>
          </cell>
          <cell r="N85">
            <v>26.180419200000003</v>
          </cell>
        </row>
        <row r="87">
          <cell r="C87" t="str">
            <v>REMARK :</v>
          </cell>
        </row>
        <row r="88">
          <cell r="C88" t="str">
            <v>CONVERSION FACTOR :</v>
          </cell>
        </row>
        <row r="89">
          <cell r="E89" t="str">
            <v xml:space="preserve">F1      =  </v>
          </cell>
          <cell r="F89">
            <v>0</v>
          </cell>
          <cell r="H89" t="str">
            <v xml:space="preserve">F2      =  </v>
          </cell>
          <cell r="I89">
            <v>0</v>
          </cell>
        </row>
        <row r="90">
          <cell r="E90" t="str">
            <v xml:space="preserve">F3      =  </v>
          </cell>
          <cell r="F90">
            <v>0</v>
          </cell>
          <cell r="H90" t="str">
            <v xml:space="preserve">F4      =  </v>
          </cell>
          <cell r="I90">
            <v>0</v>
          </cell>
        </row>
        <row r="91">
          <cell r="E91" t="str">
            <v xml:space="preserve">F5      =  </v>
          </cell>
          <cell r="F91">
            <v>0</v>
          </cell>
          <cell r="H91" t="str">
            <v xml:space="preserve">F6      = </v>
          </cell>
          <cell r="I91">
            <v>0</v>
          </cell>
        </row>
        <row r="92">
          <cell r="E92" t="str">
            <v xml:space="preserve">F7      =  </v>
          </cell>
          <cell r="F92">
            <v>0</v>
          </cell>
          <cell r="H92" t="str">
            <v xml:space="preserve">F8      =  </v>
          </cell>
          <cell r="I92">
            <v>0</v>
          </cell>
        </row>
        <row r="93">
          <cell r="C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95">
          <cell r="D95" t="str">
            <v>Mulai Pebruari 1988, material aktif dinaikkan 30% dari design.</v>
          </cell>
        </row>
        <row r="96">
          <cell r="D96" t="str">
            <v>Dari 13.5 gr / plate  menjadi 17.6 gr / plate ; untuk menyesuaikan kapasitas  battery  GM5Z-3B.</v>
          </cell>
        </row>
        <row r="97">
          <cell r="D97" t="str">
            <v>Mulai  28 Nopember 1988, material aktif dinaikkan   9 %  dari design.</v>
          </cell>
        </row>
        <row r="98">
          <cell r="D98" t="str">
            <v>Dari 19.4 gr / plate  menjadi  21.1  gr / plate ; untuk menyesuaikkan kapasitas battery  GM2.5A-3C-2.</v>
          </cell>
        </row>
      </sheetData>
      <sheetData sheetId="4"/>
      <sheetData sheetId="5"/>
      <sheetData sheetId="6">
        <row r="1">
          <cell r="D1" t="str">
            <v>MATERIAL CONSUMPTION LEAD PARTS &amp; LEAD STICK</v>
          </cell>
        </row>
        <row r="2">
          <cell r="D2" t="str">
            <v xml:space="preserve"> (  B A T T E R Y    A M B   )</v>
          </cell>
        </row>
        <row r="4">
          <cell r="D4" t="str">
            <v>P S    T Y P E   :</v>
          </cell>
        </row>
        <row r="7">
          <cell r="H7" t="str">
            <v>L E A D   P A R T S</v>
          </cell>
          <cell r="T7" t="str">
            <v>LEAD STICK</v>
          </cell>
          <cell r="U7" t="str">
            <v>TOTAL</v>
          </cell>
        </row>
        <row r="8">
          <cell r="D8" t="str">
            <v>BATTERY</v>
          </cell>
          <cell r="G8" t="str">
            <v xml:space="preserve"> </v>
          </cell>
          <cell r="P8" t="str">
            <v>A   x   Q'TY</v>
          </cell>
          <cell r="S8" t="str">
            <v xml:space="preserve"> </v>
          </cell>
          <cell r="T8" t="str">
            <v>x</v>
          </cell>
          <cell r="U8" t="str">
            <v>K C R</v>
          </cell>
        </row>
        <row r="9">
          <cell r="D9" t="str">
            <v>TYPE</v>
          </cell>
          <cell r="G9" t="str">
            <v xml:space="preserve"> </v>
          </cell>
          <cell r="H9" t="str">
            <v>TYPE</v>
          </cell>
          <cell r="M9" t="str">
            <v>Q'TY</v>
          </cell>
          <cell r="O9" t="str">
            <v>Weight</v>
          </cell>
          <cell r="P9" t="str">
            <v>Plastic</v>
          </cell>
          <cell r="R9" t="str">
            <v>AMB</v>
          </cell>
          <cell r="S9" t="str">
            <v>TOTAL</v>
          </cell>
          <cell r="T9">
            <v>1.04</v>
          </cell>
          <cell r="U9" t="str">
            <v>WEIGHT</v>
          </cell>
        </row>
        <row r="10">
          <cell r="O10" t="str">
            <v xml:space="preserve"> / pc.</v>
          </cell>
          <cell r="P10" t="str">
            <v>Injection</v>
          </cell>
          <cell r="R10" t="str">
            <v>ASSY</v>
          </cell>
          <cell r="S10" t="str">
            <v>Weight</v>
          </cell>
          <cell r="T10" t="str">
            <v>(AMB ASSY)</v>
          </cell>
          <cell r="U10" t="str">
            <v xml:space="preserve"> </v>
          </cell>
        </row>
        <row r="12">
          <cell r="O12" t="str">
            <v>gr</v>
          </cell>
          <cell r="Q12" t="str">
            <v>gr</v>
          </cell>
          <cell r="R12" t="str">
            <v>gr</v>
          </cell>
          <cell r="S12" t="str">
            <v>gr</v>
          </cell>
          <cell r="T12" t="str">
            <v>gr</v>
          </cell>
          <cell r="U12" t="str">
            <v>gr</v>
          </cell>
        </row>
        <row r="13">
          <cell r="D13" t="str">
            <v>12N24</v>
          </cell>
          <cell r="G13" t="str">
            <v xml:space="preserve"> </v>
          </cell>
          <cell r="H13" t="str">
            <v>C8</v>
          </cell>
          <cell r="I13" t="str">
            <v xml:space="preserve"> -</v>
          </cell>
          <cell r="J13" t="str">
            <v>A</v>
          </cell>
          <cell r="K13" t="str">
            <v>29N</v>
          </cell>
          <cell r="N13">
            <v>2</v>
          </cell>
          <cell r="O13">
            <v>38.1</v>
          </cell>
          <cell r="P13">
            <v>79.248000000000005</v>
          </cell>
          <cell r="R13" t="str">
            <v xml:space="preserve"> -</v>
          </cell>
          <cell r="S13">
            <v>332.488</v>
          </cell>
          <cell r="T13">
            <v>187</v>
          </cell>
          <cell r="U13">
            <v>519.48800000000006</v>
          </cell>
        </row>
        <row r="14">
          <cell r="D14" t="str">
            <v>(28A-19)</v>
          </cell>
          <cell r="G14" t="str">
            <v xml:space="preserve"> </v>
          </cell>
          <cell r="H14" t="str">
            <v>C8</v>
          </cell>
          <cell r="I14" t="str">
            <v xml:space="preserve"> -</v>
          </cell>
          <cell r="J14" t="str">
            <v>A</v>
          </cell>
          <cell r="K14" t="str">
            <v>31N</v>
          </cell>
          <cell r="N14">
            <v>5</v>
          </cell>
          <cell r="O14">
            <v>48.7</v>
          </cell>
          <cell r="P14">
            <v>253.24</v>
          </cell>
          <cell r="R14" t="str">
            <v xml:space="preserve"> -</v>
          </cell>
        </row>
        <row r="16">
          <cell r="D16" t="str">
            <v>NS  40</v>
          </cell>
          <cell r="G16" t="str">
            <v xml:space="preserve"> </v>
          </cell>
          <cell r="H16" t="str">
            <v>C 9</v>
          </cell>
          <cell r="I16" t="str">
            <v xml:space="preserve"> -</v>
          </cell>
          <cell r="J16" t="str">
            <v>A</v>
          </cell>
          <cell r="K16">
            <v>4</v>
          </cell>
          <cell r="N16">
            <v>1</v>
          </cell>
          <cell r="O16">
            <v>78</v>
          </cell>
          <cell r="P16">
            <v>81.12</v>
          </cell>
          <cell r="R16" t="str">
            <v xml:space="preserve"> -</v>
          </cell>
          <cell r="S16">
            <v>402.48</v>
          </cell>
          <cell r="T16">
            <v>198</v>
          </cell>
          <cell r="U16">
            <v>600.48</v>
          </cell>
        </row>
        <row r="17">
          <cell r="H17" t="str">
            <v>C 9</v>
          </cell>
          <cell r="I17" t="str">
            <v xml:space="preserve"> -</v>
          </cell>
          <cell r="J17" t="str">
            <v>A</v>
          </cell>
          <cell r="K17">
            <v>5</v>
          </cell>
          <cell r="N17">
            <v>1</v>
          </cell>
          <cell r="O17">
            <v>69</v>
          </cell>
          <cell r="P17">
            <v>71.760000000000005</v>
          </cell>
          <cell r="R17" t="str">
            <v xml:space="preserve"> -</v>
          </cell>
        </row>
        <row r="18">
          <cell r="H18" t="str">
            <v>C 9</v>
          </cell>
          <cell r="I18" t="str">
            <v xml:space="preserve"> -</v>
          </cell>
          <cell r="J18" t="str">
            <v>A</v>
          </cell>
          <cell r="K18">
            <v>6</v>
          </cell>
          <cell r="N18">
            <v>5</v>
          </cell>
          <cell r="O18">
            <v>48</v>
          </cell>
          <cell r="P18">
            <v>249.60000000000002</v>
          </cell>
          <cell r="R18" t="str">
            <v xml:space="preserve"> -</v>
          </cell>
        </row>
        <row r="20">
          <cell r="D20" t="str">
            <v>NS  40Z</v>
          </cell>
          <cell r="G20" t="str">
            <v xml:space="preserve"> </v>
          </cell>
          <cell r="H20" t="str">
            <v>C 9</v>
          </cell>
          <cell r="I20" t="str">
            <v xml:space="preserve"> -</v>
          </cell>
          <cell r="J20" t="str">
            <v>A</v>
          </cell>
          <cell r="K20">
            <v>4</v>
          </cell>
          <cell r="N20">
            <v>1</v>
          </cell>
          <cell r="O20">
            <v>78</v>
          </cell>
          <cell r="P20">
            <v>81.12</v>
          </cell>
          <cell r="R20" t="str">
            <v xml:space="preserve"> -</v>
          </cell>
          <cell r="S20">
            <v>402.48</v>
          </cell>
          <cell r="T20">
            <v>210</v>
          </cell>
          <cell r="U20">
            <v>612.48</v>
          </cell>
        </row>
        <row r="21">
          <cell r="D21" t="str">
            <v>NS  40 / L JDN</v>
          </cell>
          <cell r="G21" t="str">
            <v xml:space="preserve"> </v>
          </cell>
          <cell r="H21" t="str">
            <v>C 9</v>
          </cell>
          <cell r="I21" t="str">
            <v xml:space="preserve"> -</v>
          </cell>
          <cell r="J21" t="str">
            <v>A</v>
          </cell>
          <cell r="K21">
            <v>5</v>
          </cell>
          <cell r="N21">
            <v>1</v>
          </cell>
          <cell r="O21">
            <v>69</v>
          </cell>
          <cell r="P21">
            <v>71.760000000000005</v>
          </cell>
          <cell r="R21" t="str">
            <v xml:space="preserve"> -</v>
          </cell>
        </row>
        <row r="22">
          <cell r="H22" t="str">
            <v>C 9</v>
          </cell>
          <cell r="I22" t="str">
            <v xml:space="preserve"> -</v>
          </cell>
          <cell r="J22" t="str">
            <v>A</v>
          </cell>
          <cell r="K22">
            <v>6</v>
          </cell>
          <cell r="N22">
            <v>5</v>
          </cell>
          <cell r="O22">
            <v>48</v>
          </cell>
          <cell r="P22">
            <v>249.60000000000002</v>
          </cell>
          <cell r="R22" t="str">
            <v xml:space="preserve"> -</v>
          </cell>
        </row>
        <row r="24">
          <cell r="D24" t="str">
            <v>NS  40 / L  (S)</v>
          </cell>
          <cell r="G24" t="str">
            <v xml:space="preserve"> </v>
          </cell>
          <cell r="H24" t="str">
            <v>C10</v>
          </cell>
          <cell r="I24" t="str">
            <v xml:space="preserve"> -</v>
          </cell>
          <cell r="J24" t="str">
            <v>A</v>
          </cell>
          <cell r="K24">
            <v>51</v>
          </cell>
          <cell r="N24">
            <v>1</v>
          </cell>
          <cell r="O24">
            <v>102.5</v>
          </cell>
          <cell r="P24">
            <v>106.60000000000001</v>
          </cell>
          <cell r="R24" t="str">
            <v xml:space="preserve"> -</v>
          </cell>
          <cell r="S24">
            <v>450.84000000000003</v>
          </cell>
          <cell r="T24">
            <v>198</v>
          </cell>
          <cell r="U24">
            <v>648.84</v>
          </cell>
        </row>
        <row r="25">
          <cell r="H25" t="str">
            <v>C10</v>
          </cell>
          <cell r="I25" t="str">
            <v xml:space="preserve"> -</v>
          </cell>
          <cell r="J25" t="str">
            <v>A</v>
          </cell>
          <cell r="K25">
            <v>52</v>
          </cell>
          <cell r="N25">
            <v>1</v>
          </cell>
          <cell r="O25">
            <v>91</v>
          </cell>
          <cell r="P25">
            <v>94.64</v>
          </cell>
          <cell r="R25" t="str">
            <v xml:space="preserve"> -</v>
          </cell>
        </row>
        <row r="26">
          <cell r="H26" t="str">
            <v>C 9</v>
          </cell>
          <cell r="I26" t="str">
            <v xml:space="preserve"> -</v>
          </cell>
          <cell r="J26" t="str">
            <v>A</v>
          </cell>
          <cell r="K26">
            <v>6</v>
          </cell>
          <cell r="N26">
            <v>5</v>
          </cell>
          <cell r="O26">
            <v>48</v>
          </cell>
          <cell r="P26">
            <v>249.60000000000002</v>
          </cell>
          <cell r="R26" t="str">
            <v xml:space="preserve"> -</v>
          </cell>
        </row>
        <row r="28">
          <cell r="D28" t="str">
            <v>NS  40Z / L(S)</v>
          </cell>
          <cell r="G28" t="str">
            <v xml:space="preserve"> </v>
          </cell>
          <cell r="H28" t="str">
            <v>C10</v>
          </cell>
          <cell r="I28" t="str">
            <v xml:space="preserve"> -</v>
          </cell>
          <cell r="J28" t="str">
            <v>A</v>
          </cell>
          <cell r="K28">
            <v>51</v>
          </cell>
          <cell r="N28">
            <v>1</v>
          </cell>
          <cell r="O28">
            <v>102.5</v>
          </cell>
          <cell r="P28">
            <v>106.60000000000001</v>
          </cell>
          <cell r="R28" t="str">
            <v xml:space="preserve"> -</v>
          </cell>
          <cell r="S28">
            <v>450.84000000000003</v>
          </cell>
          <cell r="T28">
            <v>210</v>
          </cell>
          <cell r="U28">
            <v>660.84</v>
          </cell>
        </row>
        <row r="29">
          <cell r="H29" t="str">
            <v>C10</v>
          </cell>
          <cell r="I29" t="str">
            <v xml:space="preserve"> -</v>
          </cell>
          <cell r="J29" t="str">
            <v>A</v>
          </cell>
          <cell r="K29">
            <v>52</v>
          </cell>
          <cell r="N29">
            <v>1</v>
          </cell>
          <cell r="O29">
            <v>91</v>
          </cell>
          <cell r="P29">
            <v>94.64</v>
          </cell>
          <cell r="R29" t="str">
            <v xml:space="preserve"> -</v>
          </cell>
        </row>
        <row r="30">
          <cell r="H30" t="str">
            <v>C9</v>
          </cell>
          <cell r="I30" t="str">
            <v xml:space="preserve"> -</v>
          </cell>
          <cell r="J30" t="str">
            <v>A</v>
          </cell>
          <cell r="K30">
            <v>6</v>
          </cell>
          <cell r="N30">
            <v>5</v>
          </cell>
          <cell r="O30">
            <v>48</v>
          </cell>
          <cell r="P30">
            <v>249.60000000000002</v>
          </cell>
          <cell r="R30" t="str">
            <v xml:space="preserve"> -</v>
          </cell>
        </row>
        <row r="32">
          <cell r="D32" t="str">
            <v>N  40</v>
          </cell>
          <cell r="G32" t="str">
            <v xml:space="preserve"> </v>
          </cell>
          <cell r="H32" t="str">
            <v>C10</v>
          </cell>
          <cell r="I32" t="str">
            <v xml:space="preserve"> -</v>
          </cell>
          <cell r="J32" t="str">
            <v>A</v>
          </cell>
          <cell r="K32">
            <v>41</v>
          </cell>
          <cell r="N32">
            <v>1</v>
          </cell>
          <cell r="O32">
            <v>109.5</v>
          </cell>
          <cell r="P32">
            <v>113.88000000000001</v>
          </cell>
          <cell r="R32" t="str">
            <v xml:space="preserve"> -</v>
          </cell>
          <cell r="S32">
            <v>600.6</v>
          </cell>
          <cell r="T32">
            <v>265</v>
          </cell>
          <cell r="U32">
            <v>865.6</v>
          </cell>
        </row>
        <row r="33">
          <cell r="H33" t="str">
            <v>C10</v>
          </cell>
          <cell r="I33" t="str">
            <v xml:space="preserve"> -</v>
          </cell>
          <cell r="J33" t="str">
            <v>A</v>
          </cell>
          <cell r="K33">
            <v>42</v>
          </cell>
          <cell r="N33">
            <v>1</v>
          </cell>
          <cell r="O33">
            <v>103</v>
          </cell>
          <cell r="P33">
            <v>107.12</v>
          </cell>
          <cell r="R33" t="str">
            <v xml:space="preserve"> -</v>
          </cell>
        </row>
        <row r="34">
          <cell r="H34" t="str">
            <v>C10</v>
          </cell>
          <cell r="I34" t="str">
            <v xml:space="preserve"> -</v>
          </cell>
          <cell r="J34" t="str">
            <v>A</v>
          </cell>
          <cell r="K34">
            <v>3</v>
          </cell>
          <cell r="N34">
            <v>5</v>
          </cell>
          <cell r="O34">
            <v>73</v>
          </cell>
          <cell r="P34">
            <v>379.6</v>
          </cell>
          <cell r="R34" t="str">
            <v xml:space="preserve"> -</v>
          </cell>
          <cell r="U34" t="str">
            <v xml:space="preserve"> </v>
          </cell>
        </row>
        <row r="36">
          <cell r="D36" t="str">
            <v>NS  60</v>
          </cell>
          <cell r="G36" t="str">
            <v xml:space="preserve"> </v>
          </cell>
          <cell r="H36" t="str">
            <v>C 9</v>
          </cell>
          <cell r="I36" t="str">
            <v xml:space="preserve"> -</v>
          </cell>
          <cell r="J36" t="str">
            <v>A</v>
          </cell>
          <cell r="K36">
            <v>7</v>
          </cell>
          <cell r="N36">
            <v>1</v>
          </cell>
          <cell r="O36">
            <v>89.5</v>
          </cell>
          <cell r="P36">
            <v>93.08</v>
          </cell>
          <cell r="R36" t="str">
            <v xml:space="preserve"> -</v>
          </cell>
          <cell r="S36">
            <v>575.64</v>
          </cell>
          <cell r="T36">
            <v>255</v>
          </cell>
          <cell r="U36">
            <v>830.64</v>
          </cell>
        </row>
        <row r="37">
          <cell r="H37" t="str">
            <v>C 9</v>
          </cell>
          <cell r="I37" t="str">
            <v xml:space="preserve"> -</v>
          </cell>
          <cell r="J37" t="str">
            <v>A</v>
          </cell>
          <cell r="K37">
            <v>8</v>
          </cell>
          <cell r="N37">
            <v>1</v>
          </cell>
          <cell r="O37">
            <v>84.5</v>
          </cell>
          <cell r="P37">
            <v>87.88000000000001</v>
          </cell>
          <cell r="R37" t="str">
            <v xml:space="preserve"> -</v>
          </cell>
        </row>
        <row r="38">
          <cell r="H38" t="str">
            <v>C10</v>
          </cell>
          <cell r="I38" t="str">
            <v xml:space="preserve"> -</v>
          </cell>
          <cell r="J38" t="str">
            <v>A</v>
          </cell>
          <cell r="K38">
            <v>3</v>
          </cell>
          <cell r="N38">
            <v>5</v>
          </cell>
          <cell r="O38">
            <v>75.900000000000006</v>
          </cell>
          <cell r="P38">
            <v>394.68</v>
          </cell>
          <cell r="R38" t="str">
            <v xml:space="preserve"> -</v>
          </cell>
        </row>
        <row r="40">
          <cell r="D40" t="str">
            <v>NS  60  (S)</v>
          </cell>
          <cell r="G40" t="str">
            <v xml:space="preserve"> </v>
          </cell>
          <cell r="H40" t="str">
            <v>C10</v>
          </cell>
          <cell r="I40" t="str">
            <v xml:space="preserve"> -</v>
          </cell>
          <cell r="J40" t="str">
            <v>A</v>
          </cell>
          <cell r="K40">
            <v>41</v>
          </cell>
          <cell r="N40">
            <v>1</v>
          </cell>
          <cell r="O40">
            <v>109.5</v>
          </cell>
          <cell r="P40">
            <v>113.88000000000001</v>
          </cell>
          <cell r="R40" t="str">
            <v xml:space="preserve"> -</v>
          </cell>
          <cell r="S40">
            <v>600.6</v>
          </cell>
          <cell r="T40">
            <v>255</v>
          </cell>
          <cell r="U40">
            <v>855.6</v>
          </cell>
        </row>
        <row r="41">
          <cell r="G41" t="str">
            <v xml:space="preserve"> </v>
          </cell>
          <cell r="H41" t="str">
            <v>C10</v>
          </cell>
          <cell r="I41" t="str">
            <v xml:space="preserve"> -</v>
          </cell>
          <cell r="J41" t="str">
            <v>A</v>
          </cell>
          <cell r="K41">
            <v>42</v>
          </cell>
          <cell r="N41">
            <v>1</v>
          </cell>
          <cell r="O41">
            <v>103</v>
          </cell>
          <cell r="P41">
            <v>107.12</v>
          </cell>
          <cell r="R41" t="str">
            <v xml:space="preserve"> -</v>
          </cell>
        </row>
        <row r="42">
          <cell r="H42" t="str">
            <v>C10</v>
          </cell>
          <cell r="I42" t="str">
            <v xml:space="preserve"> -</v>
          </cell>
          <cell r="J42" t="str">
            <v>A</v>
          </cell>
          <cell r="K42">
            <v>3</v>
          </cell>
          <cell r="N42">
            <v>5</v>
          </cell>
          <cell r="O42">
            <v>73</v>
          </cell>
          <cell r="P42">
            <v>379.6</v>
          </cell>
          <cell r="R42" t="str">
            <v xml:space="preserve"> -</v>
          </cell>
        </row>
        <row r="46">
          <cell r="D46" t="str">
            <v>MATERIAL CONSUMPTION LEAD PARTS &amp; LEAD STICK</v>
          </cell>
        </row>
        <row r="47">
          <cell r="D47" t="str">
            <v xml:space="preserve"> (  B A T T E R Y    A M B   )</v>
          </cell>
        </row>
        <row r="49">
          <cell r="D49" t="str">
            <v>P W    T Y P E   :</v>
          </cell>
        </row>
        <row r="52">
          <cell r="H52" t="str">
            <v>L E A D   P A R T S</v>
          </cell>
          <cell r="T52" t="str">
            <v>LEAD STICK</v>
          </cell>
          <cell r="U52" t="str">
            <v>TOTAL</v>
          </cell>
        </row>
        <row r="53">
          <cell r="D53" t="str">
            <v>BATTERY</v>
          </cell>
          <cell r="G53" t="str">
            <v xml:space="preserve"> </v>
          </cell>
          <cell r="P53" t="str">
            <v>A x 1.04 x Q'TY</v>
          </cell>
          <cell r="T53" t="str">
            <v>x</v>
          </cell>
          <cell r="U53" t="str">
            <v xml:space="preserve">K C R </v>
          </cell>
        </row>
        <row r="54">
          <cell r="D54" t="str">
            <v>TYPE</v>
          </cell>
          <cell r="G54" t="str">
            <v xml:space="preserve"> </v>
          </cell>
          <cell r="H54" t="str">
            <v>TYPE</v>
          </cell>
          <cell r="M54" t="str">
            <v>Q'TY</v>
          </cell>
          <cell r="O54" t="str">
            <v>Weight</v>
          </cell>
          <cell r="P54" t="str">
            <v>Plastic</v>
          </cell>
          <cell r="R54" t="str">
            <v>AMB</v>
          </cell>
          <cell r="S54" t="str">
            <v>TOTAL</v>
          </cell>
          <cell r="T54">
            <v>1.04</v>
          </cell>
          <cell r="U54" t="str">
            <v>WEIGHT</v>
          </cell>
        </row>
        <row r="55">
          <cell r="O55" t="str">
            <v xml:space="preserve"> / pcs</v>
          </cell>
          <cell r="P55" t="str">
            <v>Injection</v>
          </cell>
          <cell r="R55" t="str">
            <v>ASSY</v>
          </cell>
          <cell r="S55" t="str">
            <v>Weight</v>
          </cell>
          <cell r="T55" t="str">
            <v>(AMB ASSY)</v>
          </cell>
          <cell r="U55" t="str">
            <v xml:space="preserve"> </v>
          </cell>
        </row>
        <row r="57">
          <cell r="O57" t="str">
            <v>gr</v>
          </cell>
          <cell r="Q57" t="str">
            <v>gr</v>
          </cell>
          <cell r="R57" t="str">
            <v>gr</v>
          </cell>
          <cell r="S57" t="str">
            <v>gr</v>
          </cell>
          <cell r="T57" t="str">
            <v>gr</v>
          </cell>
          <cell r="U57" t="str">
            <v>gr</v>
          </cell>
        </row>
        <row r="58">
          <cell r="D58" t="str">
            <v>N 50Z</v>
          </cell>
          <cell r="G58" t="str">
            <v xml:space="preserve"> </v>
          </cell>
          <cell r="H58">
            <v>10</v>
          </cell>
          <cell r="I58" t="str">
            <v xml:space="preserve"> -</v>
          </cell>
          <cell r="J58" t="str">
            <v>A</v>
          </cell>
          <cell r="K58">
            <v>14</v>
          </cell>
          <cell r="N58">
            <v>1</v>
          </cell>
          <cell r="O58">
            <v>72</v>
          </cell>
          <cell r="P58">
            <v>74.88</v>
          </cell>
          <cell r="R58" t="str">
            <v xml:space="preserve"> -</v>
          </cell>
          <cell r="S58">
            <v>633.77599999999995</v>
          </cell>
          <cell r="T58">
            <v>231</v>
          </cell>
          <cell r="U58">
            <v>864.77599999999995</v>
          </cell>
        </row>
        <row r="59">
          <cell r="D59" t="str">
            <v>NS70</v>
          </cell>
          <cell r="G59" t="str">
            <v xml:space="preserve"> </v>
          </cell>
          <cell r="H59">
            <v>10</v>
          </cell>
          <cell r="I59" t="str">
            <v xml:space="preserve"> -</v>
          </cell>
          <cell r="J59" t="str">
            <v>A</v>
          </cell>
          <cell r="K59">
            <v>15</v>
          </cell>
          <cell r="N59">
            <v>1</v>
          </cell>
          <cell r="O59">
            <v>64</v>
          </cell>
          <cell r="P59">
            <v>66.56</v>
          </cell>
          <cell r="R59" t="str">
            <v xml:space="preserve"> -</v>
          </cell>
        </row>
        <row r="60">
          <cell r="D60" t="str">
            <v>N 50</v>
          </cell>
          <cell r="G60" t="str">
            <v xml:space="preserve"> </v>
          </cell>
          <cell r="H60" t="str">
            <v>B10</v>
          </cell>
          <cell r="I60" t="str">
            <v xml:space="preserve"> -</v>
          </cell>
          <cell r="J60" t="str">
            <v>A</v>
          </cell>
          <cell r="K60">
            <v>127</v>
          </cell>
          <cell r="N60">
            <v>2</v>
          </cell>
          <cell r="O60">
            <v>64.2</v>
          </cell>
          <cell r="P60" t="str">
            <v xml:space="preserve"> -</v>
          </cell>
          <cell r="R60">
            <v>133.536</v>
          </cell>
        </row>
        <row r="61">
          <cell r="H61" t="str">
            <v>RF10</v>
          </cell>
          <cell r="I61" t="str">
            <v xml:space="preserve"> -</v>
          </cell>
          <cell r="J61" t="str">
            <v>A</v>
          </cell>
          <cell r="K61">
            <v>13</v>
          </cell>
          <cell r="N61">
            <v>5</v>
          </cell>
          <cell r="O61">
            <v>34.5</v>
          </cell>
          <cell r="P61" t="str">
            <v xml:space="preserve"> -</v>
          </cell>
          <cell r="R61">
            <v>179.4</v>
          </cell>
        </row>
        <row r="62">
          <cell r="H62" t="str">
            <v>RF10</v>
          </cell>
          <cell r="I62" t="str">
            <v xml:space="preserve"> -</v>
          </cell>
          <cell r="J62" t="str">
            <v>A</v>
          </cell>
          <cell r="K62">
            <v>14</v>
          </cell>
          <cell r="N62">
            <v>5</v>
          </cell>
          <cell r="O62">
            <v>34.5</v>
          </cell>
          <cell r="P62" t="str">
            <v xml:space="preserve"> -</v>
          </cell>
          <cell r="R62">
            <v>179.4</v>
          </cell>
        </row>
        <row r="64">
          <cell r="D64" t="str">
            <v>566-17</v>
          </cell>
          <cell r="G64" t="str">
            <v xml:space="preserve"> </v>
          </cell>
          <cell r="H64">
            <v>10</v>
          </cell>
          <cell r="I64" t="str">
            <v xml:space="preserve"> -</v>
          </cell>
          <cell r="J64" t="str">
            <v>A</v>
          </cell>
          <cell r="K64">
            <v>16</v>
          </cell>
          <cell r="N64">
            <v>1</v>
          </cell>
          <cell r="O64">
            <v>73</v>
          </cell>
          <cell r="P64">
            <v>75.92</v>
          </cell>
          <cell r="R64" t="str">
            <v xml:space="preserve"> -</v>
          </cell>
          <cell r="S64">
            <v>633.36</v>
          </cell>
          <cell r="T64">
            <v>343</v>
          </cell>
          <cell r="U64">
            <v>976.36</v>
          </cell>
        </row>
        <row r="65">
          <cell r="D65" t="str">
            <v>(588-15)</v>
          </cell>
          <cell r="G65" t="str">
            <v xml:space="preserve"> </v>
          </cell>
          <cell r="H65">
            <v>10</v>
          </cell>
          <cell r="I65" t="str">
            <v xml:space="preserve"> -</v>
          </cell>
          <cell r="J65" t="str">
            <v>A</v>
          </cell>
          <cell r="K65">
            <v>17</v>
          </cell>
          <cell r="N65">
            <v>1</v>
          </cell>
          <cell r="O65">
            <v>65</v>
          </cell>
          <cell r="P65">
            <v>67.600000000000009</v>
          </cell>
          <cell r="R65" t="str">
            <v xml:space="preserve"> -</v>
          </cell>
          <cell r="T65" t="str">
            <v>(334)</v>
          </cell>
          <cell r="U65">
            <v>633.36</v>
          </cell>
        </row>
        <row r="66">
          <cell r="D66" t="str">
            <v>(580-24)</v>
          </cell>
          <cell r="G66" t="str">
            <v xml:space="preserve"> </v>
          </cell>
          <cell r="H66" t="str">
            <v>B10</v>
          </cell>
          <cell r="I66" t="str">
            <v xml:space="preserve"> -</v>
          </cell>
          <cell r="J66" t="str">
            <v>A</v>
          </cell>
          <cell r="K66">
            <v>120</v>
          </cell>
          <cell r="N66">
            <v>2</v>
          </cell>
          <cell r="O66">
            <v>63</v>
          </cell>
          <cell r="P66" t="str">
            <v xml:space="preserve"> -</v>
          </cell>
          <cell r="R66">
            <v>131.04</v>
          </cell>
          <cell r="T66" t="str">
            <v>(257)</v>
          </cell>
          <cell r="U66">
            <v>633.36</v>
          </cell>
        </row>
        <row r="67">
          <cell r="D67" t="str">
            <v>555-30</v>
          </cell>
          <cell r="G67" t="str">
            <v xml:space="preserve"> </v>
          </cell>
          <cell r="H67" t="str">
            <v>RF10</v>
          </cell>
          <cell r="I67" t="str">
            <v xml:space="preserve"> -</v>
          </cell>
          <cell r="J67" t="str">
            <v>A</v>
          </cell>
          <cell r="K67">
            <v>13</v>
          </cell>
          <cell r="N67">
            <v>5</v>
          </cell>
          <cell r="O67">
            <v>34.5</v>
          </cell>
          <cell r="P67" t="str">
            <v xml:space="preserve"> -</v>
          </cell>
          <cell r="R67">
            <v>179.4</v>
          </cell>
          <cell r="T67">
            <v>343</v>
          </cell>
          <cell r="U67">
            <v>976.36</v>
          </cell>
        </row>
        <row r="68">
          <cell r="H68" t="str">
            <v>RF10</v>
          </cell>
          <cell r="I68" t="str">
            <v xml:space="preserve"> -</v>
          </cell>
          <cell r="J68" t="str">
            <v>A</v>
          </cell>
          <cell r="K68">
            <v>14</v>
          </cell>
          <cell r="N68">
            <v>5</v>
          </cell>
          <cell r="O68">
            <v>34.5</v>
          </cell>
          <cell r="P68" t="str">
            <v xml:space="preserve"> -</v>
          </cell>
          <cell r="R68">
            <v>179.4</v>
          </cell>
        </row>
        <row r="70">
          <cell r="D70" t="str">
            <v>N 70</v>
          </cell>
          <cell r="G70" t="str">
            <v xml:space="preserve"> </v>
          </cell>
          <cell r="H70">
            <v>10</v>
          </cell>
          <cell r="I70" t="str">
            <v xml:space="preserve"> -</v>
          </cell>
          <cell r="J70" t="str">
            <v>A</v>
          </cell>
          <cell r="K70">
            <v>37</v>
          </cell>
          <cell r="N70">
            <v>1</v>
          </cell>
          <cell r="O70">
            <v>68.2</v>
          </cell>
          <cell r="P70">
            <v>70.928000000000011</v>
          </cell>
          <cell r="R70" t="str">
            <v xml:space="preserve"> -</v>
          </cell>
          <cell r="S70">
            <v>725.60799999999995</v>
          </cell>
          <cell r="T70">
            <v>433</v>
          </cell>
          <cell r="U70">
            <v>1158.6079999999999</v>
          </cell>
        </row>
        <row r="71">
          <cell r="G71" t="str">
            <v xml:space="preserve"> </v>
          </cell>
          <cell r="H71">
            <v>10</v>
          </cell>
          <cell r="I71" t="str">
            <v xml:space="preserve"> -</v>
          </cell>
          <cell r="J71" t="str">
            <v>A</v>
          </cell>
          <cell r="K71">
            <v>38</v>
          </cell>
          <cell r="N71">
            <v>1</v>
          </cell>
          <cell r="O71">
            <v>62.5</v>
          </cell>
          <cell r="P71">
            <v>65</v>
          </cell>
          <cell r="R71" t="str">
            <v xml:space="preserve"> -</v>
          </cell>
        </row>
        <row r="72">
          <cell r="H72" t="str">
            <v>B10</v>
          </cell>
          <cell r="I72" t="str">
            <v xml:space="preserve"> -</v>
          </cell>
          <cell r="J72" t="str">
            <v>A</v>
          </cell>
          <cell r="K72">
            <v>110</v>
          </cell>
          <cell r="N72">
            <v>2</v>
          </cell>
          <cell r="O72">
            <v>96</v>
          </cell>
          <cell r="P72" t="str">
            <v xml:space="preserve"> -</v>
          </cell>
          <cell r="R72">
            <v>199.68</v>
          </cell>
        </row>
        <row r="73">
          <cell r="G73" t="str">
            <v xml:space="preserve"> </v>
          </cell>
          <cell r="H73" t="str">
            <v>RT10</v>
          </cell>
          <cell r="I73" t="str">
            <v xml:space="preserve"> -</v>
          </cell>
          <cell r="J73" t="str">
            <v>A</v>
          </cell>
          <cell r="K73">
            <v>1</v>
          </cell>
          <cell r="N73">
            <v>5</v>
          </cell>
          <cell r="O73">
            <v>37.5</v>
          </cell>
          <cell r="P73" t="str">
            <v xml:space="preserve"> -</v>
          </cell>
          <cell r="R73">
            <v>195</v>
          </cell>
        </row>
        <row r="74">
          <cell r="G74" t="str">
            <v xml:space="preserve"> </v>
          </cell>
          <cell r="H74" t="str">
            <v>RT10</v>
          </cell>
          <cell r="I74" t="str">
            <v xml:space="preserve"> -</v>
          </cell>
          <cell r="J74" t="str">
            <v>A</v>
          </cell>
          <cell r="K74">
            <v>2</v>
          </cell>
          <cell r="N74">
            <v>5</v>
          </cell>
          <cell r="O74">
            <v>37.5</v>
          </cell>
          <cell r="P74" t="str">
            <v xml:space="preserve"> -</v>
          </cell>
          <cell r="R74">
            <v>195</v>
          </cell>
        </row>
        <row r="76">
          <cell r="D76" t="str">
            <v>N 70Z</v>
          </cell>
          <cell r="G76" t="str">
            <v xml:space="preserve"> </v>
          </cell>
          <cell r="H76">
            <v>10</v>
          </cell>
          <cell r="I76" t="str">
            <v xml:space="preserve"> -</v>
          </cell>
          <cell r="J76" t="str">
            <v>A</v>
          </cell>
          <cell r="K76">
            <v>37</v>
          </cell>
          <cell r="N76">
            <v>1</v>
          </cell>
          <cell r="O76">
            <v>68.2</v>
          </cell>
          <cell r="P76">
            <v>70.928000000000011</v>
          </cell>
          <cell r="R76" t="str">
            <v xml:space="preserve"> -</v>
          </cell>
          <cell r="S76">
            <v>725.60799999999995</v>
          </cell>
          <cell r="T76">
            <v>441</v>
          </cell>
          <cell r="U76">
            <v>1166.6079999999999</v>
          </cell>
        </row>
        <row r="77">
          <cell r="H77">
            <v>10</v>
          </cell>
          <cell r="I77" t="str">
            <v xml:space="preserve"> -</v>
          </cell>
          <cell r="J77" t="str">
            <v>A</v>
          </cell>
          <cell r="K77">
            <v>38</v>
          </cell>
          <cell r="N77">
            <v>1</v>
          </cell>
          <cell r="O77">
            <v>62.5</v>
          </cell>
          <cell r="P77">
            <v>65</v>
          </cell>
          <cell r="R77" t="str">
            <v xml:space="preserve"> -</v>
          </cell>
        </row>
        <row r="78">
          <cell r="G78" t="str">
            <v xml:space="preserve"> </v>
          </cell>
          <cell r="H78" t="str">
            <v>B10</v>
          </cell>
          <cell r="I78" t="str">
            <v xml:space="preserve"> -</v>
          </cell>
          <cell r="J78" t="str">
            <v>A</v>
          </cell>
          <cell r="K78">
            <v>110</v>
          </cell>
          <cell r="N78">
            <v>2</v>
          </cell>
          <cell r="O78">
            <v>96</v>
          </cell>
          <cell r="P78" t="str">
            <v xml:space="preserve"> -</v>
          </cell>
          <cell r="R78">
            <v>199.68</v>
          </cell>
        </row>
        <row r="79">
          <cell r="G79" t="str">
            <v xml:space="preserve"> </v>
          </cell>
          <cell r="H79" t="str">
            <v>RT10</v>
          </cell>
          <cell r="I79" t="str">
            <v xml:space="preserve"> -</v>
          </cell>
          <cell r="J79" t="str">
            <v>A</v>
          </cell>
          <cell r="K79">
            <v>1</v>
          </cell>
          <cell r="N79">
            <v>5</v>
          </cell>
          <cell r="O79">
            <v>37.5</v>
          </cell>
          <cell r="P79" t="str">
            <v xml:space="preserve"> -</v>
          </cell>
          <cell r="R79">
            <v>195</v>
          </cell>
        </row>
        <row r="80">
          <cell r="H80" t="str">
            <v>RT10</v>
          </cell>
          <cell r="I80" t="str">
            <v xml:space="preserve"> -</v>
          </cell>
          <cell r="J80" t="str">
            <v>A</v>
          </cell>
          <cell r="K80">
            <v>2</v>
          </cell>
          <cell r="N80">
            <v>5</v>
          </cell>
          <cell r="O80">
            <v>37.5</v>
          </cell>
          <cell r="P80" t="str">
            <v xml:space="preserve"> -</v>
          </cell>
          <cell r="R80">
            <v>195</v>
          </cell>
        </row>
        <row r="82">
          <cell r="D82" t="str">
            <v>N 70 / L / Z</v>
          </cell>
          <cell r="H82">
            <v>10</v>
          </cell>
          <cell r="I82" t="str">
            <v xml:space="preserve"> -</v>
          </cell>
          <cell r="J82" t="str">
            <v>A</v>
          </cell>
          <cell r="K82">
            <v>14</v>
          </cell>
          <cell r="N82">
            <v>1</v>
          </cell>
          <cell r="O82">
            <v>72</v>
          </cell>
          <cell r="P82">
            <v>74.88</v>
          </cell>
          <cell r="R82" t="str">
            <v xml:space="preserve"> -</v>
          </cell>
          <cell r="S82">
            <v>709.28</v>
          </cell>
          <cell r="T82">
            <v>441</v>
          </cell>
          <cell r="U82">
            <v>1150.28</v>
          </cell>
        </row>
        <row r="83">
          <cell r="D83" t="str">
            <v xml:space="preserve"> ( NEW )</v>
          </cell>
          <cell r="H83">
            <v>10</v>
          </cell>
          <cell r="I83" t="str">
            <v xml:space="preserve"> -</v>
          </cell>
          <cell r="J83" t="str">
            <v>A</v>
          </cell>
          <cell r="K83">
            <v>15</v>
          </cell>
          <cell r="N83">
            <v>1</v>
          </cell>
          <cell r="O83">
            <v>64</v>
          </cell>
          <cell r="P83">
            <v>66.56</v>
          </cell>
          <cell r="R83" t="str">
            <v xml:space="preserve"> -</v>
          </cell>
        </row>
        <row r="84">
          <cell r="H84" t="str">
            <v>B10</v>
          </cell>
          <cell r="I84" t="str">
            <v xml:space="preserve"> -</v>
          </cell>
          <cell r="J84" t="str">
            <v>A</v>
          </cell>
          <cell r="K84">
            <v>122</v>
          </cell>
          <cell r="N84">
            <v>2</v>
          </cell>
          <cell r="O84">
            <v>85.5</v>
          </cell>
          <cell r="P84" t="str">
            <v xml:space="preserve"> -</v>
          </cell>
          <cell r="R84">
            <v>177.84</v>
          </cell>
        </row>
        <row r="85">
          <cell r="H85" t="str">
            <v>RT10</v>
          </cell>
          <cell r="I85" t="str">
            <v xml:space="preserve"> -</v>
          </cell>
          <cell r="J85" t="str">
            <v>A</v>
          </cell>
          <cell r="K85">
            <v>1</v>
          </cell>
          <cell r="N85">
            <v>5</v>
          </cell>
          <cell r="O85">
            <v>37.5</v>
          </cell>
          <cell r="P85" t="str">
            <v xml:space="preserve"> -</v>
          </cell>
          <cell r="R85">
            <v>195</v>
          </cell>
        </row>
        <row r="86">
          <cell r="H86" t="str">
            <v>RT10</v>
          </cell>
          <cell r="I86" t="str">
            <v xml:space="preserve"> -</v>
          </cell>
          <cell r="J86" t="str">
            <v>A</v>
          </cell>
          <cell r="K86">
            <v>2</v>
          </cell>
          <cell r="N86">
            <v>5</v>
          </cell>
          <cell r="O86">
            <v>37.5</v>
          </cell>
          <cell r="P86" t="str">
            <v xml:space="preserve"> -</v>
          </cell>
          <cell r="R86">
            <v>195</v>
          </cell>
        </row>
        <row r="91">
          <cell r="D91" t="str">
            <v>MATERIAL CONSUMTION LEAD PARTS &amp; LEAD STICK</v>
          </cell>
        </row>
        <row r="92">
          <cell r="D92" t="str">
            <v xml:space="preserve"> (  B A T T E R Y    A M B   )</v>
          </cell>
        </row>
        <row r="94">
          <cell r="D94" t="str">
            <v>P S    T Y P E   :</v>
          </cell>
        </row>
        <row r="97">
          <cell r="H97" t="str">
            <v>L E A D   P A R T S</v>
          </cell>
          <cell r="T97" t="str">
            <v>LEAD STICK</v>
          </cell>
          <cell r="U97" t="str">
            <v>TOTAL</v>
          </cell>
        </row>
        <row r="98">
          <cell r="D98" t="str">
            <v>BATTERY</v>
          </cell>
          <cell r="G98" t="str">
            <v xml:space="preserve"> </v>
          </cell>
          <cell r="P98" t="str">
            <v>A x 1.04 x Q'TY</v>
          </cell>
          <cell r="T98" t="str">
            <v>x</v>
          </cell>
          <cell r="U98" t="str">
            <v>K C R</v>
          </cell>
        </row>
        <row r="99">
          <cell r="D99" t="str">
            <v>TYPE</v>
          </cell>
          <cell r="G99" t="str">
            <v xml:space="preserve"> </v>
          </cell>
          <cell r="H99" t="str">
            <v>TYPE</v>
          </cell>
          <cell r="M99" t="str">
            <v>Q'TY</v>
          </cell>
          <cell r="O99" t="str">
            <v>Weight</v>
          </cell>
          <cell r="P99" t="str">
            <v>Plastic</v>
          </cell>
          <cell r="R99" t="str">
            <v>AMB</v>
          </cell>
          <cell r="S99" t="str">
            <v>TOTAL</v>
          </cell>
          <cell r="T99">
            <v>1.04</v>
          </cell>
          <cell r="U99" t="str">
            <v>WEIGHT</v>
          </cell>
        </row>
        <row r="100">
          <cell r="O100" t="str">
            <v xml:space="preserve"> / pc.</v>
          </cell>
          <cell r="P100" t="str">
            <v>Injection</v>
          </cell>
          <cell r="R100" t="str">
            <v>ASSY</v>
          </cell>
          <cell r="S100" t="str">
            <v>Weight</v>
          </cell>
          <cell r="T100" t="str">
            <v>(AMB ASSY)</v>
          </cell>
          <cell r="U100" t="str">
            <v xml:space="preserve"> </v>
          </cell>
        </row>
        <row r="102">
          <cell r="O102" t="str">
            <v>gr</v>
          </cell>
          <cell r="Q102" t="str">
            <v>gr</v>
          </cell>
          <cell r="R102" t="str">
            <v>gr</v>
          </cell>
          <cell r="S102" t="str">
            <v>gr</v>
          </cell>
          <cell r="T102" t="str">
            <v>gr</v>
          </cell>
          <cell r="U102" t="str">
            <v>gr</v>
          </cell>
        </row>
        <row r="103">
          <cell r="D103" t="str">
            <v xml:space="preserve">N  50 / L  </v>
          </cell>
          <cell r="G103" t="str">
            <v xml:space="preserve"> </v>
          </cell>
          <cell r="H103" t="str">
            <v>C10</v>
          </cell>
          <cell r="I103" t="str">
            <v xml:space="preserve"> -</v>
          </cell>
          <cell r="J103" t="str">
            <v>A</v>
          </cell>
          <cell r="K103">
            <v>1</v>
          </cell>
          <cell r="N103">
            <v>1</v>
          </cell>
          <cell r="O103">
            <v>118</v>
          </cell>
          <cell r="P103">
            <v>122.72</v>
          </cell>
          <cell r="R103" t="str">
            <v xml:space="preserve"> -</v>
          </cell>
          <cell r="S103">
            <v>617.24</v>
          </cell>
          <cell r="T103">
            <v>335</v>
          </cell>
          <cell r="U103">
            <v>952.24</v>
          </cell>
        </row>
        <row r="104">
          <cell r="H104" t="str">
            <v>C10</v>
          </cell>
          <cell r="I104" t="str">
            <v xml:space="preserve"> -</v>
          </cell>
          <cell r="J104" t="str">
            <v>A</v>
          </cell>
          <cell r="K104">
            <v>2</v>
          </cell>
          <cell r="N104">
            <v>1</v>
          </cell>
          <cell r="O104">
            <v>110.5</v>
          </cell>
          <cell r="P104">
            <v>114.92</v>
          </cell>
          <cell r="R104" t="str">
            <v xml:space="preserve"> -</v>
          </cell>
        </row>
        <row r="105">
          <cell r="H105" t="str">
            <v>C10</v>
          </cell>
          <cell r="I105" t="str">
            <v xml:space="preserve"> -</v>
          </cell>
          <cell r="J105" t="str">
            <v>A</v>
          </cell>
          <cell r="K105">
            <v>3</v>
          </cell>
          <cell r="N105">
            <v>5</v>
          </cell>
          <cell r="O105">
            <v>73</v>
          </cell>
          <cell r="P105">
            <v>379.6</v>
          </cell>
          <cell r="R105" t="str">
            <v xml:space="preserve"> -</v>
          </cell>
        </row>
        <row r="107">
          <cell r="D107" t="str">
            <v>N  50 Z / L</v>
          </cell>
          <cell r="G107" t="str">
            <v xml:space="preserve"> </v>
          </cell>
          <cell r="H107" t="str">
            <v>C10</v>
          </cell>
          <cell r="I107" t="str">
            <v xml:space="preserve"> -</v>
          </cell>
          <cell r="J107" t="str">
            <v>A</v>
          </cell>
          <cell r="K107" t="str">
            <v>1 PLS</v>
          </cell>
          <cell r="N107">
            <v>1</v>
          </cell>
          <cell r="O107">
            <v>118.2</v>
          </cell>
          <cell r="P107">
            <v>122.92800000000001</v>
          </cell>
          <cell r="R107" t="str">
            <v xml:space="preserve"> -</v>
          </cell>
          <cell r="S107">
            <v>617.44800000000009</v>
          </cell>
          <cell r="T107">
            <v>311</v>
          </cell>
          <cell r="U107">
            <v>928.44800000000009</v>
          </cell>
        </row>
        <row r="108">
          <cell r="G108" t="str">
            <v xml:space="preserve"> </v>
          </cell>
          <cell r="H108" t="str">
            <v>C10</v>
          </cell>
          <cell r="I108" t="str">
            <v xml:space="preserve"> -</v>
          </cell>
          <cell r="J108" t="str">
            <v>A</v>
          </cell>
          <cell r="K108" t="str">
            <v>2 PLS</v>
          </cell>
          <cell r="N108">
            <v>1</v>
          </cell>
          <cell r="O108">
            <v>110.5</v>
          </cell>
          <cell r="P108">
            <v>114.92</v>
          </cell>
          <cell r="R108" t="str">
            <v xml:space="preserve"> -</v>
          </cell>
        </row>
        <row r="109">
          <cell r="H109" t="str">
            <v>C10</v>
          </cell>
          <cell r="I109" t="str">
            <v xml:space="preserve"> -</v>
          </cell>
          <cell r="J109" t="str">
            <v>A</v>
          </cell>
          <cell r="K109">
            <v>3</v>
          </cell>
          <cell r="N109">
            <v>5</v>
          </cell>
          <cell r="O109">
            <v>73</v>
          </cell>
          <cell r="P109">
            <v>379.6</v>
          </cell>
          <cell r="R109" t="str">
            <v xml:space="preserve"> -</v>
          </cell>
        </row>
        <row r="111">
          <cell r="D111" t="str">
            <v>MTV-500</v>
          </cell>
          <cell r="G111" t="str">
            <v xml:space="preserve"> </v>
          </cell>
          <cell r="H111" t="str">
            <v>C10</v>
          </cell>
          <cell r="I111" t="str">
            <v xml:space="preserve"> -</v>
          </cell>
          <cell r="J111" t="str">
            <v>A</v>
          </cell>
          <cell r="K111" t="str">
            <v>1  TV</v>
          </cell>
          <cell r="N111">
            <v>1</v>
          </cell>
          <cell r="O111">
            <v>104</v>
          </cell>
          <cell r="P111">
            <v>108.16</v>
          </cell>
          <cell r="R111" t="str">
            <v xml:space="preserve"> -</v>
          </cell>
          <cell r="S111">
            <v>591.24</v>
          </cell>
          <cell r="T111">
            <v>335</v>
          </cell>
          <cell r="U111">
            <v>926.24</v>
          </cell>
        </row>
        <row r="112">
          <cell r="H112" t="str">
            <v>C10</v>
          </cell>
          <cell r="I112" t="str">
            <v xml:space="preserve"> -</v>
          </cell>
          <cell r="J112" t="str">
            <v>A</v>
          </cell>
          <cell r="K112" t="str">
            <v>2  TV</v>
          </cell>
          <cell r="N112">
            <v>1</v>
          </cell>
          <cell r="O112">
            <v>99.5</v>
          </cell>
          <cell r="P112">
            <v>103.48</v>
          </cell>
          <cell r="R112" t="str">
            <v xml:space="preserve"> -</v>
          </cell>
        </row>
        <row r="113">
          <cell r="H113" t="str">
            <v>C10</v>
          </cell>
          <cell r="I113" t="str">
            <v xml:space="preserve"> -</v>
          </cell>
          <cell r="J113" t="str">
            <v>A</v>
          </cell>
          <cell r="K113">
            <v>3</v>
          </cell>
          <cell r="N113">
            <v>5</v>
          </cell>
          <cell r="O113">
            <v>73</v>
          </cell>
          <cell r="P113">
            <v>379.6</v>
          </cell>
          <cell r="R113" t="str">
            <v xml:space="preserve"> -</v>
          </cell>
        </row>
        <row r="115">
          <cell r="D115" t="str">
            <v>O  3</v>
          </cell>
          <cell r="G115" t="str">
            <v xml:space="preserve"> </v>
          </cell>
          <cell r="H115" t="str">
            <v>C10</v>
          </cell>
          <cell r="I115" t="str">
            <v xml:space="preserve"> -</v>
          </cell>
          <cell r="J115" t="str">
            <v>A</v>
          </cell>
          <cell r="K115" t="str">
            <v>1 PLS</v>
          </cell>
          <cell r="N115">
            <v>1</v>
          </cell>
          <cell r="O115">
            <v>104</v>
          </cell>
          <cell r="P115">
            <v>108.16</v>
          </cell>
          <cell r="R115" t="str">
            <v xml:space="preserve"> -</v>
          </cell>
          <cell r="S115">
            <v>363.48</v>
          </cell>
          <cell r="T115">
            <v>183</v>
          </cell>
          <cell r="U115">
            <v>546.48</v>
          </cell>
        </row>
        <row r="116">
          <cell r="H116" t="str">
            <v>C10</v>
          </cell>
          <cell r="I116" t="str">
            <v xml:space="preserve"> -</v>
          </cell>
          <cell r="J116" t="str">
            <v>A</v>
          </cell>
          <cell r="K116" t="str">
            <v>2 PLS</v>
          </cell>
          <cell r="N116">
            <v>1</v>
          </cell>
          <cell r="O116">
            <v>99.5</v>
          </cell>
          <cell r="P116">
            <v>103.48</v>
          </cell>
          <cell r="R116" t="str">
            <v xml:space="preserve"> -</v>
          </cell>
        </row>
        <row r="117">
          <cell r="H117" t="str">
            <v>C10</v>
          </cell>
          <cell r="I117" t="str">
            <v xml:space="preserve"> -</v>
          </cell>
          <cell r="J117" t="str">
            <v>A</v>
          </cell>
          <cell r="K117">
            <v>3</v>
          </cell>
          <cell r="N117">
            <v>2</v>
          </cell>
          <cell r="O117">
            <v>73</v>
          </cell>
          <cell r="P117">
            <v>151.84</v>
          </cell>
          <cell r="R117" t="str">
            <v xml:space="preserve"> -</v>
          </cell>
        </row>
        <row r="121">
          <cell r="D121" t="str">
            <v>MATERIAL CONSUMTION LEAD PARTS &amp; LEAD STICK</v>
          </cell>
        </row>
        <row r="122">
          <cell r="D122" t="str">
            <v xml:space="preserve"> (  B A T T E R Y    A M B   )</v>
          </cell>
        </row>
        <row r="124">
          <cell r="D124" t="str">
            <v>P W    T Y P E   :</v>
          </cell>
        </row>
        <row r="127">
          <cell r="H127" t="str">
            <v>L E A D   P A R T S</v>
          </cell>
          <cell r="T127" t="str">
            <v>LEAD STICK</v>
          </cell>
          <cell r="U127" t="str">
            <v>TOTAL</v>
          </cell>
        </row>
        <row r="128">
          <cell r="D128" t="str">
            <v>BATTERY</v>
          </cell>
          <cell r="G128" t="str">
            <v xml:space="preserve"> </v>
          </cell>
          <cell r="P128" t="str">
            <v>A x 1.04 x Q'TY</v>
          </cell>
          <cell r="T128" t="str">
            <v>x</v>
          </cell>
          <cell r="U128" t="str">
            <v>K C R</v>
          </cell>
        </row>
        <row r="129">
          <cell r="D129" t="str">
            <v>TYPE</v>
          </cell>
          <cell r="G129" t="str">
            <v xml:space="preserve"> </v>
          </cell>
          <cell r="H129" t="str">
            <v>TYPE</v>
          </cell>
          <cell r="M129" t="str">
            <v>Q'TY</v>
          </cell>
          <cell r="O129" t="str">
            <v>Weight</v>
          </cell>
          <cell r="P129" t="str">
            <v>Plastic</v>
          </cell>
          <cell r="R129" t="str">
            <v>AMB</v>
          </cell>
          <cell r="S129" t="str">
            <v>TOTAL</v>
          </cell>
          <cell r="T129">
            <v>1.04</v>
          </cell>
          <cell r="U129" t="str">
            <v>WEIGHT</v>
          </cell>
        </row>
        <row r="130">
          <cell r="O130" t="str">
            <v xml:space="preserve"> / pc.</v>
          </cell>
          <cell r="P130" t="str">
            <v>Injection</v>
          </cell>
          <cell r="R130" t="str">
            <v>ASSY</v>
          </cell>
          <cell r="S130" t="str">
            <v>Weight</v>
          </cell>
          <cell r="T130" t="str">
            <v>(AMB ASSY)</v>
          </cell>
          <cell r="U130" t="str">
            <v xml:space="preserve"> </v>
          </cell>
        </row>
        <row r="132">
          <cell r="O132" t="str">
            <v>gr</v>
          </cell>
          <cell r="Q132" t="str">
            <v>gr</v>
          </cell>
          <cell r="R132" t="str">
            <v>gr</v>
          </cell>
          <cell r="S132" t="str">
            <v>gr</v>
          </cell>
          <cell r="T132" t="str">
            <v>gr</v>
          </cell>
          <cell r="U132" t="str">
            <v>gr</v>
          </cell>
        </row>
        <row r="133">
          <cell r="D133" t="str">
            <v>N 100</v>
          </cell>
          <cell r="G133" t="str">
            <v xml:space="preserve"> </v>
          </cell>
          <cell r="H133">
            <v>14</v>
          </cell>
          <cell r="I133" t="str">
            <v xml:space="preserve"> -</v>
          </cell>
          <cell r="J133" t="str">
            <v>A</v>
          </cell>
          <cell r="K133">
            <v>20</v>
          </cell>
          <cell r="N133">
            <v>2</v>
          </cell>
          <cell r="O133">
            <v>50.5</v>
          </cell>
          <cell r="P133">
            <v>105.04</v>
          </cell>
          <cell r="R133" t="str">
            <v xml:space="preserve"> -</v>
          </cell>
          <cell r="S133">
            <v>1062.8800000000001</v>
          </cell>
          <cell r="T133">
            <v>596</v>
          </cell>
          <cell r="U133">
            <v>1658.88</v>
          </cell>
        </row>
        <row r="134">
          <cell r="H134" t="str">
            <v>B14</v>
          </cell>
          <cell r="I134" t="str">
            <v xml:space="preserve"> -</v>
          </cell>
          <cell r="J134" t="str">
            <v>A</v>
          </cell>
          <cell r="K134">
            <v>36</v>
          </cell>
          <cell r="N134">
            <v>2</v>
          </cell>
          <cell r="O134">
            <v>98</v>
          </cell>
          <cell r="P134" t="str">
            <v xml:space="preserve"> -</v>
          </cell>
          <cell r="R134">
            <v>203.84</v>
          </cell>
        </row>
        <row r="135">
          <cell r="H135" t="str">
            <v>RT14</v>
          </cell>
          <cell r="I135" t="str">
            <v xml:space="preserve"> -</v>
          </cell>
          <cell r="J135" t="str">
            <v>A</v>
          </cell>
          <cell r="K135">
            <v>1</v>
          </cell>
          <cell r="N135">
            <v>5</v>
          </cell>
          <cell r="O135">
            <v>72.5</v>
          </cell>
          <cell r="P135" t="str">
            <v xml:space="preserve"> -</v>
          </cell>
          <cell r="R135">
            <v>377</v>
          </cell>
        </row>
        <row r="136">
          <cell r="H136" t="str">
            <v>RT14</v>
          </cell>
          <cell r="I136" t="str">
            <v xml:space="preserve"> -</v>
          </cell>
          <cell r="J136" t="str">
            <v>A</v>
          </cell>
          <cell r="K136">
            <v>2</v>
          </cell>
          <cell r="N136">
            <v>5</v>
          </cell>
          <cell r="O136">
            <v>72.5</v>
          </cell>
          <cell r="P136" t="str">
            <v xml:space="preserve"> -</v>
          </cell>
          <cell r="R136">
            <v>377</v>
          </cell>
        </row>
        <row r="138">
          <cell r="D138" t="str">
            <v>N 120</v>
          </cell>
          <cell r="G138" t="str">
            <v xml:space="preserve"> </v>
          </cell>
          <cell r="H138">
            <v>12</v>
          </cell>
          <cell r="I138" t="str">
            <v xml:space="preserve"> -</v>
          </cell>
          <cell r="J138" t="str">
            <v>A</v>
          </cell>
          <cell r="K138">
            <v>19</v>
          </cell>
          <cell r="N138">
            <v>2</v>
          </cell>
          <cell r="O138">
            <v>45</v>
          </cell>
          <cell r="P138">
            <v>93.600000000000009</v>
          </cell>
          <cell r="R138" t="str">
            <v xml:space="preserve"> -</v>
          </cell>
          <cell r="S138">
            <v>930.8</v>
          </cell>
          <cell r="T138">
            <v>812</v>
          </cell>
          <cell r="U138">
            <v>1742.8</v>
          </cell>
        </row>
        <row r="139">
          <cell r="H139" t="str">
            <v>B14</v>
          </cell>
          <cell r="I139" t="str">
            <v xml:space="preserve"> -</v>
          </cell>
          <cell r="J139" t="str">
            <v>A</v>
          </cell>
          <cell r="K139">
            <v>38</v>
          </cell>
          <cell r="N139">
            <v>2</v>
          </cell>
          <cell r="O139">
            <v>134</v>
          </cell>
          <cell r="P139" t="str">
            <v xml:space="preserve"> -</v>
          </cell>
          <cell r="R139">
            <v>278.72000000000003</v>
          </cell>
        </row>
        <row r="140">
          <cell r="H140" t="str">
            <v>RT14</v>
          </cell>
          <cell r="I140" t="str">
            <v xml:space="preserve"> -</v>
          </cell>
          <cell r="J140" t="str">
            <v>A</v>
          </cell>
          <cell r="K140">
            <v>1</v>
          </cell>
          <cell r="N140">
            <v>1</v>
          </cell>
          <cell r="O140">
            <v>72.5</v>
          </cell>
          <cell r="P140" t="str">
            <v xml:space="preserve"> -</v>
          </cell>
          <cell r="R140">
            <v>75.400000000000006</v>
          </cell>
        </row>
        <row r="141">
          <cell r="H141" t="str">
            <v>RT14</v>
          </cell>
          <cell r="I141" t="str">
            <v xml:space="preserve"> -</v>
          </cell>
          <cell r="J141" t="str">
            <v>A</v>
          </cell>
          <cell r="K141">
            <v>2</v>
          </cell>
          <cell r="N141">
            <v>1</v>
          </cell>
          <cell r="O141">
            <v>72.5</v>
          </cell>
          <cell r="P141" t="str">
            <v xml:space="preserve"> -</v>
          </cell>
          <cell r="R141">
            <v>75.400000000000006</v>
          </cell>
        </row>
        <row r="142">
          <cell r="H142" t="str">
            <v>RT14</v>
          </cell>
          <cell r="I142" t="str">
            <v xml:space="preserve"> -</v>
          </cell>
          <cell r="J142" t="str">
            <v>A</v>
          </cell>
          <cell r="K142">
            <v>3</v>
          </cell>
          <cell r="N142">
            <v>4</v>
          </cell>
          <cell r="O142">
            <v>48.5</v>
          </cell>
          <cell r="P142" t="str">
            <v xml:space="preserve"> -</v>
          </cell>
          <cell r="R142">
            <v>201.76000000000002</v>
          </cell>
        </row>
        <row r="143">
          <cell r="H143" t="str">
            <v>RT14</v>
          </cell>
          <cell r="I143" t="str">
            <v xml:space="preserve"> -</v>
          </cell>
          <cell r="J143" t="str">
            <v>A</v>
          </cell>
          <cell r="K143">
            <v>4</v>
          </cell>
          <cell r="N143">
            <v>4</v>
          </cell>
          <cell r="O143">
            <v>49.5</v>
          </cell>
          <cell r="P143" t="str">
            <v xml:space="preserve"> -</v>
          </cell>
          <cell r="R143">
            <v>205.92000000000002</v>
          </cell>
        </row>
        <row r="145">
          <cell r="D145" t="str">
            <v>N 150</v>
          </cell>
          <cell r="G145" t="str">
            <v xml:space="preserve"> </v>
          </cell>
          <cell r="H145">
            <v>17</v>
          </cell>
          <cell r="I145" t="str">
            <v xml:space="preserve"> -</v>
          </cell>
          <cell r="J145" t="str">
            <v>A</v>
          </cell>
          <cell r="K145">
            <v>7</v>
          </cell>
          <cell r="N145">
            <v>2</v>
          </cell>
          <cell r="O145">
            <v>64</v>
          </cell>
          <cell r="P145">
            <v>133.12</v>
          </cell>
          <cell r="R145" t="str">
            <v xml:space="preserve"> -</v>
          </cell>
          <cell r="S145">
            <v>1389.44</v>
          </cell>
          <cell r="T145">
            <v>915</v>
          </cell>
          <cell r="U145">
            <v>2304.44</v>
          </cell>
        </row>
        <row r="146">
          <cell r="H146" t="str">
            <v>B16</v>
          </cell>
          <cell r="I146" t="str">
            <v xml:space="preserve"> -</v>
          </cell>
          <cell r="J146" t="str">
            <v>A</v>
          </cell>
          <cell r="K146">
            <v>16.75</v>
          </cell>
          <cell r="N146">
            <v>2</v>
          </cell>
          <cell r="O146">
            <v>183.5</v>
          </cell>
          <cell r="P146" t="str">
            <v xml:space="preserve"> -</v>
          </cell>
          <cell r="R146">
            <v>381.68</v>
          </cell>
        </row>
        <row r="147">
          <cell r="H147" t="str">
            <v>RT15</v>
          </cell>
          <cell r="I147" t="str">
            <v xml:space="preserve"> -</v>
          </cell>
          <cell r="J147" t="str">
            <v>A</v>
          </cell>
          <cell r="K147">
            <v>1</v>
          </cell>
          <cell r="N147">
            <v>1</v>
          </cell>
          <cell r="O147">
            <v>117.5</v>
          </cell>
          <cell r="P147" t="str">
            <v xml:space="preserve"> -</v>
          </cell>
          <cell r="R147">
            <v>122.2</v>
          </cell>
        </row>
        <row r="148">
          <cell r="H148" t="str">
            <v>RT15</v>
          </cell>
          <cell r="I148" t="str">
            <v xml:space="preserve"> -</v>
          </cell>
          <cell r="J148" t="str">
            <v>A</v>
          </cell>
          <cell r="K148">
            <v>2</v>
          </cell>
          <cell r="N148">
            <v>1</v>
          </cell>
          <cell r="O148">
            <v>119.5</v>
          </cell>
          <cell r="P148" t="str">
            <v xml:space="preserve"> -</v>
          </cell>
          <cell r="R148">
            <v>124.28</v>
          </cell>
        </row>
        <row r="149">
          <cell r="H149" t="str">
            <v>RT15</v>
          </cell>
          <cell r="I149" t="str">
            <v xml:space="preserve"> -</v>
          </cell>
          <cell r="J149" t="str">
            <v>A</v>
          </cell>
          <cell r="K149">
            <v>3</v>
          </cell>
          <cell r="N149">
            <v>4</v>
          </cell>
          <cell r="O149">
            <v>74.5</v>
          </cell>
          <cell r="P149" t="str">
            <v xml:space="preserve"> -</v>
          </cell>
          <cell r="R149">
            <v>309.92</v>
          </cell>
        </row>
        <row r="150">
          <cell r="H150" t="str">
            <v>RT15</v>
          </cell>
          <cell r="I150" t="str">
            <v xml:space="preserve"> -</v>
          </cell>
          <cell r="J150" t="str">
            <v>A</v>
          </cell>
          <cell r="K150">
            <v>4</v>
          </cell>
          <cell r="N150">
            <v>4</v>
          </cell>
          <cell r="O150">
            <v>76.5</v>
          </cell>
          <cell r="P150" t="str">
            <v xml:space="preserve"> -</v>
          </cell>
          <cell r="R150">
            <v>318.24</v>
          </cell>
        </row>
        <row r="152">
          <cell r="D152" t="str">
            <v>NS 40</v>
          </cell>
          <cell r="G152" t="str">
            <v xml:space="preserve"> </v>
          </cell>
          <cell r="H152">
            <v>7</v>
          </cell>
          <cell r="I152" t="str">
            <v xml:space="preserve"> -</v>
          </cell>
          <cell r="J152" t="str">
            <v>A</v>
          </cell>
          <cell r="K152">
            <v>13</v>
          </cell>
          <cell r="N152">
            <v>1</v>
          </cell>
          <cell r="O152">
            <v>47</v>
          </cell>
          <cell r="P152">
            <v>48.88</v>
          </cell>
          <cell r="R152" t="str">
            <v xml:space="preserve"> -</v>
          </cell>
          <cell r="S152">
            <v>479.44000000000005</v>
          </cell>
          <cell r="T152" t="str">
            <v xml:space="preserve"> ( 198 )</v>
          </cell>
          <cell r="U152">
            <v>479.44000000000005</v>
          </cell>
        </row>
        <row r="153">
          <cell r="H153">
            <v>7</v>
          </cell>
          <cell r="I153" t="str">
            <v xml:space="preserve"> -</v>
          </cell>
          <cell r="J153" t="str">
            <v>A</v>
          </cell>
          <cell r="K153">
            <v>14</v>
          </cell>
          <cell r="N153">
            <v>1</v>
          </cell>
          <cell r="O153">
            <v>40</v>
          </cell>
          <cell r="P153">
            <v>41.6</v>
          </cell>
          <cell r="R153" t="str">
            <v xml:space="preserve"> -</v>
          </cell>
          <cell r="S153" t="str">
            <v xml:space="preserve"> </v>
          </cell>
          <cell r="T153" t="str">
            <v xml:space="preserve"> </v>
          </cell>
          <cell r="U153" t="str">
            <v xml:space="preserve"> </v>
          </cell>
        </row>
        <row r="154">
          <cell r="H154" t="str">
            <v>B7</v>
          </cell>
          <cell r="I154" t="str">
            <v xml:space="preserve"> -</v>
          </cell>
          <cell r="J154" t="str">
            <v>A</v>
          </cell>
          <cell r="K154">
            <v>1</v>
          </cell>
          <cell r="N154">
            <v>2</v>
          </cell>
          <cell r="O154">
            <v>47</v>
          </cell>
          <cell r="P154" t="str">
            <v xml:space="preserve"> -</v>
          </cell>
          <cell r="R154">
            <v>97.76</v>
          </cell>
        </row>
        <row r="155">
          <cell r="H155" t="str">
            <v>RT9</v>
          </cell>
          <cell r="I155" t="str">
            <v xml:space="preserve"> -</v>
          </cell>
          <cell r="J155" t="str">
            <v>A</v>
          </cell>
          <cell r="K155">
            <v>1</v>
          </cell>
          <cell r="N155">
            <v>5</v>
          </cell>
          <cell r="O155">
            <v>28</v>
          </cell>
          <cell r="P155" t="str">
            <v xml:space="preserve"> -</v>
          </cell>
          <cell r="R155">
            <v>145.6</v>
          </cell>
        </row>
        <row r="156">
          <cell r="H156" t="str">
            <v>RT9</v>
          </cell>
          <cell r="I156" t="str">
            <v xml:space="preserve"> -</v>
          </cell>
          <cell r="J156" t="str">
            <v>A</v>
          </cell>
          <cell r="K156">
            <v>2</v>
          </cell>
          <cell r="N156">
            <v>5</v>
          </cell>
          <cell r="O156">
            <v>28</v>
          </cell>
          <cell r="P156" t="str">
            <v xml:space="preserve"> -</v>
          </cell>
          <cell r="R156">
            <v>145.6</v>
          </cell>
        </row>
        <row r="158">
          <cell r="D158" t="str">
            <v>NS 40Z</v>
          </cell>
          <cell r="G158" t="str">
            <v xml:space="preserve"> </v>
          </cell>
          <cell r="H158">
            <v>7</v>
          </cell>
          <cell r="I158" t="str">
            <v xml:space="preserve"> -</v>
          </cell>
          <cell r="J158" t="str">
            <v>A</v>
          </cell>
          <cell r="K158">
            <v>13</v>
          </cell>
          <cell r="N158">
            <v>1</v>
          </cell>
          <cell r="O158">
            <v>47</v>
          </cell>
          <cell r="P158">
            <v>48.88</v>
          </cell>
          <cell r="R158" t="str">
            <v xml:space="preserve"> -</v>
          </cell>
          <cell r="S158">
            <v>479.44000000000005</v>
          </cell>
          <cell r="T158" t="str">
            <v xml:space="preserve"> (210)</v>
          </cell>
          <cell r="U158">
            <v>479.44000000000005</v>
          </cell>
        </row>
        <row r="159">
          <cell r="H159">
            <v>7</v>
          </cell>
          <cell r="I159" t="str">
            <v xml:space="preserve"> -</v>
          </cell>
          <cell r="J159" t="str">
            <v>A</v>
          </cell>
          <cell r="K159">
            <v>14</v>
          </cell>
          <cell r="N159">
            <v>1</v>
          </cell>
          <cell r="O159">
            <v>40</v>
          </cell>
          <cell r="P159">
            <v>41.6</v>
          </cell>
          <cell r="R159" t="str">
            <v xml:space="preserve"> -</v>
          </cell>
          <cell r="S159" t="str">
            <v xml:space="preserve"> </v>
          </cell>
          <cell r="T159" t="str">
            <v xml:space="preserve"> </v>
          </cell>
          <cell r="U159" t="str">
            <v xml:space="preserve"> </v>
          </cell>
        </row>
        <row r="160">
          <cell r="H160" t="str">
            <v>B7</v>
          </cell>
          <cell r="I160" t="str">
            <v xml:space="preserve"> -</v>
          </cell>
          <cell r="J160" t="str">
            <v>A</v>
          </cell>
          <cell r="K160">
            <v>1</v>
          </cell>
          <cell r="N160">
            <v>2</v>
          </cell>
          <cell r="O160">
            <v>47</v>
          </cell>
          <cell r="P160" t="str">
            <v xml:space="preserve"> -</v>
          </cell>
          <cell r="R160">
            <v>97.76</v>
          </cell>
        </row>
        <row r="161">
          <cell r="H161" t="str">
            <v>RT9</v>
          </cell>
          <cell r="I161" t="str">
            <v xml:space="preserve"> -</v>
          </cell>
          <cell r="J161" t="str">
            <v>A</v>
          </cell>
          <cell r="K161">
            <v>1</v>
          </cell>
          <cell r="N161">
            <v>5</v>
          </cell>
          <cell r="O161">
            <v>28</v>
          </cell>
          <cell r="P161" t="str">
            <v xml:space="preserve"> -</v>
          </cell>
          <cell r="R161">
            <v>145.6</v>
          </cell>
        </row>
        <row r="162">
          <cell r="H162" t="str">
            <v>RT9</v>
          </cell>
          <cell r="I162" t="str">
            <v xml:space="preserve"> -</v>
          </cell>
          <cell r="J162" t="str">
            <v>A</v>
          </cell>
          <cell r="K162">
            <v>2</v>
          </cell>
          <cell r="N162">
            <v>5</v>
          </cell>
          <cell r="O162">
            <v>28</v>
          </cell>
          <cell r="P162" t="str">
            <v xml:space="preserve"> -</v>
          </cell>
          <cell r="R162">
            <v>145.6</v>
          </cell>
        </row>
        <row r="164">
          <cell r="D164" t="str">
            <v>NS 40 (S)</v>
          </cell>
          <cell r="G164" t="str">
            <v xml:space="preserve"> </v>
          </cell>
          <cell r="H164">
            <v>7</v>
          </cell>
          <cell r="I164" t="str">
            <v xml:space="preserve"> -</v>
          </cell>
          <cell r="J164" t="str">
            <v>A</v>
          </cell>
          <cell r="K164" t="str">
            <v>13 (S)</v>
          </cell>
          <cell r="N164">
            <v>1</v>
          </cell>
          <cell r="O164">
            <v>68</v>
          </cell>
          <cell r="P164">
            <v>70.72</v>
          </cell>
          <cell r="R164" t="str">
            <v xml:space="preserve"> -</v>
          </cell>
          <cell r="S164">
            <v>523.12</v>
          </cell>
          <cell r="T164" t="str">
            <v>(198)</v>
          </cell>
          <cell r="U164">
            <v>523.12</v>
          </cell>
        </row>
        <row r="165">
          <cell r="H165">
            <v>7</v>
          </cell>
          <cell r="I165" t="str">
            <v xml:space="preserve"> -</v>
          </cell>
          <cell r="J165" t="str">
            <v>A</v>
          </cell>
          <cell r="K165" t="str">
            <v>14 (S)</v>
          </cell>
          <cell r="N165">
            <v>1</v>
          </cell>
          <cell r="O165">
            <v>61</v>
          </cell>
          <cell r="P165">
            <v>63.440000000000005</v>
          </cell>
          <cell r="R165" t="str">
            <v xml:space="preserve"> -</v>
          </cell>
        </row>
        <row r="166">
          <cell r="H166" t="str">
            <v>B7</v>
          </cell>
          <cell r="I166" t="str">
            <v xml:space="preserve"> -</v>
          </cell>
          <cell r="J166" t="str">
            <v>A</v>
          </cell>
          <cell r="K166">
            <v>1</v>
          </cell>
          <cell r="N166">
            <v>2</v>
          </cell>
          <cell r="O166">
            <v>47</v>
          </cell>
          <cell r="P166" t="str">
            <v xml:space="preserve"> -</v>
          </cell>
          <cell r="R166">
            <v>97.76</v>
          </cell>
        </row>
        <row r="167">
          <cell r="H167" t="str">
            <v>RT9</v>
          </cell>
          <cell r="I167" t="str">
            <v xml:space="preserve"> -</v>
          </cell>
          <cell r="J167" t="str">
            <v>A</v>
          </cell>
          <cell r="K167">
            <v>1</v>
          </cell>
          <cell r="N167">
            <v>5</v>
          </cell>
          <cell r="O167">
            <v>28</v>
          </cell>
          <cell r="P167" t="str">
            <v xml:space="preserve"> -</v>
          </cell>
          <cell r="R167">
            <v>145.6</v>
          </cell>
        </row>
        <row r="168">
          <cell r="H168" t="str">
            <v>RT9</v>
          </cell>
          <cell r="I168" t="str">
            <v xml:space="preserve"> -</v>
          </cell>
          <cell r="J168" t="str">
            <v>A</v>
          </cell>
          <cell r="K168">
            <v>2</v>
          </cell>
          <cell r="N168">
            <v>5</v>
          </cell>
          <cell r="O168">
            <v>28</v>
          </cell>
          <cell r="P168" t="str">
            <v xml:space="preserve"> -</v>
          </cell>
          <cell r="R168">
            <v>145.6</v>
          </cell>
        </row>
        <row r="170">
          <cell r="D170" t="str">
            <v>NS 40Z (S)</v>
          </cell>
          <cell r="G170" t="str">
            <v xml:space="preserve"> </v>
          </cell>
          <cell r="H170">
            <v>7</v>
          </cell>
          <cell r="I170" t="str">
            <v xml:space="preserve"> -</v>
          </cell>
          <cell r="J170" t="str">
            <v>A</v>
          </cell>
          <cell r="K170" t="str">
            <v>13 (S)</v>
          </cell>
          <cell r="N170">
            <v>1</v>
          </cell>
          <cell r="O170">
            <v>68</v>
          </cell>
          <cell r="P170">
            <v>70.72</v>
          </cell>
          <cell r="R170" t="str">
            <v xml:space="preserve"> -</v>
          </cell>
          <cell r="S170">
            <v>523.12</v>
          </cell>
          <cell r="T170" t="str">
            <v>(210)</v>
          </cell>
          <cell r="U170">
            <v>523.12</v>
          </cell>
        </row>
        <row r="171">
          <cell r="H171">
            <v>7</v>
          </cell>
          <cell r="I171" t="str">
            <v xml:space="preserve"> -</v>
          </cell>
          <cell r="J171" t="str">
            <v>A</v>
          </cell>
          <cell r="K171" t="str">
            <v>14 (S)</v>
          </cell>
          <cell r="N171">
            <v>1</v>
          </cell>
          <cell r="O171">
            <v>61</v>
          </cell>
          <cell r="P171">
            <v>63.440000000000005</v>
          </cell>
          <cell r="R171" t="str">
            <v xml:space="preserve"> -</v>
          </cell>
        </row>
        <row r="172">
          <cell r="H172" t="str">
            <v>B7</v>
          </cell>
          <cell r="I172" t="str">
            <v xml:space="preserve"> -</v>
          </cell>
          <cell r="J172" t="str">
            <v>A</v>
          </cell>
          <cell r="K172">
            <v>1</v>
          </cell>
          <cell r="N172">
            <v>2</v>
          </cell>
          <cell r="O172">
            <v>47</v>
          </cell>
          <cell r="P172" t="str">
            <v xml:space="preserve"> -</v>
          </cell>
          <cell r="R172">
            <v>97.76</v>
          </cell>
        </row>
        <row r="173">
          <cell r="H173" t="str">
            <v>RT9</v>
          </cell>
          <cell r="I173" t="str">
            <v xml:space="preserve"> -</v>
          </cell>
          <cell r="J173" t="str">
            <v>A</v>
          </cell>
          <cell r="K173">
            <v>1</v>
          </cell>
          <cell r="N173">
            <v>5</v>
          </cell>
          <cell r="O173">
            <v>28</v>
          </cell>
          <cell r="P173" t="str">
            <v xml:space="preserve"> -</v>
          </cell>
          <cell r="R173">
            <v>145.6</v>
          </cell>
        </row>
        <row r="174">
          <cell r="H174" t="str">
            <v>RT9</v>
          </cell>
          <cell r="I174" t="str">
            <v xml:space="preserve"> -</v>
          </cell>
          <cell r="J174" t="str">
            <v>A</v>
          </cell>
          <cell r="K174">
            <v>2</v>
          </cell>
          <cell r="N174">
            <v>5</v>
          </cell>
          <cell r="O174">
            <v>28</v>
          </cell>
          <cell r="P174" t="str">
            <v xml:space="preserve"> -</v>
          </cell>
          <cell r="R174">
            <v>145.6</v>
          </cell>
        </row>
        <row r="176">
          <cell r="D176" t="str">
            <v>N 200</v>
          </cell>
          <cell r="G176" t="str">
            <v xml:space="preserve"> </v>
          </cell>
          <cell r="H176">
            <v>18</v>
          </cell>
          <cell r="I176" t="str">
            <v xml:space="preserve"> -</v>
          </cell>
          <cell r="J176" t="str">
            <v>A</v>
          </cell>
          <cell r="K176">
            <v>10</v>
          </cell>
          <cell r="N176">
            <v>2</v>
          </cell>
          <cell r="O176">
            <v>51.4</v>
          </cell>
          <cell r="P176">
            <v>106.91200000000001</v>
          </cell>
          <cell r="R176" t="str">
            <v xml:space="preserve"> -</v>
          </cell>
          <cell r="S176">
            <v>1438.1120000000001</v>
          </cell>
          <cell r="T176">
            <v>1256</v>
          </cell>
          <cell r="U176">
            <v>2694.1120000000001</v>
          </cell>
        </row>
        <row r="177">
          <cell r="D177" t="str">
            <v>PP</v>
          </cell>
          <cell r="G177" t="str">
            <v xml:space="preserve"> </v>
          </cell>
          <cell r="H177" t="str">
            <v>B18</v>
          </cell>
          <cell r="I177" t="str">
            <v xml:space="preserve"> -</v>
          </cell>
          <cell r="J177" t="str">
            <v>A</v>
          </cell>
          <cell r="K177">
            <v>13</v>
          </cell>
          <cell r="N177">
            <v>2</v>
          </cell>
          <cell r="O177">
            <v>249</v>
          </cell>
          <cell r="P177" t="str">
            <v>-</v>
          </cell>
          <cell r="R177">
            <v>517.92000000000007</v>
          </cell>
        </row>
        <row r="178">
          <cell r="H178" t="str">
            <v>RT15</v>
          </cell>
          <cell r="I178" t="str">
            <v xml:space="preserve"> -</v>
          </cell>
          <cell r="J178" t="str">
            <v>A</v>
          </cell>
          <cell r="K178">
            <v>7</v>
          </cell>
          <cell r="N178">
            <v>4</v>
          </cell>
          <cell r="O178">
            <v>63.8</v>
          </cell>
          <cell r="P178" t="str">
            <v xml:space="preserve"> -</v>
          </cell>
          <cell r="R178">
            <v>265.40800000000002</v>
          </cell>
        </row>
        <row r="179">
          <cell r="H179" t="str">
            <v>RT15</v>
          </cell>
          <cell r="I179" t="str">
            <v xml:space="preserve"> -</v>
          </cell>
          <cell r="J179" t="str">
            <v>A</v>
          </cell>
          <cell r="K179">
            <v>8</v>
          </cell>
          <cell r="N179">
            <v>4</v>
          </cell>
          <cell r="O179">
            <v>66.2</v>
          </cell>
          <cell r="P179" t="str">
            <v xml:space="preserve"> -</v>
          </cell>
          <cell r="R179">
            <v>275.392</v>
          </cell>
        </row>
        <row r="180">
          <cell r="H180" t="str">
            <v>RT15</v>
          </cell>
          <cell r="I180" t="str">
            <v xml:space="preserve"> -</v>
          </cell>
          <cell r="J180" t="str">
            <v>A</v>
          </cell>
          <cell r="K180">
            <v>9</v>
          </cell>
          <cell r="N180">
            <v>1</v>
          </cell>
          <cell r="O180">
            <v>131</v>
          </cell>
          <cell r="P180" t="str">
            <v xml:space="preserve"> -</v>
          </cell>
          <cell r="R180">
            <v>136.24</v>
          </cell>
        </row>
        <row r="181">
          <cell r="H181" t="str">
            <v>RT15</v>
          </cell>
          <cell r="I181" t="str">
            <v xml:space="preserve"> -</v>
          </cell>
          <cell r="J181" t="str">
            <v>A</v>
          </cell>
          <cell r="K181">
            <v>10</v>
          </cell>
          <cell r="N181">
            <v>1</v>
          </cell>
          <cell r="O181">
            <v>131</v>
          </cell>
          <cell r="P181" t="str">
            <v xml:space="preserve"> -</v>
          </cell>
          <cell r="R181">
            <v>136.24</v>
          </cell>
        </row>
      </sheetData>
      <sheetData sheetId="7"/>
      <sheetData sheetId="8">
        <row r="1">
          <cell r="C1" t="str">
            <v>MATERIAL CONSUMPTION LEAD PARTS &amp; LEAD STICK</v>
          </cell>
        </row>
        <row r="2">
          <cell r="C2" t="str">
            <v xml:space="preserve"> (  M C B  )</v>
          </cell>
        </row>
        <row r="5">
          <cell r="F5" t="str">
            <v xml:space="preserve">L E A D   P A R T S </v>
          </cell>
        </row>
        <row r="6">
          <cell r="F6" t="str">
            <v xml:space="preserve"> ( PLASTIC INJECTION )</v>
          </cell>
          <cell r="O6" t="str">
            <v>LEAD STICK</v>
          </cell>
          <cell r="P6" t="str">
            <v>TOTAL</v>
          </cell>
        </row>
        <row r="7">
          <cell r="C7" t="str">
            <v>BATTERY</v>
          </cell>
          <cell r="O7" t="str">
            <v>x</v>
          </cell>
          <cell r="P7" t="str">
            <v>K C R</v>
          </cell>
        </row>
        <row r="8">
          <cell r="C8" t="str">
            <v>TYPE</v>
          </cell>
          <cell r="F8" t="str">
            <v>TYPE</v>
          </cell>
          <cell r="J8" t="str">
            <v>GRAM</v>
          </cell>
          <cell r="K8" t="str">
            <v>Q'TY</v>
          </cell>
          <cell r="L8" t="str">
            <v>A x Q'TY</v>
          </cell>
          <cell r="M8" t="str">
            <v>TOTAL</v>
          </cell>
          <cell r="N8" t="str">
            <v>TOTAL</v>
          </cell>
          <cell r="O8">
            <v>1.04</v>
          </cell>
          <cell r="P8" t="str">
            <v>WEIGHT</v>
          </cell>
        </row>
        <row r="9">
          <cell r="J9" t="str">
            <v xml:space="preserve"> / PCS</v>
          </cell>
          <cell r="K9" t="str">
            <v xml:space="preserve"> </v>
          </cell>
          <cell r="M9" t="str">
            <v>WEIGHT</v>
          </cell>
          <cell r="N9" t="str">
            <v>WEIGHT</v>
          </cell>
          <cell r="O9" t="str">
            <v>(AMB ASSY)</v>
          </cell>
          <cell r="P9" t="str">
            <v xml:space="preserve"> </v>
          </cell>
        </row>
        <row r="10">
          <cell r="J10" t="str">
            <v xml:space="preserve"> ( A )</v>
          </cell>
          <cell r="N10" t="str">
            <v>x 1.04</v>
          </cell>
        </row>
        <row r="11">
          <cell r="J11" t="str">
            <v>gr</v>
          </cell>
          <cell r="L11" t="str">
            <v>gr</v>
          </cell>
          <cell r="M11" t="str">
            <v>gr</v>
          </cell>
          <cell r="N11" t="str">
            <v>gr</v>
          </cell>
          <cell r="O11" t="str">
            <v>gr</v>
          </cell>
          <cell r="P11" t="str">
            <v>gr</v>
          </cell>
        </row>
        <row r="12">
          <cell r="C12" t="str">
            <v>6N4-2A</v>
          </cell>
          <cell r="F12" t="str">
            <v>C5</v>
          </cell>
          <cell r="G12" t="str">
            <v xml:space="preserve"> -</v>
          </cell>
          <cell r="H12">
            <v>6</v>
          </cell>
          <cell r="J12">
            <v>5.7</v>
          </cell>
          <cell r="K12">
            <v>2</v>
          </cell>
          <cell r="L12">
            <v>11.4</v>
          </cell>
          <cell r="M12">
            <v>35.4</v>
          </cell>
          <cell r="N12">
            <v>36.816000000000003</v>
          </cell>
          <cell r="O12">
            <v>56</v>
          </cell>
          <cell r="P12">
            <v>92.816000000000003</v>
          </cell>
        </row>
        <row r="13">
          <cell r="F13" t="str">
            <v>C5</v>
          </cell>
          <cell r="G13" t="str">
            <v xml:space="preserve"> -</v>
          </cell>
          <cell r="H13" t="str">
            <v>2 PDK</v>
          </cell>
          <cell r="J13">
            <v>12</v>
          </cell>
          <cell r="K13">
            <v>2</v>
          </cell>
          <cell r="L13">
            <v>24</v>
          </cell>
        </row>
        <row r="15">
          <cell r="C15" t="str">
            <v>6N4A-4D</v>
          </cell>
          <cell r="F15" t="str">
            <v>C5</v>
          </cell>
          <cell r="G15" t="str">
            <v xml:space="preserve"> -</v>
          </cell>
          <cell r="H15">
            <v>4</v>
          </cell>
          <cell r="J15">
            <v>7</v>
          </cell>
          <cell r="K15">
            <v>2</v>
          </cell>
          <cell r="L15">
            <v>14</v>
          </cell>
          <cell r="M15">
            <v>38</v>
          </cell>
          <cell r="N15">
            <v>39.520000000000003</v>
          </cell>
          <cell r="O15">
            <v>35</v>
          </cell>
          <cell r="P15">
            <v>74.52000000000001</v>
          </cell>
        </row>
        <row r="16">
          <cell r="F16" t="str">
            <v>C5</v>
          </cell>
          <cell r="G16" t="str">
            <v xml:space="preserve"> -</v>
          </cell>
          <cell r="H16" t="str">
            <v>2 PJ</v>
          </cell>
          <cell r="J16">
            <v>12</v>
          </cell>
          <cell r="K16">
            <v>2</v>
          </cell>
          <cell r="L16">
            <v>24</v>
          </cell>
        </row>
        <row r="18">
          <cell r="C18" t="str">
            <v>6N4B-2A</v>
          </cell>
          <cell r="F18" t="str">
            <v>C5</v>
          </cell>
          <cell r="G18" t="str">
            <v xml:space="preserve"> -</v>
          </cell>
          <cell r="H18">
            <v>6</v>
          </cell>
          <cell r="J18">
            <v>5.7</v>
          </cell>
          <cell r="K18">
            <v>2</v>
          </cell>
          <cell r="L18">
            <v>11.4</v>
          </cell>
          <cell r="M18">
            <v>35.4</v>
          </cell>
          <cell r="N18">
            <v>36.816000000000003</v>
          </cell>
          <cell r="O18">
            <v>51</v>
          </cell>
          <cell r="P18">
            <v>87.816000000000003</v>
          </cell>
        </row>
        <row r="19">
          <cell r="F19" t="str">
            <v>C5</v>
          </cell>
          <cell r="G19" t="str">
            <v xml:space="preserve"> -</v>
          </cell>
          <cell r="H19" t="str">
            <v>2 PDK</v>
          </cell>
          <cell r="J19">
            <v>12</v>
          </cell>
          <cell r="K19">
            <v>2</v>
          </cell>
          <cell r="L19">
            <v>24</v>
          </cell>
        </row>
        <row r="21">
          <cell r="C21" t="str">
            <v>6N6-1B-1</v>
          </cell>
          <cell r="F21" t="str">
            <v>C5</v>
          </cell>
          <cell r="G21" t="str">
            <v xml:space="preserve"> -</v>
          </cell>
          <cell r="H21">
            <v>4</v>
          </cell>
          <cell r="J21">
            <v>7</v>
          </cell>
          <cell r="K21">
            <v>2</v>
          </cell>
          <cell r="L21">
            <v>14</v>
          </cell>
          <cell r="M21">
            <v>38</v>
          </cell>
          <cell r="N21">
            <v>39.520000000000003</v>
          </cell>
          <cell r="O21">
            <v>59</v>
          </cell>
          <cell r="P21">
            <v>98.52000000000001</v>
          </cell>
        </row>
        <row r="22">
          <cell r="F22" t="str">
            <v>C5</v>
          </cell>
          <cell r="G22" t="str">
            <v xml:space="preserve"> -</v>
          </cell>
          <cell r="H22" t="str">
            <v>2 PJ</v>
          </cell>
          <cell r="J22">
            <v>12</v>
          </cell>
          <cell r="K22">
            <v>2</v>
          </cell>
          <cell r="L22">
            <v>24</v>
          </cell>
        </row>
        <row r="24">
          <cell r="C24" t="str">
            <v>6N6-3B</v>
          </cell>
          <cell r="F24" t="str">
            <v>C5</v>
          </cell>
          <cell r="G24" t="str">
            <v xml:space="preserve"> -</v>
          </cell>
          <cell r="H24">
            <v>9</v>
          </cell>
          <cell r="J24">
            <v>12.5</v>
          </cell>
          <cell r="K24">
            <v>2</v>
          </cell>
          <cell r="L24">
            <v>25</v>
          </cell>
          <cell r="M24">
            <v>53</v>
          </cell>
          <cell r="N24">
            <v>55.120000000000005</v>
          </cell>
          <cell r="O24">
            <v>50</v>
          </cell>
          <cell r="P24">
            <v>105.12</v>
          </cell>
        </row>
        <row r="25">
          <cell r="F25" t="str">
            <v>C5</v>
          </cell>
          <cell r="G25" t="str">
            <v xml:space="preserve"> -</v>
          </cell>
          <cell r="H25" t="str">
            <v>2 PDK</v>
          </cell>
          <cell r="J25">
            <v>12</v>
          </cell>
          <cell r="K25">
            <v>1</v>
          </cell>
          <cell r="L25">
            <v>12</v>
          </cell>
        </row>
        <row r="26">
          <cell r="F26" t="str">
            <v>C5</v>
          </cell>
          <cell r="G26" t="str">
            <v xml:space="preserve"> -</v>
          </cell>
          <cell r="H26">
            <v>3</v>
          </cell>
          <cell r="J26">
            <v>16</v>
          </cell>
          <cell r="K26">
            <v>1</v>
          </cell>
          <cell r="L26">
            <v>16</v>
          </cell>
        </row>
        <row r="28">
          <cell r="C28" t="str">
            <v>6N6-3B-1</v>
          </cell>
          <cell r="F28" t="str">
            <v>C7</v>
          </cell>
          <cell r="G28" t="str">
            <v xml:space="preserve"> -</v>
          </cell>
          <cell r="H28">
            <v>17</v>
          </cell>
          <cell r="J28">
            <v>14.5</v>
          </cell>
          <cell r="K28">
            <v>2</v>
          </cell>
          <cell r="L28">
            <v>29</v>
          </cell>
          <cell r="M28">
            <v>80</v>
          </cell>
          <cell r="N28">
            <v>83.2</v>
          </cell>
          <cell r="O28">
            <v>48</v>
          </cell>
          <cell r="P28">
            <v>131.19999999999999</v>
          </cell>
        </row>
        <row r="29">
          <cell r="F29" t="str">
            <v>C7</v>
          </cell>
          <cell r="G29" t="str">
            <v xml:space="preserve"> -</v>
          </cell>
          <cell r="H29">
            <v>5</v>
          </cell>
          <cell r="J29">
            <v>35</v>
          </cell>
          <cell r="K29">
            <v>1</v>
          </cell>
          <cell r="L29">
            <v>35</v>
          </cell>
        </row>
        <row r="30">
          <cell r="F30" t="str">
            <v>C7</v>
          </cell>
          <cell r="G30" t="str">
            <v xml:space="preserve"> -</v>
          </cell>
          <cell r="H30">
            <v>18</v>
          </cell>
          <cell r="J30">
            <v>16</v>
          </cell>
          <cell r="K30">
            <v>1</v>
          </cell>
          <cell r="L30">
            <v>16</v>
          </cell>
        </row>
        <row r="32">
          <cell r="C32" t="str">
            <v>6N6-3B-1 (PP)</v>
          </cell>
          <cell r="F32" t="str">
            <v>C5</v>
          </cell>
          <cell r="G32" t="str">
            <v xml:space="preserve"> -</v>
          </cell>
          <cell r="H32">
            <v>9</v>
          </cell>
          <cell r="J32">
            <v>12.5</v>
          </cell>
          <cell r="K32">
            <v>2</v>
          </cell>
          <cell r="L32">
            <v>25</v>
          </cell>
          <cell r="M32">
            <v>53</v>
          </cell>
          <cell r="N32">
            <v>55.120000000000005</v>
          </cell>
          <cell r="O32">
            <v>50</v>
          </cell>
          <cell r="P32">
            <v>105.12</v>
          </cell>
        </row>
        <row r="33">
          <cell r="F33" t="str">
            <v>C5</v>
          </cell>
          <cell r="G33" t="str">
            <v xml:space="preserve"> -</v>
          </cell>
          <cell r="H33" t="str">
            <v>2 PJ</v>
          </cell>
          <cell r="J33">
            <v>12</v>
          </cell>
          <cell r="K33">
            <v>1</v>
          </cell>
          <cell r="L33">
            <v>12</v>
          </cell>
        </row>
        <row r="34">
          <cell r="F34" t="str">
            <v>C5</v>
          </cell>
          <cell r="G34" t="str">
            <v xml:space="preserve"> -</v>
          </cell>
          <cell r="H34">
            <v>3</v>
          </cell>
          <cell r="J34">
            <v>16</v>
          </cell>
          <cell r="K34">
            <v>1</v>
          </cell>
          <cell r="L34">
            <v>16</v>
          </cell>
        </row>
        <row r="36">
          <cell r="C36" t="str">
            <v>6N11-2D</v>
          </cell>
          <cell r="F36" t="str">
            <v>C7</v>
          </cell>
          <cell r="G36" t="str">
            <v xml:space="preserve"> -</v>
          </cell>
          <cell r="H36">
            <v>4</v>
          </cell>
          <cell r="J36">
            <v>22</v>
          </cell>
          <cell r="K36">
            <v>2</v>
          </cell>
          <cell r="L36">
            <v>44</v>
          </cell>
          <cell r="M36">
            <v>99</v>
          </cell>
          <cell r="N36">
            <v>102.96000000000001</v>
          </cell>
          <cell r="O36">
            <v>119</v>
          </cell>
          <cell r="P36">
            <v>221.96</v>
          </cell>
        </row>
        <row r="37">
          <cell r="C37" t="str">
            <v>(ABS/PP)</v>
          </cell>
          <cell r="F37" t="str">
            <v>C7</v>
          </cell>
          <cell r="G37" t="str">
            <v xml:space="preserve"> -</v>
          </cell>
          <cell r="H37">
            <v>9</v>
          </cell>
          <cell r="J37">
            <v>27.5</v>
          </cell>
          <cell r="K37">
            <v>2</v>
          </cell>
          <cell r="L37">
            <v>55</v>
          </cell>
        </row>
        <row r="43">
          <cell r="C43" t="str">
            <v>MATERIAL CONSUMPTION LEAD PARTS &amp; LEAD STICK</v>
          </cell>
        </row>
        <row r="44">
          <cell r="C44" t="str">
            <v xml:space="preserve"> (  M C B  )</v>
          </cell>
        </row>
        <row r="46">
          <cell r="F46" t="str">
            <v xml:space="preserve">L E A D   P A R T S </v>
          </cell>
        </row>
        <row r="47">
          <cell r="F47" t="str">
            <v xml:space="preserve"> ( PLASTIC INJECTION )</v>
          </cell>
          <cell r="O47" t="str">
            <v>LEAD STICK</v>
          </cell>
          <cell r="P47" t="str">
            <v>TOTAL</v>
          </cell>
        </row>
        <row r="48">
          <cell r="C48" t="str">
            <v>BATTERY</v>
          </cell>
          <cell r="O48" t="str">
            <v>x</v>
          </cell>
          <cell r="P48" t="str">
            <v>K C R</v>
          </cell>
        </row>
        <row r="49">
          <cell r="C49" t="str">
            <v>TYPE</v>
          </cell>
          <cell r="F49" t="str">
            <v>TYPE</v>
          </cell>
          <cell r="J49" t="str">
            <v>GRAM</v>
          </cell>
          <cell r="K49" t="str">
            <v>Q'TY</v>
          </cell>
          <cell r="L49" t="str">
            <v>A x Q'TY</v>
          </cell>
          <cell r="M49" t="str">
            <v>TOTAL</v>
          </cell>
          <cell r="N49" t="str">
            <v>TOTAL</v>
          </cell>
          <cell r="O49">
            <v>1.04</v>
          </cell>
          <cell r="P49" t="str">
            <v>WEIGHT</v>
          </cell>
        </row>
        <row r="50">
          <cell r="J50" t="str">
            <v xml:space="preserve"> / PCS</v>
          </cell>
          <cell r="K50" t="str">
            <v xml:space="preserve"> </v>
          </cell>
          <cell r="M50" t="str">
            <v>WEIGHT</v>
          </cell>
          <cell r="N50" t="str">
            <v>WEIGHT</v>
          </cell>
          <cell r="O50" t="str">
            <v>(AMB ASSY)</v>
          </cell>
        </row>
        <row r="51">
          <cell r="N51" t="str">
            <v>x 1.04</v>
          </cell>
        </row>
        <row r="52">
          <cell r="C52" t="str">
            <v>12N5.5-4B</v>
          </cell>
          <cell r="F52" t="str">
            <v>C7</v>
          </cell>
          <cell r="G52" t="str">
            <v xml:space="preserve"> -</v>
          </cell>
          <cell r="H52">
            <v>2</v>
          </cell>
          <cell r="J52">
            <v>19</v>
          </cell>
          <cell r="K52">
            <v>2</v>
          </cell>
          <cell r="L52">
            <v>38</v>
          </cell>
          <cell r="M52">
            <v>177</v>
          </cell>
          <cell r="N52">
            <v>184.08</v>
          </cell>
          <cell r="O52">
            <v>98</v>
          </cell>
          <cell r="P52">
            <v>282.08000000000004</v>
          </cell>
        </row>
        <row r="53">
          <cell r="F53" t="str">
            <v>C7</v>
          </cell>
          <cell r="G53" t="str">
            <v xml:space="preserve"> -</v>
          </cell>
          <cell r="H53">
            <v>9</v>
          </cell>
          <cell r="I53" t="str">
            <v xml:space="preserve"> </v>
          </cell>
          <cell r="J53">
            <v>27.5</v>
          </cell>
          <cell r="K53">
            <v>2</v>
          </cell>
          <cell r="L53">
            <v>55</v>
          </cell>
        </row>
        <row r="54">
          <cell r="F54" t="str">
            <v>C7</v>
          </cell>
          <cell r="G54" t="str">
            <v xml:space="preserve"> -</v>
          </cell>
          <cell r="H54" t="str">
            <v>9-3E</v>
          </cell>
          <cell r="J54">
            <v>28</v>
          </cell>
          <cell r="K54">
            <v>3</v>
          </cell>
          <cell r="L54">
            <v>84</v>
          </cell>
        </row>
        <row r="56">
          <cell r="C56" t="str">
            <v>12N5.5-4B (PP)</v>
          </cell>
          <cell r="F56" t="str">
            <v>C7</v>
          </cell>
          <cell r="G56" t="str">
            <v>-</v>
          </cell>
          <cell r="H56">
            <v>8</v>
          </cell>
          <cell r="J56">
            <v>22.8</v>
          </cell>
          <cell r="K56">
            <v>2</v>
          </cell>
          <cell r="L56">
            <v>45.6</v>
          </cell>
          <cell r="M56">
            <v>158.6</v>
          </cell>
          <cell r="N56">
            <v>164.94399999999999</v>
          </cell>
          <cell r="O56">
            <v>98</v>
          </cell>
          <cell r="P56">
            <v>262.94399999999996</v>
          </cell>
        </row>
        <row r="57">
          <cell r="F57" t="str">
            <v>C7</v>
          </cell>
          <cell r="G57" t="str">
            <v xml:space="preserve"> -</v>
          </cell>
          <cell r="H57" t="str">
            <v>9-3E</v>
          </cell>
          <cell r="J57">
            <v>28</v>
          </cell>
          <cell r="K57">
            <v>3</v>
          </cell>
          <cell r="L57">
            <v>84</v>
          </cell>
        </row>
        <row r="58">
          <cell r="F58" t="str">
            <v>C7</v>
          </cell>
          <cell r="G58" t="str">
            <v xml:space="preserve"> -</v>
          </cell>
          <cell r="H58">
            <v>17</v>
          </cell>
          <cell r="J58">
            <v>14.5</v>
          </cell>
          <cell r="K58">
            <v>2</v>
          </cell>
          <cell r="L58">
            <v>29</v>
          </cell>
        </row>
        <row r="60">
          <cell r="C60" t="str">
            <v>12N7C-3D</v>
          </cell>
          <cell r="F60" t="str">
            <v>C7</v>
          </cell>
          <cell r="G60" t="str">
            <v xml:space="preserve"> -</v>
          </cell>
          <cell r="H60">
            <v>4</v>
          </cell>
          <cell r="I60" t="str">
            <v xml:space="preserve"> </v>
          </cell>
          <cell r="J60">
            <v>22</v>
          </cell>
          <cell r="K60">
            <v>2</v>
          </cell>
          <cell r="L60">
            <v>44</v>
          </cell>
          <cell r="M60">
            <v>177</v>
          </cell>
          <cell r="N60">
            <v>184.08</v>
          </cell>
          <cell r="O60">
            <v>105</v>
          </cell>
          <cell r="P60">
            <v>289.08000000000004</v>
          </cell>
        </row>
        <row r="61">
          <cell r="F61" t="str">
            <v>C7</v>
          </cell>
          <cell r="G61" t="str">
            <v xml:space="preserve"> -</v>
          </cell>
          <cell r="H61">
            <v>9</v>
          </cell>
          <cell r="J61">
            <v>27.5</v>
          </cell>
          <cell r="K61">
            <v>2</v>
          </cell>
          <cell r="L61">
            <v>55</v>
          </cell>
        </row>
        <row r="62">
          <cell r="F62" t="str">
            <v>C7</v>
          </cell>
          <cell r="G62" t="str">
            <v xml:space="preserve"> -</v>
          </cell>
          <cell r="H62" t="str">
            <v>9-3D</v>
          </cell>
          <cell r="J62">
            <v>26</v>
          </cell>
          <cell r="K62">
            <v>3</v>
          </cell>
          <cell r="L62">
            <v>78</v>
          </cell>
        </row>
        <row r="64">
          <cell r="C64" t="str">
            <v>12N9-4B-1</v>
          </cell>
          <cell r="F64" t="str">
            <v>C7</v>
          </cell>
          <cell r="G64" t="str">
            <v xml:space="preserve"> -</v>
          </cell>
          <cell r="H64">
            <v>4</v>
          </cell>
          <cell r="J64">
            <v>22</v>
          </cell>
          <cell r="K64">
            <v>2</v>
          </cell>
          <cell r="L64">
            <v>44</v>
          </cell>
          <cell r="M64">
            <v>183</v>
          </cell>
          <cell r="N64">
            <v>190.32</v>
          </cell>
          <cell r="O64">
            <v>131</v>
          </cell>
          <cell r="P64">
            <v>321.32</v>
          </cell>
        </row>
        <row r="65">
          <cell r="F65" t="str">
            <v>C7</v>
          </cell>
          <cell r="G65" t="str">
            <v xml:space="preserve"> -</v>
          </cell>
          <cell r="H65">
            <v>9</v>
          </cell>
          <cell r="J65">
            <v>27.5</v>
          </cell>
          <cell r="K65">
            <v>2</v>
          </cell>
          <cell r="L65">
            <v>55</v>
          </cell>
        </row>
        <row r="66">
          <cell r="F66" t="str">
            <v>C7</v>
          </cell>
          <cell r="G66" t="str">
            <v xml:space="preserve"> -</v>
          </cell>
          <cell r="H66" t="str">
            <v>9-3E</v>
          </cell>
          <cell r="J66">
            <v>28</v>
          </cell>
          <cell r="K66">
            <v>3</v>
          </cell>
          <cell r="L66">
            <v>84</v>
          </cell>
        </row>
        <row r="68">
          <cell r="C68" t="str">
            <v>GM2.5A-3C-2</v>
          </cell>
          <cell r="F68" t="str">
            <v>C4.5   -   5</v>
          </cell>
          <cell r="I68" t="str">
            <v xml:space="preserve"> </v>
          </cell>
          <cell r="J68">
            <v>6</v>
          </cell>
          <cell r="K68">
            <v>2</v>
          </cell>
          <cell r="L68">
            <v>12</v>
          </cell>
          <cell r="M68">
            <v>57</v>
          </cell>
          <cell r="N68">
            <v>59.28</v>
          </cell>
          <cell r="O68">
            <v>60</v>
          </cell>
          <cell r="P68">
            <v>119.28</v>
          </cell>
        </row>
        <row r="69">
          <cell r="C69" t="str">
            <v xml:space="preserve"> ( PP/ABS )</v>
          </cell>
          <cell r="F69" t="str">
            <v>C4.5   -   6</v>
          </cell>
          <cell r="I69" t="str">
            <v xml:space="preserve"> </v>
          </cell>
          <cell r="J69">
            <v>9</v>
          </cell>
          <cell r="K69">
            <v>5</v>
          </cell>
          <cell r="L69">
            <v>45</v>
          </cell>
        </row>
        <row r="71">
          <cell r="C71" t="str">
            <v>GM4-3B</v>
          </cell>
          <cell r="F71" t="str">
            <v>C5</v>
          </cell>
          <cell r="G71" t="str">
            <v xml:space="preserve"> -</v>
          </cell>
          <cell r="H71">
            <v>15</v>
          </cell>
          <cell r="J71">
            <v>14.5</v>
          </cell>
          <cell r="K71">
            <v>2</v>
          </cell>
          <cell r="L71">
            <v>29</v>
          </cell>
          <cell r="M71">
            <v>89</v>
          </cell>
          <cell r="N71">
            <v>92.56</v>
          </cell>
          <cell r="O71">
            <v>89</v>
          </cell>
          <cell r="P71">
            <v>181.56</v>
          </cell>
        </row>
        <row r="72">
          <cell r="F72" t="str">
            <v>C5</v>
          </cell>
          <cell r="G72" t="str">
            <v xml:space="preserve"> -</v>
          </cell>
          <cell r="H72" t="str">
            <v>2 PJ</v>
          </cell>
          <cell r="J72">
            <v>12</v>
          </cell>
          <cell r="K72">
            <v>5</v>
          </cell>
          <cell r="L72">
            <v>60</v>
          </cell>
        </row>
        <row r="74">
          <cell r="C74" t="str">
            <v>GM5Z-3B</v>
          </cell>
          <cell r="F74" t="str">
            <v>C5</v>
          </cell>
          <cell r="G74" t="str">
            <v xml:space="preserve"> -</v>
          </cell>
          <cell r="H74" t="str">
            <v>9 GM</v>
          </cell>
          <cell r="J74">
            <v>12.5</v>
          </cell>
          <cell r="K74">
            <v>2</v>
          </cell>
          <cell r="L74">
            <v>25</v>
          </cell>
          <cell r="M74">
            <v>85</v>
          </cell>
          <cell r="N74">
            <v>88.4</v>
          </cell>
          <cell r="O74">
            <v>72</v>
          </cell>
          <cell r="P74">
            <v>160.4</v>
          </cell>
        </row>
        <row r="75">
          <cell r="C75" t="str">
            <v>12N5-3B</v>
          </cell>
          <cell r="F75" t="str">
            <v>C5</v>
          </cell>
          <cell r="G75" t="str">
            <v xml:space="preserve"> -</v>
          </cell>
          <cell r="H75" t="str">
            <v>2 PDK</v>
          </cell>
          <cell r="J75">
            <v>12</v>
          </cell>
          <cell r="K75">
            <v>5</v>
          </cell>
          <cell r="L75">
            <v>60</v>
          </cell>
        </row>
        <row r="76">
          <cell r="C76" t="str">
            <v>GM3-3B   *</v>
          </cell>
        </row>
        <row r="78">
          <cell r="C78" t="str">
            <v>12N10 - 3A</v>
          </cell>
          <cell r="F78" t="str">
            <v>C7</v>
          </cell>
          <cell r="G78" t="str">
            <v>-</v>
          </cell>
          <cell r="H78">
            <v>8</v>
          </cell>
          <cell r="J78">
            <v>22.8</v>
          </cell>
          <cell r="K78">
            <v>5</v>
          </cell>
          <cell r="L78">
            <v>114</v>
          </cell>
          <cell r="M78">
            <v>155.80000000000001</v>
          </cell>
          <cell r="N78">
            <v>162.03200000000001</v>
          </cell>
          <cell r="P78">
            <v>162.03200000000001</v>
          </cell>
        </row>
        <row r="79">
          <cell r="F79" t="str">
            <v>C7</v>
          </cell>
          <cell r="G79" t="str">
            <v>-</v>
          </cell>
          <cell r="H79">
            <v>19</v>
          </cell>
          <cell r="J79">
            <v>20.9</v>
          </cell>
          <cell r="K79">
            <v>2</v>
          </cell>
          <cell r="L79">
            <v>41.8</v>
          </cell>
        </row>
        <row r="81">
          <cell r="C81" t="str">
            <v>GM7B - 4B</v>
          </cell>
          <cell r="F81" t="str">
            <v>C7</v>
          </cell>
          <cell r="G81" t="str">
            <v>-</v>
          </cell>
          <cell r="H81">
            <v>8</v>
          </cell>
          <cell r="J81">
            <v>22.8</v>
          </cell>
          <cell r="K81">
            <v>5</v>
          </cell>
          <cell r="L81">
            <v>114</v>
          </cell>
          <cell r="M81">
            <v>155.80000000000001</v>
          </cell>
          <cell r="N81">
            <v>162.03200000000001</v>
          </cell>
          <cell r="P81">
            <v>162.03200000000001</v>
          </cell>
        </row>
        <row r="82">
          <cell r="F82" t="str">
            <v>C7</v>
          </cell>
          <cell r="G82" t="str">
            <v>-</v>
          </cell>
          <cell r="H82">
            <v>19</v>
          </cell>
          <cell r="J82">
            <v>20.9</v>
          </cell>
          <cell r="K82">
            <v>2</v>
          </cell>
          <cell r="L82">
            <v>41.8</v>
          </cell>
        </row>
        <row r="85">
          <cell r="C85" t="str">
            <v>*</v>
          </cell>
          <cell r="D85" t="str">
            <v>Revisi  Des. 95</v>
          </cell>
        </row>
      </sheetData>
      <sheetData sheetId="9"/>
      <sheetData sheetId="10">
        <row r="2">
          <cell r="B2" t="str">
            <v>WEIGHT   OF   PLASTIC   PRODUCT</v>
          </cell>
        </row>
        <row r="3">
          <cell r="B3" t="str">
            <v xml:space="preserve"> (     M   C   B     )</v>
          </cell>
        </row>
        <row r="5">
          <cell r="B5" t="str">
            <v>BATTERY</v>
          </cell>
          <cell r="C5" t="str">
            <v>C  O  N  T  A  I  N  E  R</v>
          </cell>
          <cell r="F5" t="str">
            <v>C   O   V   E   R</v>
          </cell>
        </row>
        <row r="6">
          <cell r="B6" t="str">
            <v>TYPE</v>
          </cell>
          <cell r="C6" t="str">
            <v>WEIGHT / PC</v>
          </cell>
          <cell r="D6" t="str">
            <v>RUNNER</v>
          </cell>
          <cell r="E6" t="str">
            <v>TOTAL</v>
          </cell>
          <cell r="F6" t="str">
            <v>INCLUDE LEAD</v>
          </cell>
          <cell r="G6" t="str">
            <v>LEAD PARTS</v>
          </cell>
          <cell r="H6" t="str">
            <v>PLASTIC MAT.</v>
          </cell>
        </row>
        <row r="7">
          <cell r="E7" t="str">
            <v>WEIGHT</v>
          </cell>
          <cell r="F7" t="str">
            <v>PART  ( B )</v>
          </cell>
          <cell r="G7" t="str">
            <v xml:space="preserve"> ( C )</v>
          </cell>
          <cell r="H7" t="str">
            <v xml:space="preserve"> ( B - C )</v>
          </cell>
        </row>
        <row r="8">
          <cell r="C8" t="str">
            <v>gr</v>
          </cell>
          <cell r="D8" t="str">
            <v>gr</v>
          </cell>
          <cell r="E8" t="str">
            <v>gr</v>
          </cell>
          <cell r="F8" t="str">
            <v>gr</v>
          </cell>
          <cell r="G8" t="str">
            <v>gr</v>
          </cell>
          <cell r="H8" t="str">
            <v>gr</v>
          </cell>
        </row>
        <row r="9">
          <cell r="B9" t="str">
            <v>6N4-2A</v>
          </cell>
          <cell r="C9">
            <v>84</v>
          </cell>
          <cell r="D9">
            <v>0</v>
          </cell>
          <cell r="E9">
            <v>84</v>
          </cell>
          <cell r="F9">
            <v>69.400000000000006</v>
          </cell>
          <cell r="G9">
            <v>35.4</v>
          </cell>
          <cell r="H9">
            <v>34</v>
          </cell>
        </row>
        <row r="10">
          <cell r="B10" t="str">
            <v>6N4-2A ( PP )</v>
          </cell>
          <cell r="C10">
            <v>58</v>
          </cell>
          <cell r="D10">
            <v>0</v>
          </cell>
          <cell r="E10">
            <v>58</v>
          </cell>
          <cell r="F10">
            <v>70.400000000000006</v>
          </cell>
          <cell r="G10">
            <v>35.4</v>
          </cell>
          <cell r="H10">
            <v>35</v>
          </cell>
        </row>
        <row r="11">
          <cell r="B11" t="str">
            <v>6N4A-4D</v>
          </cell>
          <cell r="C11">
            <v>95</v>
          </cell>
          <cell r="D11">
            <v>0</v>
          </cell>
          <cell r="E11">
            <v>95</v>
          </cell>
          <cell r="F11">
            <v>63</v>
          </cell>
          <cell r="G11">
            <v>38</v>
          </cell>
          <cell r="H11">
            <v>25</v>
          </cell>
        </row>
        <row r="12">
          <cell r="B12" t="str">
            <v>6N4B-2A</v>
          </cell>
          <cell r="C12">
            <v>83</v>
          </cell>
          <cell r="D12">
            <v>8</v>
          </cell>
          <cell r="E12">
            <v>91</v>
          </cell>
          <cell r="F12">
            <v>69.400000000000006</v>
          </cell>
          <cell r="G12">
            <v>35.4</v>
          </cell>
          <cell r="H12">
            <v>34</v>
          </cell>
        </row>
        <row r="13">
          <cell r="B13" t="str">
            <v>6N6-1B-1</v>
          </cell>
          <cell r="C13">
            <v>102</v>
          </cell>
          <cell r="D13">
            <v>9</v>
          </cell>
          <cell r="E13">
            <v>111</v>
          </cell>
          <cell r="F13">
            <v>77</v>
          </cell>
          <cell r="G13">
            <v>38</v>
          </cell>
          <cell r="H13">
            <v>39</v>
          </cell>
        </row>
        <row r="14">
          <cell r="B14" t="str">
            <v>6N6-3B</v>
          </cell>
          <cell r="C14">
            <v>108</v>
          </cell>
          <cell r="D14">
            <v>9</v>
          </cell>
          <cell r="E14">
            <v>117</v>
          </cell>
          <cell r="F14">
            <v>96</v>
          </cell>
          <cell r="G14">
            <v>53</v>
          </cell>
          <cell r="H14">
            <v>43</v>
          </cell>
        </row>
        <row r="15">
          <cell r="B15" t="str">
            <v xml:space="preserve"> 6N6-3B ( PP )</v>
          </cell>
          <cell r="C15">
            <v>57</v>
          </cell>
          <cell r="D15">
            <v>9</v>
          </cell>
          <cell r="E15">
            <v>66</v>
          </cell>
          <cell r="F15">
            <v>96</v>
          </cell>
          <cell r="G15">
            <v>53</v>
          </cell>
          <cell r="H15">
            <v>43</v>
          </cell>
        </row>
        <row r="16">
          <cell r="B16" t="str">
            <v>6N6-3B-1</v>
          </cell>
          <cell r="C16">
            <v>100</v>
          </cell>
          <cell r="D16">
            <v>0</v>
          </cell>
          <cell r="E16">
            <v>100</v>
          </cell>
          <cell r="F16">
            <v>118</v>
          </cell>
          <cell r="G16">
            <v>80</v>
          </cell>
          <cell r="H16">
            <v>38</v>
          </cell>
        </row>
        <row r="17">
          <cell r="B17" t="str">
            <v>6N6-3B-1 (PP) **</v>
          </cell>
          <cell r="C17">
            <v>61.5</v>
          </cell>
          <cell r="D17">
            <v>0</v>
          </cell>
          <cell r="E17">
            <v>61.5</v>
          </cell>
          <cell r="F17">
            <v>96</v>
          </cell>
          <cell r="G17">
            <v>53</v>
          </cell>
          <cell r="H17">
            <v>43</v>
          </cell>
        </row>
        <row r="18">
          <cell r="B18" t="str">
            <v>6N11-2D</v>
          </cell>
          <cell r="C18">
            <v>145</v>
          </cell>
          <cell r="D18">
            <v>0</v>
          </cell>
          <cell r="E18">
            <v>145</v>
          </cell>
          <cell r="F18">
            <v>157</v>
          </cell>
          <cell r="G18">
            <v>99</v>
          </cell>
          <cell r="H18">
            <v>58</v>
          </cell>
        </row>
        <row r="19">
          <cell r="B19" t="str">
            <v>6N11-2D (PP) **</v>
          </cell>
          <cell r="C19">
            <v>84</v>
          </cell>
          <cell r="D19">
            <v>0</v>
          </cell>
          <cell r="E19">
            <v>84</v>
          </cell>
          <cell r="F19">
            <v>160</v>
          </cell>
          <cell r="G19">
            <v>99</v>
          </cell>
          <cell r="H19">
            <v>61</v>
          </cell>
        </row>
        <row r="20">
          <cell r="B20" t="str">
            <v>12N5.5-4B</v>
          </cell>
          <cell r="C20">
            <v>183</v>
          </cell>
          <cell r="D20">
            <v>0</v>
          </cell>
          <cell r="E20">
            <v>183</v>
          </cell>
          <cell r="F20">
            <v>236</v>
          </cell>
          <cell r="G20">
            <v>177</v>
          </cell>
          <cell r="H20">
            <v>59</v>
          </cell>
        </row>
        <row r="21">
          <cell r="B21" t="str">
            <v>12N5.5-4B (PP) **</v>
          </cell>
          <cell r="C21">
            <v>119</v>
          </cell>
          <cell r="D21">
            <v>0</v>
          </cell>
          <cell r="E21">
            <v>119</v>
          </cell>
          <cell r="F21">
            <v>204.6</v>
          </cell>
          <cell r="G21">
            <v>158.6</v>
          </cell>
          <cell r="H21">
            <v>46</v>
          </cell>
        </row>
        <row r="22">
          <cell r="B22" t="str">
            <v>12N7C-3D</v>
          </cell>
          <cell r="C22">
            <v>210</v>
          </cell>
          <cell r="D22">
            <v>0</v>
          </cell>
          <cell r="E22">
            <v>210</v>
          </cell>
          <cell r="F22">
            <v>245</v>
          </cell>
          <cell r="G22">
            <v>177</v>
          </cell>
          <cell r="H22">
            <v>68</v>
          </cell>
        </row>
        <row r="23">
          <cell r="B23" t="str">
            <v>12N9-4B-1</v>
          </cell>
          <cell r="C23">
            <v>229</v>
          </cell>
          <cell r="D23">
            <v>0</v>
          </cell>
          <cell r="E23">
            <v>229</v>
          </cell>
          <cell r="F23">
            <v>261</v>
          </cell>
          <cell r="G23">
            <v>183</v>
          </cell>
          <cell r="H23">
            <v>78</v>
          </cell>
        </row>
        <row r="24">
          <cell r="B24" t="str">
            <v>GM2.5A-3C-2 (PP)</v>
          </cell>
          <cell r="C24">
            <v>83</v>
          </cell>
          <cell r="D24">
            <v>0</v>
          </cell>
          <cell r="E24">
            <v>83</v>
          </cell>
          <cell r="F24">
            <v>98</v>
          </cell>
          <cell r="G24">
            <v>57</v>
          </cell>
          <cell r="H24">
            <v>41</v>
          </cell>
        </row>
        <row r="25">
          <cell r="B25" t="str">
            <v>GM4-3B (PP)</v>
          </cell>
          <cell r="C25">
            <v>91</v>
          </cell>
          <cell r="D25">
            <v>0</v>
          </cell>
          <cell r="E25">
            <v>91</v>
          </cell>
          <cell r="F25">
            <v>136</v>
          </cell>
          <cell r="G25">
            <v>89</v>
          </cell>
          <cell r="H25">
            <v>47</v>
          </cell>
        </row>
        <row r="26">
          <cell r="B26" t="str">
            <v>GM5Z-3B (PP)</v>
          </cell>
          <cell r="C26">
            <v>107</v>
          </cell>
          <cell r="D26">
            <v>0</v>
          </cell>
          <cell r="E26">
            <v>107</v>
          </cell>
          <cell r="F26">
            <v>136</v>
          </cell>
          <cell r="G26">
            <v>85</v>
          </cell>
          <cell r="H26">
            <v>51</v>
          </cell>
        </row>
        <row r="27">
          <cell r="B27" t="str">
            <v>12N5 - 3B (PP)</v>
          </cell>
          <cell r="C27">
            <v>107</v>
          </cell>
          <cell r="D27">
            <v>0</v>
          </cell>
          <cell r="E27">
            <v>107</v>
          </cell>
          <cell r="F27">
            <v>136</v>
          </cell>
          <cell r="G27">
            <v>85</v>
          </cell>
          <cell r="H27">
            <v>51</v>
          </cell>
        </row>
        <row r="28">
          <cell r="B28" t="str">
            <v>12N10 - 3B (PP)</v>
          </cell>
          <cell r="C28">
            <v>177</v>
          </cell>
          <cell r="D28">
            <v>0</v>
          </cell>
          <cell r="E28">
            <v>177</v>
          </cell>
          <cell r="F28">
            <v>228</v>
          </cell>
          <cell r="G28">
            <v>0</v>
          </cell>
          <cell r="H28">
            <v>72</v>
          </cell>
        </row>
        <row r="29">
          <cell r="B29" t="str">
            <v>GM7B - 4B (PP)</v>
          </cell>
          <cell r="C29">
            <v>130</v>
          </cell>
          <cell r="D29">
            <v>0</v>
          </cell>
          <cell r="E29">
            <v>130</v>
          </cell>
          <cell r="F29">
            <v>210</v>
          </cell>
          <cell r="G29">
            <v>0</v>
          </cell>
          <cell r="H29">
            <v>54</v>
          </cell>
        </row>
        <row r="30">
          <cell r="B30" t="str">
            <v>GM3 - 3B  *</v>
          </cell>
          <cell r="C30">
            <v>78</v>
          </cell>
          <cell r="D30">
            <v>0</v>
          </cell>
          <cell r="E30">
            <v>78</v>
          </cell>
          <cell r="F30">
            <v>122</v>
          </cell>
          <cell r="G30">
            <v>85</v>
          </cell>
          <cell r="H30">
            <v>37</v>
          </cell>
        </row>
        <row r="32">
          <cell r="B32" t="str">
            <v>Remark    :</v>
          </cell>
          <cell r="C32" t="str">
            <v>Runner Material ABS Stylac  ( untuk cover MCB ) diperhitungkan.</v>
          </cell>
        </row>
        <row r="33">
          <cell r="C33" t="str">
            <v>Karena runner tidak di recycle.</v>
          </cell>
        </row>
        <row r="34">
          <cell r="C34" t="str">
            <v>**   Mulai Produksi th. 1995.</v>
          </cell>
        </row>
        <row r="35">
          <cell r="C35" t="str">
            <v>*    Revisi Des. 1995</v>
          </cell>
        </row>
        <row r="37">
          <cell r="B37" t="str">
            <v>WEIGHT   OF   PLASTIC   PRODUCT</v>
          </cell>
        </row>
        <row r="38">
          <cell r="B38" t="str">
            <v xml:space="preserve"> (     O  T  H  E  R  S     )</v>
          </cell>
        </row>
        <row r="40">
          <cell r="B40" t="str">
            <v>TYPE</v>
          </cell>
          <cell r="D40" t="str">
            <v>WEIGHT</v>
          </cell>
          <cell r="F40" t="str">
            <v>WEIGHT</v>
          </cell>
          <cell r="G40" t="str">
            <v>TOTAL</v>
          </cell>
        </row>
        <row r="41">
          <cell r="C41" t="str">
            <v xml:space="preserve"> </v>
          </cell>
          <cell r="D41" t="str">
            <v>PRODUCT</v>
          </cell>
          <cell r="F41" t="str">
            <v>RUNNER</v>
          </cell>
          <cell r="G41" t="str">
            <v>WEIGHT</v>
          </cell>
        </row>
        <row r="42">
          <cell r="E42" t="str">
            <v>gr</v>
          </cell>
          <cell r="F42" t="str">
            <v>gr</v>
          </cell>
          <cell r="G42" t="str">
            <v>gr</v>
          </cell>
        </row>
        <row r="43">
          <cell r="B43" t="str">
            <v>Handle N100</v>
          </cell>
          <cell r="D43">
            <v>14</v>
          </cell>
          <cell r="F43">
            <v>5</v>
          </cell>
          <cell r="G43">
            <v>19</v>
          </cell>
        </row>
        <row r="44">
          <cell r="B44" t="str">
            <v>V. Plug G18 - A13</v>
          </cell>
          <cell r="D44">
            <v>3</v>
          </cell>
          <cell r="F44">
            <v>0</v>
          </cell>
          <cell r="G44">
            <v>3</v>
          </cell>
        </row>
        <row r="45">
          <cell r="B45" t="str">
            <v>V.  Plug G18 - A20</v>
          </cell>
          <cell r="D45">
            <v>4</v>
          </cell>
          <cell r="F45">
            <v>0</v>
          </cell>
          <cell r="G45">
            <v>4</v>
          </cell>
        </row>
        <row r="46">
          <cell r="B46" t="str">
            <v>V.  Plug G22 - A14</v>
          </cell>
          <cell r="D46">
            <v>6</v>
          </cell>
          <cell r="F46">
            <v>0</v>
          </cell>
          <cell r="G46">
            <v>6</v>
          </cell>
        </row>
        <row r="47">
          <cell r="B47" t="str">
            <v>V.  Plug G30 - A 9</v>
          </cell>
          <cell r="D47">
            <v>9</v>
          </cell>
          <cell r="F47">
            <v>0</v>
          </cell>
          <cell r="G47">
            <v>9</v>
          </cell>
        </row>
        <row r="48">
          <cell r="B48" t="str">
            <v>V.  Plug K9 - 1</v>
          </cell>
          <cell r="D48">
            <v>0.8</v>
          </cell>
          <cell r="F48">
            <v>0.2</v>
          </cell>
          <cell r="G48">
            <v>1</v>
          </cell>
        </row>
        <row r="49">
          <cell r="B49" t="str">
            <v>Elbow  2 - 4</v>
          </cell>
          <cell r="D49">
            <v>1</v>
          </cell>
          <cell r="F49">
            <v>0.4</v>
          </cell>
          <cell r="G49">
            <v>1.4</v>
          </cell>
        </row>
        <row r="50">
          <cell r="B50" t="str">
            <v>Elbow  2 - 6</v>
          </cell>
          <cell r="D50">
            <v>1.2</v>
          </cell>
          <cell r="F50">
            <v>1.2</v>
          </cell>
          <cell r="G50">
            <v>2.4</v>
          </cell>
        </row>
        <row r="51">
          <cell r="B51" t="str">
            <v>Fuse  Box  6N6 - 1B - 1</v>
          </cell>
          <cell r="D51">
            <v>4</v>
          </cell>
          <cell r="F51">
            <v>0</v>
          </cell>
          <cell r="G51">
            <v>4</v>
          </cell>
        </row>
        <row r="52">
          <cell r="B52" t="str">
            <v>Fuse  Box  Cup 6N6 - 1B - 1</v>
          </cell>
          <cell r="D52">
            <v>0.9</v>
          </cell>
          <cell r="F52">
            <v>0</v>
          </cell>
          <cell r="G52">
            <v>0.9</v>
          </cell>
        </row>
        <row r="53">
          <cell r="B53" t="str">
            <v>Fuse  Box  6N4</v>
          </cell>
          <cell r="D53">
            <v>2.5</v>
          </cell>
          <cell r="F53">
            <v>0</v>
          </cell>
          <cell r="G53">
            <v>2.5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 Power"/>
      <sheetName val="Database"/>
      <sheetName val="JKS RATA-RATA"/>
      <sheetName val="JKS COS"/>
      <sheetName val="JKS SAW"/>
      <sheetName val="Grafik"/>
    </sheetNames>
    <sheetDataSet>
      <sheetData sheetId="0">
        <row r="17">
          <cell r="G17">
            <v>51.572222222222216</v>
          </cell>
        </row>
      </sheetData>
      <sheetData sheetId="1">
        <row r="6">
          <cell r="B6">
            <v>1</v>
          </cell>
          <cell r="C6" t="str">
            <v>NS40</v>
          </cell>
          <cell r="D6" t="str">
            <v>CC-NS40PE7</v>
          </cell>
          <cell r="E6" t="str">
            <v>SPAC</v>
          </cell>
          <cell r="F6" t="str">
            <v>SAW</v>
          </cell>
          <cell r="G6">
            <v>20.555294117647058</v>
          </cell>
          <cell r="H6">
            <v>20.555294117647058</v>
          </cell>
          <cell r="J6">
            <v>1</v>
          </cell>
          <cell r="K6" t="str">
            <v>NS40</v>
          </cell>
          <cell r="L6" t="str">
            <v>CC-NS40PE7</v>
          </cell>
          <cell r="M6" t="str">
            <v>SPAC</v>
          </cell>
          <cell r="N6" t="str">
            <v>COS</v>
          </cell>
          <cell r="O6">
            <v>35.207823960880198</v>
          </cell>
          <cell r="P6">
            <v>35.207823960880198</v>
          </cell>
        </row>
        <row r="7">
          <cell r="B7">
            <v>2</v>
          </cell>
          <cell r="D7" t="str">
            <v>CC-NS40LPE7</v>
          </cell>
          <cell r="E7" t="str">
            <v>SPAC</v>
          </cell>
          <cell r="F7" t="str">
            <v>SAW</v>
          </cell>
          <cell r="G7">
            <v>20.555294117647058</v>
          </cell>
          <cell r="H7">
            <v>20.555294117647058</v>
          </cell>
          <cell r="J7">
            <v>2</v>
          </cell>
          <cell r="L7" t="str">
            <v>CC-NS40LPE7</v>
          </cell>
          <cell r="M7" t="str">
            <v>SPAC</v>
          </cell>
          <cell r="N7" t="str">
            <v>COS</v>
          </cell>
          <cell r="O7">
            <v>35.207823960880198</v>
          </cell>
          <cell r="P7">
            <v>35.207823960880198</v>
          </cell>
        </row>
        <row r="8">
          <cell r="B8">
            <v>3</v>
          </cell>
          <cell r="D8" t="str">
            <v>CC-NS40LSPE7</v>
          </cell>
          <cell r="E8" t="str">
            <v>SPAC</v>
          </cell>
          <cell r="F8" t="str">
            <v>SAW</v>
          </cell>
          <cell r="G8">
            <v>20.555294117647058</v>
          </cell>
          <cell r="H8">
            <v>20.555294117647058</v>
          </cell>
          <cell r="J8">
            <v>3</v>
          </cell>
          <cell r="L8" t="str">
            <v>CC-NS40LSPE7</v>
          </cell>
          <cell r="M8" t="str">
            <v>SPAC</v>
          </cell>
          <cell r="N8" t="str">
            <v>COS</v>
          </cell>
          <cell r="O8">
            <v>35.207823960880198</v>
          </cell>
          <cell r="P8">
            <v>35.207823960880198</v>
          </cell>
        </row>
        <row r="9">
          <cell r="B9">
            <v>4</v>
          </cell>
          <cell r="D9" t="str">
            <v>CC-NS40PE9</v>
          </cell>
          <cell r="F9" t="str">
            <v>SAW</v>
          </cell>
          <cell r="G9">
            <v>20.555294117647058</v>
          </cell>
          <cell r="H9">
            <v>20.555294117647058</v>
          </cell>
          <cell r="J9">
            <v>4</v>
          </cell>
          <cell r="L9" t="str">
            <v>CC-NS40PE9</v>
          </cell>
          <cell r="N9" t="str">
            <v>COS</v>
          </cell>
          <cell r="O9">
            <v>24.153911140125185</v>
          </cell>
          <cell r="P9">
            <v>24.153911140125185</v>
          </cell>
        </row>
        <row r="10">
          <cell r="B10">
            <v>5</v>
          </cell>
          <cell r="D10" t="str">
            <v>CC-NS40LPE9</v>
          </cell>
          <cell r="F10" t="str">
            <v>SAW</v>
          </cell>
          <cell r="G10">
            <v>20.555294117647058</v>
          </cell>
          <cell r="H10">
            <v>20.555294117647058</v>
          </cell>
          <cell r="J10">
            <v>5</v>
          </cell>
          <cell r="L10" t="str">
            <v>CC-NS40LPE9</v>
          </cell>
          <cell r="N10" t="str">
            <v>COS</v>
          </cell>
          <cell r="O10">
            <v>24.153911140125185</v>
          </cell>
          <cell r="P10">
            <v>24.153911140125185</v>
          </cell>
        </row>
        <row r="11">
          <cell r="B11">
            <v>6</v>
          </cell>
          <cell r="D11" t="str">
            <v>CC-NS40LSPE9</v>
          </cell>
          <cell r="F11" t="str">
            <v>SAW</v>
          </cell>
          <cell r="G11">
            <v>20.555294117647058</v>
          </cell>
          <cell r="H11">
            <v>20.555294117647058</v>
          </cell>
          <cell r="J11">
            <v>6</v>
          </cell>
          <cell r="L11" t="str">
            <v>CC-NS40LSPE9</v>
          </cell>
          <cell r="N11" t="str">
            <v>COS</v>
          </cell>
          <cell r="O11">
            <v>24.153911140125185</v>
          </cell>
          <cell r="P11">
            <v>24.153911140125185</v>
          </cell>
        </row>
        <row r="12">
          <cell r="B12">
            <v>7</v>
          </cell>
          <cell r="D12" t="str">
            <v>CC-NS40ZPE9</v>
          </cell>
          <cell r="F12" t="str">
            <v>SAW</v>
          </cell>
          <cell r="G12">
            <v>20.555294117647058</v>
          </cell>
          <cell r="H12">
            <v>20.555294117647058</v>
          </cell>
          <cell r="J12">
            <v>7</v>
          </cell>
          <cell r="L12" t="str">
            <v>CC-NS40ZPE9</v>
          </cell>
          <cell r="N12" t="str">
            <v>COS</v>
          </cell>
          <cell r="O12">
            <v>24.153911140125185</v>
          </cell>
          <cell r="P12">
            <v>24.153911140125185</v>
          </cell>
        </row>
        <row r="13">
          <cell r="B13">
            <v>8</v>
          </cell>
          <cell r="D13" t="str">
            <v>CC-NS40ZLPE9</v>
          </cell>
          <cell r="F13" t="str">
            <v>SAW</v>
          </cell>
          <cell r="G13">
            <v>20.555294117647058</v>
          </cell>
          <cell r="H13">
            <v>20.555294117647058</v>
          </cell>
          <cell r="J13">
            <v>8</v>
          </cell>
          <cell r="L13" t="str">
            <v>CC-NS40ZLPE9</v>
          </cell>
          <cell r="N13" t="str">
            <v>COS</v>
          </cell>
          <cell r="O13">
            <v>24.153911140125185</v>
          </cell>
          <cell r="P13">
            <v>24.153911140125185</v>
          </cell>
        </row>
        <row r="14">
          <cell r="B14">
            <v>9</v>
          </cell>
          <cell r="D14" t="str">
            <v>CC-NS40ZLSPE9</v>
          </cell>
          <cell r="F14" t="str">
            <v>SAW</v>
          </cell>
          <cell r="G14">
            <v>20.555294117647058</v>
          </cell>
          <cell r="H14">
            <v>20.555294117647058</v>
          </cell>
          <cell r="J14">
            <v>9</v>
          </cell>
          <cell r="L14" t="str">
            <v>CC-NS40ZLSPE9</v>
          </cell>
          <cell r="N14" t="str">
            <v>COS</v>
          </cell>
          <cell r="O14">
            <v>24.153911140125185</v>
          </cell>
          <cell r="P14">
            <v>24.153911140125185</v>
          </cell>
        </row>
        <row r="15">
          <cell r="B15">
            <v>10</v>
          </cell>
          <cell r="D15" t="str">
            <v>CC-NS40ZPE11</v>
          </cell>
          <cell r="F15" t="str">
            <v>SAW</v>
          </cell>
          <cell r="G15">
            <v>21.305151915455749</v>
          </cell>
          <cell r="H15">
            <v>21.305151915455749</v>
          </cell>
          <cell r="J15">
            <v>10</v>
          </cell>
          <cell r="L15" t="str">
            <v>CC-NS40ZPE11</v>
          </cell>
          <cell r="N15" t="str">
            <v>COS</v>
          </cell>
          <cell r="O15">
            <v>28.626857647555774</v>
          </cell>
          <cell r="P15">
            <v>28.626857647555774</v>
          </cell>
        </row>
        <row r="16">
          <cell r="B16">
            <v>11</v>
          </cell>
          <cell r="D16" t="str">
            <v>CC-NS40ZLPE11</v>
          </cell>
          <cell r="F16" t="str">
            <v>SAW</v>
          </cell>
          <cell r="G16">
            <v>21.305151915455749</v>
          </cell>
          <cell r="H16">
            <v>21.305151915455749</v>
          </cell>
          <cell r="J16">
            <v>11</v>
          </cell>
          <cell r="L16" t="str">
            <v>CC-NS40ZLPE11</v>
          </cell>
          <cell r="N16" t="str">
            <v>COS</v>
          </cell>
          <cell r="O16">
            <v>28.626857647555774</v>
          </cell>
          <cell r="P16">
            <v>28.626857647555774</v>
          </cell>
        </row>
        <row r="17">
          <cell r="B17">
            <v>12</v>
          </cell>
          <cell r="D17" t="str">
            <v>CC-NS40ZLSPE11</v>
          </cell>
          <cell r="F17" t="str">
            <v>SAW</v>
          </cell>
          <cell r="G17">
            <v>21.305151915455749</v>
          </cell>
          <cell r="H17">
            <v>21.305151915455749</v>
          </cell>
          <cell r="J17">
            <v>12</v>
          </cell>
          <cell r="L17" t="str">
            <v>CC-NS40ZLSPE11</v>
          </cell>
          <cell r="N17" t="str">
            <v>COS</v>
          </cell>
          <cell r="O17">
            <v>28.626857647555774</v>
          </cell>
          <cell r="P17">
            <v>28.626857647555774</v>
          </cell>
        </row>
        <row r="18">
          <cell r="B18">
            <v>13</v>
          </cell>
          <cell r="D18" t="str">
            <v>CC-NS40ZPE12</v>
          </cell>
          <cell r="F18" t="str">
            <v>SAW</v>
          </cell>
          <cell r="G18">
            <v>25.566182298546895</v>
          </cell>
          <cell r="H18">
            <v>25.566182298546895</v>
          </cell>
          <cell r="J18">
            <v>13</v>
          </cell>
          <cell r="L18" t="str">
            <v>CC-NS40ZPE12</v>
          </cell>
          <cell r="N18" t="str">
            <v>COS</v>
          </cell>
          <cell r="O18">
            <v>30.86333090127107</v>
          </cell>
          <cell r="P18">
            <v>30.86333090127107</v>
          </cell>
        </row>
        <row r="19">
          <cell r="B19">
            <v>14</v>
          </cell>
          <cell r="D19" t="str">
            <v>CC-NS40ZLPE12</v>
          </cell>
          <cell r="F19" t="str">
            <v>SAW</v>
          </cell>
          <cell r="G19">
            <v>25.566182298546895</v>
          </cell>
          <cell r="H19">
            <v>25.566182298546895</v>
          </cell>
          <cell r="J19">
            <v>14</v>
          </cell>
          <cell r="L19" t="str">
            <v>CC-NS40ZLPE12</v>
          </cell>
          <cell r="N19" t="str">
            <v>COS</v>
          </cell>
          <cell r="O19">
            <v>30.86333090127107</v>
          </cell>
          <cell r="P19">
            <v>30.86333090127107</v>
          </cell>
        </row>
        <row r="20">
          <cell r="B20">
            <v>15</v>
          </cell>
          <cell r="D20" t="str">
            <v>HC-NS40PE8</v>
          </cell>
          <cell r="E20" t="str">
            <v>SPAC</v>
          </cell>
          <cell r="F20" t="str">
            <v>SAW</v>
          </cell>
          <cell r="G20">
            <v>22.139225469232596</v>
          </cell>
          <cell r="H20">
            <v>22.139225469232596</v>
          </cell>
          <cell r="J20">
            <v>15</v>
          </cell>
          <cell r="L20" t="str">
            <v>HC-NS40PE8</v>
          </cell>
          <cell r="M20" t="str">
            <v>SPAC</v>
          </cell>
          <cell r="N20" t="str">
            <v>COS</v>
          </cell>
          <cell r="O20">
            <v>35.207823960880198</v>
          </cell>
          <cell r="P20">
            <v>35.207823960880198</v>
          </cell>
        </row>
        <row r="21">
          <cell r="B21">
            <v>17</v>
          </cell>
          <cell r="D21" t="str">
            <v>HC-NS40SPE8</v>
          </cell>
          <cell r="E21" t="str">
            <v>SPAC</v>
          </cell>
          <cell r="F21" t="str">
            <v>SAW</v>
          </cell>
          <cell r="G21">
            <v>20.790000000000003</v>
          </cell>
          <cell r="H21">
            <v>20.790000000000003</v>
          </cell>
          <cell r="J21">
            <v>17</v>
          </cell>
          <cell r="L21" t="str">
            <v>HC-NS40SPE8</v>
          </cell>
          <cell r="M21" t="str">
            <v>SPAC</v>
          </cell>
          <cell r="N21" t="str">
            <v>COS</v>
          </cell>
          <cell r="O21">
            <v>35.207823960880198</v>
          </cell>
          <cell r="P21">
            <v>35.207823960880198</v>
          </cell>
        </row>
        <row r="22">
          <cell r="B22">
            <v>16</v>
          </cell>
          <cell r="D22" t="str">
            <v>HC-NS40LPE8</v>
          </cell>
          <cell r="E22" t="str">
            <v>SPAC</v>
          </cell>
          <cell r="F22" t="str">
            <v>SAW</v>
          </cell>
          <cell r="G22">
            <v>20.790000000000003</v>
          </cell>
          <cell r="H22">
            <v>20.790000000000003</v>
          </cell>
          <cell r="J22">
            <v>16</v>
          </cell>
          <cell r="L22" t="str">
            <v>HC-NS40LPE8</v>
          </cell>
          <cell r="M22" t="str">
            <v>SPAC</v>
          </cell>
          <cell r="N22" t="str">
            <v>COS</v>
          </cell>
          <cell r="O22">
            <v>35.207823960880198</v>
          </cell>
          <cell r="P22">
            <v>35.207823960880198</v>
          </cell>
        </row>
        <row r="23">
          <cell r="B23">
            <v>18</v>
          </cell>
          <cell r="D23" t="str">
            <v>HC-NS40ZPE11</v>
          </cell>
          <cell r="F23" t="str">
            <v>SAW</v>
          </cell>
          <cell r="G23">
            <v>21.305151915455749</v>
          </cell>
          <cell r="H23">
            <v>21.305151915455749</v>
          </cell>
          <cell r="J23">
            <v>18</v>
          </cell>
          <cell r="L23" t="str">
            <v>HC-NS40ZPE11</v>
          </cell>
          <cell r="N23" t="str">
            <v>COS</v>
          </cell>
          <cell r="O23">
            <v>28.626857647555774</v>
          </cell>
          <cell r="P23">
            <v>28.626857647555774</v>
          </cell>
        </row>
        <row r="24">
          <cell r="B24">
            <v>19</v>
          </cell>
          <cell r="D24" t="str">
            <v>HC-NS40ZLPE11</v>
          </cell>
          <cell r="F24" t="str">
            <v>SAW</v>
          </cell>
          <cell r="G24">
            <v>21.305151915455749</v>
          </cell>
          <cell r="H24">
            <v>21.305151915455749</v>
          </cell>
          <cell r="J24">
            <v>19</v>
          </cell>
          <cell r="L24" t="str">
            <v>HC-NS40ZLPE11</v>
          </cell>
          <cell r="N24" t="str">
            <v>COS</v>
          </cell>
          <cell r="O24">
            <v>28.626857647555774</v>
          </cell>
          <cell r="P24">
            <v>28.626857647555774</v>
          </cell>
        </row>
        <row r="25">
          <cell r="B25">
            <v>20</v>
          </cell>
          <cell r="D25" t="str">
            <v>HC-34B20PE11</v>
          </cell>
          <cell r="F25" t="str">
            <v>SAW</v>
          </cell>
          <cell r="G25">
            <v>25.566182298546895</v>
          </cell>
          <cell r="H25">
            <v>25.566182298546895</v>
          </cell>
          <cell r="J25">
            <v>20</v>
          </cell>
          <cell r="L25" t="str">
            <v>HC-34B20PE11</v>
          </cell>
          <cell r="N25" t="str">
            <v>COS</v>
          </cell>
          <cell r="O25">
            <v>28.626857647555774</v>
          </cell>
          <cell r="P25">
            <v>28.626857647555774</v>
          </cell>
        </row>
        <row r="26">
          <cell r="B26">
            <v>21</v>
          </cell>
          <cell r="D26" t="str">
            <v>HC-34B20LPE11</v>
          </cell>
          <cell r="F26" t="str">
            <v>SAW</v>
          </cell>
          <cell r="G26">
            <v>25.566182298546895</v>
          </cell>
          <cell r="H26">
            <v>25.566182298546895</v>
          </cell>
          <cell r="J26">
            <v>21</v>
          </cell>
          <cell r="L26" t="str">
            <v>HC-34B20LPE11</v>
          </cell>
          <cell r="N26" t="str">
            <v>COS</v>
          </cell>
          <cell r="O26">
            <v>28.626857647555774</v>
          </cell>
          <cell r="P26">
            <v>28.626857647555774</v>
          </cell>
        </row>
        <row r="27">
          <cell r="B27">
            <v>22</v>
          </cell>
          <cell r="D27" t="str">
            <v>C-MFNS40ZLPE7</v>
          </cell>
          <cell r="E27" t="str">
            <v>SPAC</v>
          </cell>
          <cell r="F27" t="str">
            <v>SAW</v>
          </cell>
          <cell r="G27">
            <v>24.741818181818179</v>
          </cell>
          <cell r="H27">
            <v>24.741818181818179</v>
          </cell>
          <cell r="J27">
            <v>22</v>
          </cell>
          <cell r="L27" t="str">
            <v>C-MFNS40ZLPE7</v>
          </cell>
          <cell r="M27" t="str">
            <v>SPAC</v>
          </cell>
          <cell r="N27" t="str">
            <v>COS</v>
          </cell>
          <cell r="O27">
            <v>35.207823960880198</v>
          </cell>
          <cell r="P27">
            <v>35.207823960880198</v>
          </cell>
        </row>
        <row r="28">
          <cell r="B28">
            <v>23</v>
          </cell>
          <cell r="D28" t="str">
            <v>C-MFNS40ZPE9</v>
          </cell>
          <cell r="E28" t="str">
            <v>SPAC</v>
          </cell>
          <cell r="F28" t="str">
            <v>SAW</v>
          </cell>
          <cell r="G28">
            <v>24.741818181818179</v>
          </cell>
          <cell r="H28">
            <v>24.741818181818179</v>
          </cell>
          <cell r="J28">
            <v>23</v>
          </cell>
          <cell r="L28" t="str">
            <v>C-MFNS40ZPE9</v>
          </cell>
          <cell r="M28" t="str">
            <v>SPAC</v>
          </cell>
          <cell r="N28" t="str">
            <v>COS</v>
          </cell>
          <cell r="O28">
            <v>35.207823960880198</v>
          </cell>
          <cell r="P28">
            <v>35.207823960880198</v>
          </cell>
        </row>
        <row r="29">
          <cell r="B29">
            <v>24</v>
          </cell>
          <cell r="D29" t="str">
            <v>C-MFNS40ZLPE9</v>
          </cell>
          <cell r="E29" t="str">
            <v>SPAC</v>
          </cell>
          <cell r="F29" t="str">
            <v>SAW</v>
          </cell>
          <cell r="G29">
            <v>24.741818181818179</v>
          </cell>
          <cell r="H29">
            <v>24.741818181818179</v>
          </cell>
          <cell r="J29">
            <v>24</v>
          </cell>
          <cell r="L29" t="str">
            <v>C-MFNS40ZLPE9</v>
          </cell>
          <cell r="M29" t="str">
            <v>SPAC</v>
          </cell>
          <cell r="N29" t="str">
            <v>COS</v>
          </cell>
          <cell r="O29">
            <v>35.207823960880198</v>
          </cell>
          <cell r="P29">
            <v>35.207823960880198</v>
          </cell>
        </row>
        <row r="30">
          <cell r="B30">
            <v>25</v>
          </cell>
          <cell r="D30" t="str">
            <v>C-MFNS40PE9</v>
          </cell>
          <cell r="E30" t="str">
            <v>SPAC</v>
          </cell>
          <cell r="F30" t="str">
            <v>SAW</v>
          </cell>
          <cell r="G30">
            <v>24.741818181818179</v>
          </cell>
          <cell r="H30">
            <v>24.741818181818179</v>
          </cell>
          <cell r="J30">
            <v>25</v>
          </cell>
          <cell r="L30" t="str">
            <v>C-MFNS40PE9</v>
          </cell>
          <cell r="M30" t="str">
            <v>SPAC</v>
          </cell>
          <cell r="N30" t="str">
            <v>COS</v>
          </cell>
          <cell r="O30">
            <v>35.207823960880198</v>
          </cell>
          <cell r="P30">
            <v>35.207823960880198</v>
          </cell>
        </row>
        <row r="31">
          <cell r="B31">
            <v>26</v>
          </cell>
          <cell r="D31" t="str">
            <v>C-MFNS40LPE9</v>
          </cell>
          <cell r="E31" t="str">
            <v>SPAC</v>
          </cell>
          <cell r="F31" t="str">
            <v>SAW</v>
          </cell>
          <cell r="G31">
            <v>24.741818181818179</v>
          </cell>
          <cell r="H31">
            <v>24.741818181818179</v>
          </cell>
          <cell r="J31">
            <v>26</v>
          </cell>
          <cell r="L31" t="str">
            <v>C-MFNS40LPE9</v>
          </cell>
          <cell r="M31" t="str">
            <v>SPAC</v>
          </cell>
          <cell r="N31" t="str">
            <v>COS</v>
          </cell>
          <cell r="O31">
            <v>35.207823960880198</v>
          </cell>
          <cell r="P31">
            <v>35.207823960880198</v>
          </cell>
        </row>
        <row r="32">
          <cell r="B32">
            <v>27</v>
          </cell>
          <cell r="D32" t="str">
            <v>C-MFNS40ZPE11</v>
          </cell>
          <cell r="E32" t="str">
            <v>SPAC</v>
          </cell>
          <cell r="F32" t="str">
            <v>SAW</v>
          </cell>
          <cell r="G32">
            <v>24.741818181818179</v>
          </cell>
          <cell r="H32">
            <v>24.741818181818179</v>
          </cell>
          <cell r="J32">
            <v>27</v>
          </cell>
          <cell r="L32" t="str">
            <v>C-MFNS40ZPE11</v>
          </cell>
          <cell r="M32" t="str">
            <v>SPAC</v>
          </cell>
          <cell r="N32" t="str">
            <v>COS</v>
          </cell>
          <cell r="O32">
            <v>35.207823960880198</v>
          </cell>
          <cell r="P32">
            <v>35.207823960880198</v>
          </cell>
        </row>
        <row r="33">
          <cell r="B33">
            <v>28</v>
          </cell>
          <cell r="D33" t="str">
            <v>C-MFNS40ZLPE11</v>
          </cell>
          <cell r="E33" t="str">
            <v>SPAC</v>
          </cell>
          <cell r="F33" t="str">
            <v>SAW</v>
          </cell>
          <cell r="G33">
            <v>24.741818181818179</v>
          </cell>
          <cell r="H33">
            <v>24.741818181818179</v>
          </cell>
          <cell r="J33">
            <v>28</v>
          </cell>
          <cell r="L33" t="str">
            <v>C-MFNS40ZLPE11</v>
          </cell>
          <cell r="M33" t="str">
            <v>SPAC</v>
          </cell>
          <cell r="N33" t="str">
            <v>COS</v>
          </cell>
          <cell r="O33">
            <v>35.207823960880198</v>
          </cell>
          <cell r="P33">
            <v>35.207823960880198</v>
          </cell>
        </row>
        <row r="34">
          <cell r="B34">
            <v>29</v>
          </cell>
          <cell r="D34" t="str">
            <v>C-MFNS40ZLSPE11</v>
          </cell>
          <cell r="E34" t="str">
            <v>SPAC</v>
          </cell>
          <cell r="F34" t="str">
            <v>SAW</v>
          </cell>
          <cell r="G34">
            <v>24.741818181818179</v>
          </cell>
          <cell r="H34">
            <v>24.741818181818179</v>
          </cell>
          <cell r="J34">
            <v>29</v>
          </cell>
          <cell r="L34" t="str">
            <v>C-MFNS40ZLSPE11</v>
          </cell>
          <cell r="M34" t="str">
            <v>SPAC</v>
          </cell>
          <cell r="N34" t="str">
            <v>COS</v>
          </cell>
          <cell r="O34">
            <v>35.207823960880198</v>
          </cell>
          <cell r="P34">
            <v>35.207823960880198</v>
          </cell>
        </row>
        <row r="35">
          <cell r="B35">
            <v>30</v>
          </cell>
          <cell r="C35" t="str">
            <v>NS60</v>
          </cell>
          <cell r="D35" t="str">
            <v>CC-N40PE9</v>
          </cell>
          <cell r="E35" t="str">
            <v>SPAC</v>
          </cell>
          <cell r="F35" t="str">
            <v>SAW</v>
          </cell>
          <cell r="G35">
            <v>20.555294117647058</v>
          </cell>
          <cell r="H35">
            <v>20.555294117647058</v>
          </cell>
          <cell r="J35">
            <v>30</v>
          </cell>
          <cell r="K35" t="str">
            <v>NS60</v>
          </cell>
          <cell r="L35" t="str">
            <v>CC-N40PE9</v>
          </cell>
          <cell r="M35" t="str">
            <v>SPAC</v>
          </cell>
          <cell r="N35" t="str">
            <v>COS</v>
          </cell>
          <cell r="O35">
            <v>35.207823960880198</v>
          </cell>
          <cell r="P35">
            <v>35.207823960880198</v>
          </cell>
        </row>
        <row r="36">
          <cell r="B36">
            <v>31</v>
          </cell>
          <cell r="D36" t="str">
            <v>CC-N40LPE9</v>
          </cell>
          <cell r="E36" t="str">
            <v>SPAC</v>
          </cell>
          <cell r="F36" t="str">
            <v>SAW</v>
          </cell>
          <cell r="G36">
            <v>20.555294117647058</v>
          </cell>
          <cell r="H36">
            <v>20.555294117647058</v>
          </cell>
          <cell r="J36">
            <v>31</v>
          </cell>
          <cell r="L36" t="str">
            <v>CC-N40LPE9</v>
          </cell>
          <cell r="M36" t="str">
            <v>SPAC</v>
          </cell>
          <cell r="N36" t="str">
            <v>COS</v>
          </cell>
          <cell r="O36">
            <v>35.207823960880198</v>
          </cell>
          <cell r="P36">
            <v>35.207823960880198</v>
          </cell>
        </row>
        <row r="37">
          <cell r="B37">
            <v>32</v>
          </cell>
          <cell r="D37" t="str">
            <v>CC-N40PE11</v>
          </cell>
          <cell r="E37" t="str">
            <v>SPAC</v>
          </cell>
          <cell r="F37" t="str">
            <v>SAW</v>
          </cell>
          <cell r="G37">
            <v>21.305151915455749</v>
          </cell>
          <cell r="H37">
            <v>21.305151915455749</v>
          </cell>
          <cell r="J37">
            <v>32</v>
          </cell>
          <cell r="L37" t="str">
            <v>CC-N40PE11</v>
          </cell>
          <cell r="M37" t="str">
            <v>SPAC</v>
          </cell>
          <cell r="N37" t="str">
            <v>COS</v>
          </cell>
          <cell r="O37">
            <v>35.207823960880198</v>
          </cell>
          <cell r="P37">
            <v>35.207823960880198</v>
          </cell>
        </row>
        <row r="38">
          <cell r="B38">
            <v>33</v>
          </cell>
          <cell r="D38" t="str">
            <v>CC-N40LPE11</v>
          </cell>
          <cell r="E38" t="str">
            <v>SPAC</v>
          </cell>
          <cell r="F38" t="str">
            <v>SAW</v>
          </cell>
          <cell r="G38">
            <v>21.305151915455749</v>
          </cell>
          <cell r="H38">
            <v>21.305151915455749</v>
          </cell>
          <cell r="J38">
            <v>33</v>
          </cell>
          <cell r="L38" t="str">
            <v>CC-N40LPE11</v>
          </cell>
          <cell r="M38" t="str">
            <v>SPAC</v>
          </cell>
          <cell r="N38" t="str">
            <v>COS</v>
          </cell>
          <cell r="O38">
            <v>35.207823960880198</v>
          </cell>
          <cell r="P38">
            <v>35.207823960880198</v>
          </cell>
        </row>
        <row r="39">
          <cell r="B39">
            <v>34</v>
          </cell>
          <cell r="D39" t="str">
            <v>CC-NS60PE11</v>
          </cell>
          <cell r="E39" t="str">
            <v>SPAC</v>
          </cell>
          <cell r="F39" t="str">
            <v>SAW</v>
          </cell>
          <cell r="G39">
            <v>21.305151915455749</v>
          </cell>
          <cell r="H39">
            <v>21.305151915455749</v>
          </cell>
          <cell r="J39">
            <v>34</v>
          </cell>
          <cell r="L39" t="str">
            <v>CC-NS60PE11</v>
          </cell>
          <cell r="M39" t="str">
            <v>SPAC</v>
          </cell>
          <cell r="N39" t="str">
            <v>COS</v>
          </cell>
          <cell r="O39">
            <v>35.207823960880198</v>
          </cell>
          <cell r="P39">
            <v>35.207823960880198</v>
          </cell>
        </row>
        <row r="40">
          <cell r="B40">
            <v>35</v>
          </cell>
          <cell r="D40" t="str">
            <v>CC-NS60LPE11</v>
          </cell>
          <cell r="E40" t="str">
            <v>SPAC</v>
          </cell>
          <cell r="F40" t="str">
            <v>SAW</v>
          </cell>
          <cell r="G40">
            <v>21.305151915455749</v>
          </cell>
          <cell r="H40">
            <v>21.305151915455749</v>
          </cell>
          <cell r="J40">
            <v>35</v>
          </cell>
          <cell r="L40" t="str">
            <v>CC-NS60LPE11</v>
          </cell>
          <cell r="M40" t="str">
            <v>SPAC</v>
          </cell>
          <cell r="N40" t="str">
            <v>COS</v>
          </cell>
          <cell r="O40">
            <v>35.207823960880198</v>
          </cell>
          <cell r="P40">
            <v>35.207823960880198</v>
          </cell>
        </row>
        <row r="41">
          <cell r="B41">
            <v>36</v>
          </cell>
          <cell r="D41" t="str">
            <v>CC-NS60SPE11</v>
          </cell>
          <cell r="E41" t="str">
            <v>SPAC</v>
          </cell>
          <cell r="F41" t="str">
            <v>SAW</v>
          </cell>
          <cell r="G41">
            <v>21.305151915455749</v>
          </cell>
          <cell r="H41">
            <v>21.305151915455749</v>
          </cell>
          <cell r="J41">
            <v>36</v>
          </cell>
          <cell r="L41" t="str">
            <v>CC-NS60SPE11</v>
          </cell>
          <cell r="M41" t="str">
            <v>SPAC</v>
          </cell>
          <cell r="N41" t="str">
            <v>COS</v>
          </cell>
          <cell r="O41">
            <v>35.207823960880198</v>
          </cell>
          <cell r="P41">
            <v>35.207823960880198</v>
          </cell>
        </row>
        <row r="42">
          <cell r="B42">
            <v>37</v>
          </cell>
          <cell r="D42" t="str">
            <v>CC-NS60LSPE11</v>
          </cell>
          <cell r="E42" t="str">
            <v>SPAC</v>
          </cell>
          <cell r="F42" t="str">
            <v>SAW</v>
          </cell>
          <cell r="G42">
            <v>21.305151915455749</v>
          </cell>
          <cell r="H42">
            <v>21.305151915455749</v>
          </cell>
          <cell r="J42">
            <v>37</v>
          </cell>
          <cell r="L42" t="str">
            <v>CC-NS60LSPE11</v>
          </cell>
          <cell r="M42" t="str">
            <v>SPAC</v>
          </cell>
          <cell r="N42" t="str">
            <v>COS</v>
          </cell>
          <cell r="O42">
            <v>35.207823960880198</v>
          </cell>
          <cell r="P42">
            <v>35.207823960880198</v>
          </cell>
        </row>
        <row r="43">
          <cell r="B43">
            <v>38</v>
          </cell>
          <cell r="D43" t="str">
            <v>CC-NS60PE13</v>
          </cell>
          <cell r="F43" t="str">
            <v>SAW</v>
          </cell>
          <cell r="G43">
            <v>25.566182298546895</v>
          </cell>
          <cell r="H43">
            <v>25.566182298546895</v>
          </cell>
          <cell r="J43">
            <v>38</v>
          </cell>
          <cell r="L43" t="str">
            <v>CC-NS60PE13</v>
          </cell>
          <cell r="N43" t="str">
            <v>COS</v>
          </cell>
          <cell r="O43">
            <v>33.099804154986366</v>
          </cell>
          <cell r="P43">
            <v>33.099804154986366</v>
          </cell>
        </row>
        <row r="44">
          <cell r="B44">
            <v>39</v>
          </cell>
          <cell r="D44" t="str">
            <v>CC-NS60LPE13</v>
          </cell>
          <cell r="F44" t="str">
            <v>SAW</v>
          </cell>
          <cell r="G44">
            <v>25.566182298546895</v>
          </cell>
          <cell r="H44">
            <v>25.566182298546895</v>
          </cell>
          <cell r="J44">
            <v>39</v>
          </cell>
          <cell r="L44" t="str">
            <v>CC-NS60LPE13</v>
          </cell>
          <cell r="N44" t="str">
            <v>COS</v>
          </cell>
          <cell r="O44">
            <v>33.099804154986366</v>
          </cell>
          <cell r="P44">
            <v>33.099804154986366</v>
          </cell>
        </row>
        <row r="45">
          <cell r="B45">
            <v>40</v>
          </cell>
          <cell r="D45" t="str">
            <v>CC-NS60SPE13</v>
          </cell>
          <cell r="F45" t="str">
            <v>SAW</v>
          </cell>
          <cell r="G45">
            <v>25.566182298546895</v>
          </cell>
          <cell r="H45">
            <v>25.566182298546895</v>
          </cell>
          <cell r="J45">
            <v>40</v>
          </cell>
          <cell r="L45" t="str">
            <v>CC-NS60SPE13</v>
          </cell>
          <cell r="N45" t="str">
            <v>COS</v>
          </cell>
          <cell r="O45">
            <v>33.099804154986366</v>
          </cell>
          <cell r="P45">
            <v>33.099804154986366</v>
          </cell>
        </row>
        <row r="46">
          <cell r="B46">
            <v>41</v>
          </cell>
          <cell r="D46" t="str">
            <v>CC-NS60LSPE13</v>
          </cell>
          <cell r="F46" t="str">
            <v>SAW</v>
          </cell>
          <cell r="G46">
            <v>25.566182298546895</v>
          </cell>
          <cell r="H46">
            <v>25.566182298546895</v>
          </cell>
          <cell r="J46">
            <v>41</v>
          </cell>
          <cell r="L46" t="str">
            <v>CC-NS60LSPE13</v>
          </cell>
          <cell r="N46" t="str">
            <v>COS</v>
          </cell>
          <cell r="O46">
            <v>33.099804154986366</v>
          </cell>
          <cell r="P46">
            <v>33.099804154986366</v>
          </cell>
        </row>
        <row r="47">
          <cell r="B47">
            <v>42</v>
          </cell>
          <cell r="D47" t="str">
            <v>HC-NS60PE12</v>
          </cell>
          <cell r="F47" t="str">
            <v>SAW</v>
          </cell>
          <cell r="G47">
            <v>25.566182298546895</v>
          </cell>
          <cell r="H47">
            <v>25.566182298546895</v>
          </cell>
          <cell r="J47">
            <v>42</v>
          </cell>
          <cell r="L47" t="str">
            <v>HC-NS60PE12</v>
          </cell>
          <cell r="N47" t="str">
            <v>COS</v>
          </cell>
          <cell r="O47">
            <v>30.86333090127107</v>
          </cell>
          <cell r="P47">
            <v>30.86333090127107</v>
          </cell>
        </row>
        <row r="48">
          <cell r="B48">
            <v>43</v>
          </cell>
          <cell r="D48" t="str">
            <v>HC-NS60LPE12</v>
          </cell>
          <cell r="F48" t="str">
            <v>SAW</v>
          </cell>
          <cell r="G48">
            <v>25.566182298546895</v>
          </cell>
          <cell r="H48">
            <v>25.566182298546895</v>
          </cell>
          <cell r="J48">
            <v>43</v>
          </cell>
          <cell r="L48" t="str">
            <v>HC-NS60LPE12</v>
          </cell>
          <cell r="N48" t="str">
            <v>COS</v>
          </cell>
          <cell r="O48">
            <v>30.86333090127107</v>
          </cell>
          <cell r="P48">
            <v>30.86333090127107</v>
          </cell>
        </row>
        <row r="49">
          <cell r="B49">
            <v>44</v>
          </cell>
          <cell r="D49" t="str">
            <v>HC-NS60SPE12</v>
          </cell>
          <cell r="F49" t="str">
            <v>SAW</v>
          </cell>
          <cell r="G49">
            <v>25.566182298546895</v>
          </cell>
          <cell r="H49">
            <v>25.566182298546895</v>
          </cell>
          <cell r="J49">
            <v>44</v>
          </cell>
          <cell r="L49" t="str">
            <v>HC-NS60SPE12</v>
          </cell>
          <cell r="N49" t="str">
            <v>COS</v>
          </cell>
          <cell r="O49">
            <v>30.86333090127107</v>
          </cell>
          <cell r="P49">
            <v>30.86333090127107</v>
          </cell>
        </row>
        <row r="50">
          <cell r="B50">
            <v>45</v>
          </cell>
          <cell r="D50" t="str">
            <v>HC-NS60LSPE12</v>
          </cell>
          <cell r="F50" t="str">
            <v>SAW</v>
          </cell>
          <cell r="G50">
            <v>25.566182298546895</v>
          </cell>
          <cell r="H50">
            <v>25.566182298546895</v>
          </cell>
          <cell r="J50">
            <v>45</v>
          </cell>
          <cell r="L50" t="str">
            <v>HC-NS60LSPE12</v>
          </cell>
          <cell r="N50" t="str">
            <v>COS</v>
          </cell>
          <cell r="O50">
            <v>30.86333090127107</v>
          </cell>
          <cell r="P50">
            <v>30.86333090127107</v>
          </cell>
        </row>
        <row r="51">
          <cell r="B51">
            <v>46</v>
          </cell>
          <cell r="D51" t="str">
            <v>C-MFNS60SPE9</v>
          </cell>
          <cell r="E51" t="str">
            <v>SPAC</v>
          </cell>
          <cell r="F51" t="str">
            <v>SAW</v>
          </cell>
          <cell r="G51">
            <v>24.741818181818179</v>
          </cell>
          <cell r="H51">
            <v>24.741818181818179</v>
          </cell>
          <cell r="J51">
            <v>46</v>
          </cell>
          <cell r="L51" t="str">
            <v>C-MFNS60SPE9</v>
          </cell>
          <cell r="M51" t="str">
            <v>SPAC</v>
          </cell>
          <cell r="N51" t="str">
            <v>COS</v>
          </cell>
          <cell r="O51">
            <v>35.207823960880198</v>
          </cell>
          <cell r="P51">
            <v>35.207823960880198</v>
          </cell>
        </row>
        <row r="52">
          <cell r="B52">
            <v>47</v>
          </cell>
          <cell r="D52" t="str">
            <v>C-MFNS60LSPE9</v>
          </cell>
          <cell r="E52" t="str">
            <v>SPAC</v>
          </cell>
          <cell r="F52" t="str">
            <v>SAW</v>
          </cell>
          <cell r="G52">
            <v>24.741818181818179</v>
          </cell>
          <cell r="H52">
            <v>24.741818181818179</v>
          </cell>
          <cell r="J52">
            <v>47</v>
          </cell>
          <cell r="L52" t="str">
            <v>C-MFNS60LSPE9</v>
          </cell>
          <cell r="M52" t="str">
            <v>SPAC</v>
          </cell>
          <cell r="N52" t="str">
            <v>COS</v>
          </cell>
          <cell r="O52">
            <v>35.207823960880198</v>
          </cell>
          <cell r="P52">
            <v>35.207823960880198</v>
          </cell>
        </row>
        <row r="53">
          <cell r="B53">
            <v>48</v>
          </cell>
          <cell r="D53" t="str">
            <v>C-MFN40PE11</v>
          </cell>
          <cell r="E53" t="str">
            <v>SPAC</v>
          </cell>
          <cell r="F53" t="str">
            <v>SAW</v>
          </cell>
          <cell r="G53">
            <v>24.741818181818179</v>
          </cell>
          <cell r="H53">
            <v>24.741818181818179</v>
          </cell>
          <cell r="J53">
            <v>48</v>
          </cell>
          <cell r="L53" t="str">
            <v>C-MFN40PE11</v>
          </cell>
          <cell r="M53" t="str">
            <v>SPAC</v>
          </cell>
          <cell r="N53" t="str">
            <v>COS</v>
          </cell>
          <cell r="O53">
            <v>35.207823960880198</v>
          </cell>
          <cell r="P53">
            <v>35.207823960880198</v>
          </cell>
        </row>
        <row r="54">
          <cell r="B54">
            <v>49</v>
          </cell>
          <cell r="D54" t="str">
            <v>C-MFN40LPE11</v>
          </cell>
          <cell r="E54" t="str">
            <v>SPAC</v>
          </cell>
          <cell r="F54" t="str">
            <v>SAW</v>
          </cell>
          <cell r="G54">
            <v>24.741818181818179</v>
          </cell>
          <cell r="H54">
            <v>24.741818181818179</v>
          </cell>
          <cell r="J54">
            <v>49</v>
          </cell>
          <cell r="L54" t="str">
            <v>C-MFN40LPE11</v>
          </cell>
          <cell r="M54" t="str">
            <v>SPAC</v>
          </cell>
          <cell r="N54" t="str">
            <v>COS</v>
          </cell>
          <cell r="O54">
            <v>35.207823960880198</v>
          </cell>
          <cell r="P54">
            <v>35.207823960880198</v>
          </cell>
        </row>
        <row r="55">
          <cell r="B55">
            <v>50</v>
          </cell>
          <cell r="D55" t="str">
            <v>C-MFNS60PE11</v>
          </cell>
          <cell r="E55" t="str">
            <v>SPAC</v>
          </cell>
          <cell r="F55" t="str">
            <v>SAW</v>
          </cell>
          <cell r="G55">
            <v>24.741818181818179</v>
          </cell>
          <cell r="H55">
            <v>24.741818181818179</v>
          </cell>
          <cell r="J55">
            <v>50</v>
          </cell>
          <cell r="L55" t="str">
            <v>C-MFNS60PE11</v>
          </cell>
          <cell r="M55" t="str">
            <v>SPAC</v>
          </cell>
          <cell r="N55" t="str">
            <v>COS</v>
          </cell>
          <cell r="O55">
            <v>35.207823960880198</v>
          </cell>
          <cell r="P55">
            <v>35.207823960880198</v>
          </cell>
        </row>
        <row r="56">
          <cell r="B56">
            <v>51</v>
          </cell>
          <cell r="D56" t="str">
            <v>C-MFNS60LPE11</v>
          </cell>
          <cell r="E56" t="str">
            <v>SPAC</v>
          </cell>
          <cell r="F56" t="str">
            <v>SAW</v>
          </cell>
          <cell r="G56">
            <v>24.741818181818179</v>
          </cell>
          <cell r="H56">
            <v>24.741818181818179</v>
          </cell>
          <cell r="J56">
            <v>51</v>
          </cell>
          <cell r="L56" t="str">
            <v>C-MFNS60LPE11</v>
          </cell>
          <cell r="M56" t="str">
            <v>SPAC</v>
          </cell>
          <cell r="N56" t="str">
            <v>COS</v>
          </cell>
          <cell r="O56">
            <v>35.207823960880198</v>
          </cell>
          <cell r="P56">
            <v>35.207823960880198</v>
          </cell>
        </row>
        <row r="57">
          <cell r="B57">
            <v>52</v>
          </cell>
          <cell r="D57" t="str">
            <v>C-MFNS60SPE11</v>
          </cell>
          <cell r="E57" t="str">
            <v>SPAC</v>
          </cell>
          <cell r="F57" t="str">
            <v>SAW</v>
          </cell>
          <cell r="G57">
            <v>24.741818181818179</v>
          </cell>
          <cell r="H57">
            <v>24.741818181818179</v>
          </cell>
          <cell r="J57">
            <v>52</v>
          </cell>
          <cell r="L57" t="str">
            <v>C-MFNS60SPE11</v>
          </cell>
          <cell r="M57" t="str">
            <v>SPAC</v>
          </cell>
          <cell r="N57" t="str">
            <v>COS</v>
          </cell>
          <cell r="O57">
            <v>35.207823960880198</v>
          </cell>
          <cell r="P57">
            <v>35.207823960880198</v>
          </cell>
        </row>
        <row r="58">
          <cell r="B58">
            <v>53</v>
          </cell>
          <cell r="D58" t="str">
            <v>C-MFNS60LSPE11</v>
          </cell>
          <cell r="E58" t="str">
            <v>SPAC</v>
          </cell>
          <cell r="F58" t="str">
            <v>SAW</v>
          </cell>
          <cell r="G58">
            <v>24.741818181818179</v>
          </cell>
          <cell r="H58">
            <v>24.741818181818179</v>
          </cell>
          <cell r="J58">
            <v>53</v>
          </cell>
          <cell r="L58" t="str">
            <v>C-MFNS60LSPE11</v>
          </cell>
          <cell r="M58" t="str">
            <v>SPAC</v>
          </cell>
          <cell r="N58" t="str">
            <v>COS</v>
          </cell>
          <cell r="O58">
            <v>35.207823960880198</v>
          </cell>
          <cell r="P58">
            <v>35.207823960880198</v>
          </cell>
        </row>
        <row r="59">
          <cell r="B59">
            <v>54</v>
          </cell>
          <cell r="D59" t="str">
            <v>C-MFNS60PE12</v>
          </cell>
          <cell r="E59" t="str">
            <v>SPAC</v>
          </cell>
          <cell r="F59" t="str">
            <v>SAW</v>
          </cell>
          <cell r="G59">
            <v>25.566182298546895</v>
          </cell>
          <cell r="H59">
            <v>25.566182298546895</v>
          </cell>
          <cell r="J59">
            <v>54</v>
          </cell>
          <cell r="L59" t="str">
            <v>C-MFNS60PE12</v>
          </cell>
          <cell r="M59" t="str">
            <v>SPAC</v>
          </cell>
          <cell r="N59" t="str">
            <v>COS</v>
          </cell>
          <cell r="O59">
            <v>35.207823960880198</v>
          </cell>
          <cell r="P59">
            <v>35.207823960880198</v>
          </cell>
        </row>
        <row r="60">
          <cell r="B60">
            <v>55</v>
          </cell>
          <cell r="D60" t="str">
            <v>C-MFNS60LPE12</v>
          </cell>
          <cell r="E60" t="str">
            <v>SPAC</v>
          </cell>
          <cell r="F60" t="str">
            <v>SAW</v>
          </cell>
          <cell r="G60">
            <v>25.566182298546895</v>
          </cell>
          <cell r="H60">
            <v>25.566182298546895</v>
          </cell>
          <cell r="J60">
            <v>55</v>
          </cell>
          <cell r="L60" t="str">
            <v>C-MFNS60LPE12</v>
          </cell>
          <cell r="M60" t="str">
            <v>SPAC</v>
          </cell>
          <cell r="N60" t="str">
            <v>COS</v>
          </cell>
          <cell r="O60">
            <v>35.207823960880198</v>
          </cell>
          <cell r="P60">
            <v>35.207823960880198</v>
          </cell>
        </row>
        <row r="61">
          <cell r="B61">
            <v>56</v>
          </cell>
          <cell r="D61" t="str">
            <v>C-MFNS60SPE12</v>
          </cell>
          <cell r="E61" t="str">
            <v>SPAC</v>
          </cell>
          <cell r="F61" t="str">
            <v>SAW</v>
          </cell>
          <cell r="G61">
            <v>25.566182298546895</v>
          </cell>
          <cell r="H61">
            <v>25.566182298546895</v>
          </cell>
          <cell r="J61">
            <v>56</v>
          </cell>
          <cell r="L61" t="str">
            <v>C-MFNS60SPE12</v>
          </cell>
          <cell r="M61" t="str">
            <v>SPAC</v>
          </cell>
          <cell r="N61" t="str">
            <v>COS</v>
          </cell>
          <cell r="O61">
            <v>35.207823960880198</v>
          </cell>
          <cell r="P61">
            <v>35.207823960880198</v>
          </cell>
        </row>
        <row r="62">
          <cell r="B62">
            <v>57</v>
          </cell>
          <cell r="D62" t="str">
            <v>C-MFNS60LSPE12</v>
          </cell>
          <cell r="E62" t="str">
            <v>SPAC</v>
          </cell>
          <cell r="F62" t="str">
            <v>SAW</v>
          </cell>
          <cell r="G62">
            <v>25.566182298546895</v>
          </cell>
          <cell r="H62">
            <v>25.566182298546895</v>
          </cell>
          <cell r="J62">
            <v>57</v>
          </cell>
          <cell r="L62" t="str">
            <v>C-MFNS60LSPE12</v>
          </cell>
          <cell r="M62" t="str">
            <v>SPAC</v>
          </cell>
          <cell r="N62" t="str">
            <v>COS</v>
          </cell>
          <cell r="O62">
            <v>35.207823960880198</v>
          </cell>
          <cell r="P62">
            <v>35.207823960880198</v>
          </cell>
        </row>
        <row r="63">
          <cell r="B63">
            <v>58</v>
          </cell>
          <cell r="C63" t="str">
            <v xml:space="preserve">N50 </v>
          </cell>
          <cell r="D63" t="str">
            <v>CC-N50PE7</v>
          </cell>
          <cell r="E63" t="str">
            <v>SPAC</v>
          </cell>
          <cell r="F63" t="str">
            <v>SAW</v>
          </cell>
          <cell r="G63">
            <v>20.555294117647058</v>
          </cell>
          <cell r="H63">
            <v>20.555294117647058</v>
          </cell>
          <cell r="J63">
            <v>58</v>
          </cell>
          <cell r="K63" t="str">
            <v xml:space="preserve">N50 </v>
          </cell>
          <cell r="L63" t="str">
            <v>CC-N50PE7</v>
          </cell>
          <cell r="M63" t="str">
            <v>SPAC</v>
          </cell>
          <cell r="N63" t="str">
            <v>COS</v>
          </cell>
          <cell r="O63">
            <v>35.207823960880198</v>
          </cell>
          <cell r="P63">
            <v>35.207823960880198</v>
          </cell>
        </row>
        <row r="64">
          <cell r="B64">
            <v>59</v>
          </cell>
          <cell r="D64" t="str">
            <v>CC-N50LPE7</v>
          </cell>
          <cell r="E64" t="str">
            <v>SPAC</v>
          </cell>
          <cell r="F64" t="str">
            <v>SAW</v>
          </cell>
          <cell r="G64">
            <v>20.555294117647058</v>
          </cell>
          <cell r="H64">
            <v>20.555294117647058</v>
          </cell>
          <cell r="J64">
            <v>59</v>
          </cell>
          <cell r="L64" t="str">
            <v>CC-N50LPE7</v>
          </cell>
          <cell r="M64" t="str">
            <v>SPAC</v>
          </cell>
          <cell r="N64" t="str">
            <v>COS</v>
          </cell>
          <cell r="O64">
            <v>35.207823960880198</v>
          </cell>
          <cell r="P64">
            <v>35.207823960880198</v>
          </cell>
        </row>
        <row r="65">
          <cell r="B65">
            <v>60</v>
          </cell>
          <cell r="D65" t="str">
            <v>CC-N50PE9</v>
          </cell>
          <cell r="F65" t="str">
            <v>SAW</v>
          </cell>
          <cell r="G65">
            <v>20.555294117647058</v>
          </cell>
          <cell r="H65">
            <v>20.555294117647058</v>
          </cell>
          <cell r="J65">
            <v>60</v>
          </cell>
          <cell r="L65" t="str">
            <v>CC-N50PE9</v>
          </cell>
          <cell r="N65" t="str">
            <v>COS</v>
          </cell>
          <cell r="O65">
            <v>24.153911140125185</v>
          </cell>
          <cell r="P65">
            <v>24.153911140125185</v>
          </cell>
        </row>
        <row r="66">
          <cell r="B66">
            <v>61</v>
          </cell>
          <cell r="D66" t="str">
            <v>CC-N50LPE9</v>
          </cell>
          <cell r="F66" t="str">
            <v>SAW</v>
          </cell>
          <cell r="G66">
            <v>20.555294117647058</v>
          </cell>
          <cell r="H66">
            <v>20.555294117647058</v>
          </cell>
          <cell r="J66">
            <v>61</v>
          </cell>
          <cell r="L66" t="str">
            <v>CC-N50LPE9</v>
          </cell>
          <cell r="N66" t="str">
            <v>COS</v>
          </cell>
          <cell r="O66">
            <v>24.153911140125185</v>
          </cell>
          <cell r="P66">
            <v>24.153911140125185</v>
          </cell>
        </row>
        <row r="67">
          <cell r="B67">
            <v>62</v>
          </cell>
          <cell r="D67" t="str">
            <v>CC-N50ZPE9</v>
          </cell>
          <cell r="F67" t="str">
            <v>SAW</v>
          </cell>
          <cell r="G67">
            <v>20.555294117647058</v>
          </cell>
          <cell r="H67">
            <v>20.555294117647058</v>
          </cell>
          <cell r="J67">
            <v>62</v>
          </cell>
          <cell r="L67" t="str">
            <v>CC-N50ZPE9</v>
          </cell>
          <cell r="N67" t="str">
            <v>COS</v>
          </cell>
          <cell r="O67">
            <v>24.153911140125185</v>
          </cell>
          <cell r="P67">
            <v>24.153911140125185</v>
          </cell>
        </row>
        <row r="68">
          <cell r="B68">
            <v>63</v>
          </cell>
          <cell r="D68" t="str">
            <v>CC-N50ZLPE9</v>
          </cell>
          <cell r="F68" t="str">
            <v>SAW</v>
          </cell>
          <cell r="G68">
            <v>20.555294117647058</v>
          </cell>
          <cell r="H68">
            <v>20.555294117647058</v>
          </cell>
          <cell r="J68">
            <v>63</v>
          </cell>
          <cell r="L68" t="str">
            <v>CC-N50ZLPE9</v>
          </cell>
          <cell r="N68" t="str">
            <v>COS</v>
          </cell>
          <cell r="O68">
            <v>24.153911140125185</v>
          </cell>
          <cell r="P68">
            <v>24.153911140125185</v>
          </cell>
        </row>
        <row r="69">
          <cell r="B69">
            <v>64</v>
          </cell>
          <cell r="D69" t="str">
            <v>CC-N50ZPE11</v>
          </cell>
          <cell r="F69" t="str">
            <v>SAW</v>
          </cell>
          <cell r="G69">
            <v>21.305151915455749</v>
          </cell>
          <cell r="H69">
            <v>21.305151915455749</v>
          </cell>
          <cell r="J69">
            <v>64</v>
          </cell>
          <cell r="L69" t="str">
            <v>CC-N50ZPE11</v>
          </cell>
          <cell r="N69" t="str">
            <v>COS</v>
          </cell>
          <cell r="O69">
            <v>28.626857647555774</v>
          </cell>
          <cell r="P69">
            <v>28.626857647555774</v>
          </cell>
        </row>
        <row r="70">
          <cell r="B70">
            <v>65</v>
          </cell>
          <cell r="D70" t="str">
            <v>CC-N50ZLPE11</v>
          </cell>
          <cell r="F70" t="str">
            <v>SAW</v>
          </cell>
          <cell r="G70">
            <v>21.305151915455749</v>
          </cell>
          <cell r="H70">
            <v>21.305151915455749</v>
          </cell>
          <cell r="J70">
            <v>65</v>
          </cell>
          <cell r="L70" t="str">
            <v>CC-N50ZLPE11</v>
          </cell>
          <cell r="N70" t="str">
            <v>COS</v>
          </cell>
          <cell r="O70">
            <v>28.626857647555774</v>
          </cell>
          <cell r="P70">
            <v>28.626857647555774</v>
          </cell>
        </row>
        <row r="71">
          <cell r="B71">
            <v>66</v>
          </cell>
          <cell r="D71" t="str">
            <v>CC-NS70PE11</v>
          </cell>
          <cell r="F71" t="str">
            <v>SAW</v>
          </cell>
          <cell r="G71">
            <v>21.305151915455749</v>
          </cell>
          <cell r="H71">
            <v>21.305151915455749</v>
          </cell>
          <cell r="J71">
            <v>66</v>
          </cell>
          <cell r="L71" t="str">
            <v>CC-NS70PE11</v>
          </cell>
          <cell r="N71" t="str">
            <v>COS</v>
          </cell>
          <cell r="O71">
            <v>28.626857647555774</v>
          </cell>
          <cell r="P71">
            <v>28.626857647555774</v>
          </cell>
        </row>
        <row r="72">
          <cell r="B72">
            <v>67</v>
          </cell>
          <cell r="D72" t="str">
            <v>CC-NS70PE13</v>
          </cell>
          <cell r="F72" t="str">
            <v>SAW</v>
          </cell>
          <cell r="G72">
            <v>25.566182298546895</v>
          </cell>
          <cell r="H72">
            <v>25.566182298546895</v>
          </cell>
          <cell r="J72">
            <v>67</v>
          </cell>
          <cell r="L72" t="str">
            <v>CC-NS70PE13</v>
          </cell>
          <cell r="N72" t="str">
            <v>COS</v>
          </cell>
          <cell r="O72">
            <v>33.099804154986366</v>
          </cell>
          <cell r="P72">
            <v>33.099804154986366</v>
          </cell>
        </row>
        <row r="73">
          <cell r="B73">
            <v>68</v>
          </cell>
          <cell r="D73" t="str">
            <v>CC-NS70LPE14</v>
          </cell>
          <cell r="F73" t="str">
            <v>SAW</v>
          </cell>
          <cell r="G73">
            <v>29.827212681638045</v>
          </cell>
          <cell r="H73">
            <v>29.827212681638045</v>
          </cell>
          <cell r="J73">
            <v>68</v>
          </cell>
          <cell r="L73" t="str">
            <v>CC-NS70LPE14</v>
          </cell>
          <cell r="N73" t="str">
            <v>COS</v>
          </cell>
          <cell r="O73">
            <v>35.336277408701662</v>
          </cell>
          <cell r="P73">
            <v>35.336277408701662</v>
          </cell>
        </row>
        <row r="74">
          <cell r="B74">
            <v>69</v>
          </cell>
          <cell r="D74" t="str">
            <v>CC-NS70LPE11</v>
          </cell>
          <cell r="F74" t="str">
            <v>SAW</v>
          </cell>
          <cell r="G74">
            <v>21.305151915455749</v>
          </cell>
          <cell r="H74">
            <v>21.305151915455749</v>
          </cell>
          <cell r="J74">
            <v>69</v>
          </cell>
          <cell r="L74" t="str">
            <v>CC-NS70LPE11</v>
          </cell>
          <cell r="N74" t="str">
            <v>COS</v>
          </cell>
          <cell r="O74">
            <v>28.626857647555774</v>
          </cell>
          <cell r="P74">
            <v>28.626857647555774</v>
          </cell>
        </row>
        <row r="75">
          <cell r="B75">
            <v>70</v>
          </cell>
          <cell r="D75" t="str">
            <v>CC-NS70-9PE13</v>
          </cell>
          <cell r="F75" t="str">
            <v>SAW</v>
          </cell>
          <cell r="G75">
            <v>25.566182298546895</v>
          </cell>
          <cell r="H75">
            <v>25.566182298546895</v>
          </cell>
          <cell r="J75">
            <v>70</v>
          </cell>
          <cell r="L75" t="str">
            <v>CC-NS70-9PE13</v>
          </cell>
          <cell r="N75" t="str">
            <v>COS</v>
          </cell>
          <cell r="O75">
            <v>33.099804154986366</v>
          </cell>
          <cell r="P75">
            <v>33.099804154986366</v>
          </cell>
        </row>
        <row r="76">
          <cell r="B76">
            <v>71</v>
          </cell>
          <cell r="D76" t="str">
            <v>CC-NS70LPE13</v>
          </cell>
          <cell r="F76" t="str">
            <v>SAW</v>
          </cell>
          <cell r="G76">
            <v>25.566182298546895</v>
          </cell>
          <cell r="H76">
            <v>25.566182298546895</v>
          </cell>
          <cell r="J76">
            <v>71</v>
          </cell>
          <cell r="L76" t="str">
            <v>CC-NS70LPE13</v>
          </cell>
          <cell r="N76" t="str">
            <v>COS</v>
          </cell>
          <cell r="O76">
            <v>33.099804154986366</v>
          </cell>
          <cell r="P76">
            <v>33.099804154986366</v>
          </cell>
        </row>
        <row r="77">
          <cell r="B77">
            <v>72</v>
          </cell>
          <cell r="D77" t="str">
            <v>CC-NS70-9PE14</v>
          </cell>
          <cell r="F77" t="str">
            <v>SAW</v>
          </cell>
          <cell r="G77">
            <v>29.827212681638045</v>
          </cell>
          <cell r="H77">
            <v>29.827212681638045</v>
          </cell>
          <cell r="J77">
            <v>72</v>
          </cell>
          <cell r="L77" t="str">
            <v>CC-NS70-9PE14</v>
          </cell>
          <cell r="N77" t="str">
            <v>COS</v>
          </cell>
          <cell r="O77">
            <v>35.336277408701662</v>
          </cell>
          <cell r="P77">
            <v>35.336277408701662</v>
          </cell>
        </row>
        <row r="78">
          <cell r="B78">
            <v>73</v>
          </cell>
          <cell r="D78" t="str">
            <v>CC-80D26PE14</v>
          </cell>
          <cell r="F78" t="str">
            <v>SAW</v>
          </cell>
          <cell r="G78">
            <v>29.827212681638045</v>
          </cell>
          <cell r="H78">
            <v>29.827212681638045</v>
          </cell>
          <cell r="J78">
            <v>73</v>
          </cell>
          <cell r="L78" t="str">
            <v>CC-80D26PE14</v>
          </cell>
          <cell r="N78" t="str">
            <v>COS</v>
          </cell>
          <cell r="O78">
            <v>35.336277408701662</v>
          </cell>
          <cell r="P78">
            <v>35.336277408701662</v>
          </cell>
        </row>
        <row r="79">
          <cell r="B79">
            <v>74</v>
          </cell>
          <cell r="D79" t="str">
            <v>CC-80D26LPE14</v>
          </cell>
          <cell r="F79" t="str">
            <v>SAW</v>
          </cell>
          <cell r="G79">
            <v>29.827212681638045</v>
          </cell>
          <cell r="H79">
            <v>29.827212681638045</v>
          </cell>
          <cell r="J79">
            <v>74</v>
          </cell>
          <cell r="L79" t="str">
            <v>CC-80D26LPE14</v>
          </cell>
          <cell r="N79" t="str">
            <v>COS</v>
          </cell>
          <cell r="O79">
            <v>35.336277408701662</v>
          </cell>
          <cell r="P79">
            <v>35.336277408701662</v>
          </cell>
        </row>
        <row r="80">
          <cell r="B80">
            <v>75</v>
          </cell>
          <cell r="D80" t="str">
            <v>HC-N50PE9</v>
          </cell>
          <cell r="E80" t="str">
            <v>SPAC</v>
          </cell>
          <cell r="F80" t="str">
            <v>SAW</v>
          </cell>
          <cell r="G80">
            <v>20.790000000000003</v>
          </cell>
          <cell r="H80">
            <v>20.790000000000003</v>
          </cell>
          <cell r="J80">
            <v>75</v>
          </cell>
          <cell r="L80" t="str">
            <v>HC-N50PE9</v>
          </cell>
          <cell r="M80" t="str">
            <v>SPAC</v>
          </cell>
          <cell r="N80" t="str">
            <v>COS</v>
          </cell>
          <cell r="O80">
            <v>35.207823960880198</v>
          </cell>
          <cell r="P80">
            <v>35.207823960880198</v>
          </cell>
        </row>
        <row r="81">
          <cell r="B81">
            <v>76</v>
          </cell>
          <cell r="D81" t="str">
            <v>HC-N50ZPE11</v>
          </cell>
          <cell r="F81" t="str">
            <v>SAW</v>
          </cell>
          <cell r="G81">
            <v>21.305151915455749</v>
          </cell>
          <cell r="H81">
            <v>21.305151915455749</v>
          </cell>
          <cell r="J81">
            <v>76</v>
          </cell>
          <cell r="L81" t="str">
            <v>HC-N50ZPE11</v>
          </cell>
          <cell r="N81" t="str">
            <v>COS</v>
          </cell>
          <cell r="O81">
            <v>28.626857647555774</v>
          </cell>
          <cell r="P81">
            <v>28.626857647555774</v>
          </cell>
        </row>
        <row r="82">
          <cell r="B82">
            <v>77</v>
          </cell>
          <cell r="D82" t="str">
            <v>HC-N50ZLPE11</v>
          </cell>
          <cell r="F82" t="str">
            <v>SAW</v>
          </cell>
          <cell r="G82">
            <v>21.305151915455749</v>
          </cell>
          <cell r="H82">
            <v>21.305151915455749</v>
          </cell>
          <cell r="J82">
            <v>77</v>
          </cell>
          <cell r="L82" t="str">
            <v>HC-N50ZLPE11</v>
          </cell>
          <cell r="N82" t="str">
            <v>COS</v>
          </cell>
          <cell r="O82">
            <v>28.626857647555774</v>
          </cell>
          <cell r="P82">
            <v>28.626857647555774</v>
          </cell>
        </row>
        <row r="83">
          <cell r="B83">
            <v>78</v>
          </cell>
          <cell r="D83" t="str">
            <v>HC-NS70PE13</v>
          </cell>
          <cell r="F83" t="str">
            <v>SAW</v>
          </cell>
          <cell r="G83">
            <v>25.566182298546895</v>
          </cell>
          <cell r="H83">
            <v>25.566182298546895</v>
          </cell>
          <cell r="J83">
            <v>78</v>
          </cell>
          <cell r="L83" t="str">
            <v>HC-NS70PE13</v>
          </cell>
          <cell r="N83" t="str">
            <v>COS</v>
          </cell>
          <cell r="O83">
            <v>33.099804154986366</v>
          </cell>
          <cell r="P83">
            <v>33.099804154986366</v>
          </cell>
        </row>
        <row r="84">
          <cell r="B84">
            <v>79</v>
          </cell>
          <cell r="D84" t="str">
            <v>HC-NS70LPE13</v>
          </cell>
          <cell r="F84" t="str">
            <v>SAW</v>
          </cell>
          <cell r="G84">
            <v>25.566182298546895</v>
          </cell>
          <cell r="H84">
            <v>25.566182298546895</v>
          </cell>
          <cell r="J84">
            <v>79</v>
          </cell>
          <cell r="L84" t="str">
            <v>HC-NS70LPE13</v>
          </cell>
          <cell r="N84" t="str">
            <v>COS</v>
          </cell>
          <cell r="O84">
            <v>33.099804154986366</v>
          </cell>
          <cell r="P84">
            <v>33.099804154986366</v>
          </cell>
        </row>
        <row r="85">
          <cell r="B85">
            <v>80</v>
          </cell>
          <cell r="D85" t="str">
            <v>C-MFN50PE7</v>
          </cell>
          <cell r="E85" t="str">
            <v>SPAC</v>
          </cell>
          <cell r="F85" t="str">
            <v>SAW</v>
          </cell>
          <cell r="G85">
            <v>24.741818181818179</v>
          </cell>
          <cell r="H85">
            <v>24.741818181818179</v>
          </cell>
          <cell r="J85">
            <v>80</v>
          </cell>
          <cell r="L85" t="str">
            <v>C-MFN50PE7</v>
          </cell>
          <cell r="M85" t="str">
            <v>SPAC</v>
          </cell>
          <cell r="N85" t="str">
            <v>COS</v>
          </cell>
          <cell r="O85">
            <v>35.207823960880198</v>
          </cell>
          <cell r="P85">
            <v>35.207823960880198</v>
          </cell>
        </row>
        <row r="86">
          <cell r="B86">
            <v>81</v>
          </cell>
          <cell r="D86" t="str">
            <v>C-MFN50LPE7</v>
          </cell>
          <cell r="E86" t="str">
            <v>SPAC</v>
          </cell>
          <cell r="F86" t="str">
            <v>SAW</v>
          </cell>
          <cell r="G86">
            <v>24.741818181818179</v>
          </cell>
          <cell r="H86">
            <v>24.741818181818179</v>
          </cell>
          <cell r="J86">
            <v>81</v>
          </cell>
          <cell r="L86" t="str">
            <v>C-MFN50LPE7</v>
          </cell>
          <cell r="M86" t="str">
            <v>SPAC</v>
          </cell>
          <cell r="N86" t="str">
            <v>COS</v>
          </cell>
          <cell r="O86">
            <v>35.207823960880198</v>
          </cell>
          <cell r="P86">
            <v>35.207823960880198</v>
          </cell>
        </row>
        <row r="87">
          <cell r="B87">
            <v>82</v>
          </cell>
          <cell r="D87" t="str">
            <v>C-MFN50PE9</v>
          </cell>
          <cell r="E87" t="str">
            <v>SPAC</v>
          </cell>
          <cell r="F87" t="str">
            <v>SAW</v>
          </cell>
          <cell r="G87">
            <v>24.741818181818179</v>
          </cell>
          <cell r="H87">
            <v>24.741818181818179</v>
          </cell>
          <cell r="J87">
            <v>82</v>
          </cell>
          <cell r="L87" t="str">
            <v>C-MFN50PE9</v>
          </cell>
          <cell r="M87" t="str">
            <v>SPAC</v>
          </cell>
          <cell r="N87" t="str">
            <v>COS</v>
          </cell>
          <cell r="O87">
            <v>35.207823960880198</v>
          </cell>
          <cell r="P87">
            <v>35.207823960880198</v>
          </cell>
        </row>
        <row r="88">
          <cell r="B88">
            <v>83</v>
          </cell>
          <cell r="D88" t="str">
            <v>C-MFN50LPE9</v>
          </cell>
          <cell r="E88" t="str">
            <v>SPAC</v>
          </cell>
          <cell r="F88" t="str">
            <v>SAW</v>
          </cell>
          <cell r="G88">
            <v>24.741818181818179</v>
          </cell>
          <cell r="H88">
            <v>24.741818181818179</v>
          </cell>
          <cell r="J88">
            <v>83</v>
          </cell>
          <cell r="L88" t="str">
            <v>C-MFN50LPE9</v>
          </cell>
          <cell r="M88" t="str">
            <v>SPAC</v>
          </cell>
          <cell r="N88" t="str">
            <v>COS</v>
          </cell>
          <cell r="O88">
            <v>35.207823960880198</v>
          </cell>
          <cell r="P88">
            <v>35.207823960880198</v>
          </cell>
        </row>
        <row r="89">
          <cell r="B89">
            <v>84</v>
          </cell>
          <cell r="D89" t="str">
            <v>C-MFNS70PE9</v>
          </cell>
          <cell r="E89" t="str">
            <v>SPAC</v>
          </cell>
          <cell r="F89" t="str">
            <v>SAW</v>
          </cell>
          <cell r="G89">
            <v>24.741818181818179</v>
          </cell>
          <cell r="H89">
            <v>24.741818181818179</v>
          </cell>
          <cell r="J89">
            <v>84</v>
          </cell>
          <cell r="L89" t="str">
            <v>C-MFNS70PE9</v>
          </cell>
          <cell r="M89" t="str">
            <v>SPAC</v>
          </cell>
          <cell r="N89" t="str">
            <v>COS</v>
          </cell>
          <cell r="O89">
            <v>35.207823960880198</v>
          </cell>
          <cell r="P89">
            <v>35.207823960880198</v>
          </cell>
        </row>
        <row r="90">
          <cell r="B90">
            <v>85</v>
          </cell>
          <cell r="D90" t="str">
            <v>C-MFN50ZPE11</v>
          </cell>
          <cell r="E90" t="str">
            <v>SPAC</v>
          </cell>
          <cell r="F90" t="str">
            <v>SAW</v>
          </cell>
          <cell r="G90">
            <v>24.741818181818179</v>
          </cell>
          <cell r="H90">
            <v>24.741818181818179</v>
          </cell>
          <cell r="J90">
            <v>85</v>
          </cell>
          <cell r="L90" t="str">
            <v>C-MFN50ZPE11</v>
          </cell>
          <cell r="M90" t="str">
            <v>SPAC</v>
          </cell>
          <cell r="N90" t="str">
            <v>COS</v>
          </cell>
          <cell r="O90">
            <v>35.207823960880198</v>
          </cell>
          <cell r="P90">
            <v>35.207823960880198</v>
          </cell>
        </row>
        <row r="91">
          <cell r="B91">
            <v>86</v>
          </cell>
          <cell r="D91" t="str">
            <v>C-MFN50ZPE11</v>
          </cell>
          <cell r="E91" t="str">
            <v>SPAC</v>
          </cell>
          <cell r="F91" t="str">
            <v>SAW</v>
          </cell>
          <cell r="G91">
            <v>24.741818181818179</v>
          </cell>
          <cell r="H91">
            <v>24.741818181818179</v>
          </cell>
          <cell r="J91">
            <v>86</v>
          </cell>
          <cell r="L91" t="str">
            <v>C-MFN50ZPE11</v>
          </cell>
          <cell r="M91" t="str">
            <v>SPAC</v>
          </cell>
          <cell r="N91" t="str">
            <v>COS</v>
          </cell>
          <cell r="O91">
            <v>35.207823960880198</v>
          </cell>
          <cell r="P91">
            <v>35.207823960880198</v>
          </cell>
        </row>
        <row r="92">
          <cell r="B92">
            <v>87</v>
          </cell>
          <cell r="D92" t="str">
            <v>C-MFN50ZLPE11</v>
          </cell>
          <cell r="E92" t="str">
            <v>SPAC</v>
          </cell>
          <cell r="F92" t="str">
            <v>SAW</v>
          </cell>
          <cell r="G92">
            <v>24.741818181818179</v>
          </cell>
          <cell r="H92">
            <v>24.741818181818179</v>
          </cell>
          <cell r="J92">
            <v>87</v>
          </cell>
          <cell r="L92" t="str">
            <v>C-MFN50ZLPE11</v>
          </cell>
          <cell r="M92" t="str">
            <v>SPAC</v>
          </cell>
          <cell r="N92" t="str">
            <v>COS</v>
          </cell>
          <cell r="O92">
            <v>35.207823960880198</v>
          </cell>
          <cell r="P92">
            <v>35.207823960880198</v>
          </cell>
        </row>
        <row r="93">
          <cell r="B93">
            <v>88</v>
          </cell>
          <cell r="D93" t="str">
            <v>C-MFNS70PE11</v>
          </cell>
          <cell r="E93" t="str">
            <v>SPAC</v>
          </cell>
          <cell r="F93" t="str">
            <v>SAW</v>
          </cell>
          <cell r="G93">
            <v>24.741818181818179</v>
          </cell>
          <cell r="H93">
            <v>24.741818181818179</v>
          </cell>
          <cell r="J93">
            <v>88</v>
          </cell>
          <cell r="L93" t="str">
            <v>C-MFNS70PE11</v>
          </cell>
          <cell r="M93" t="str">
            <v>SPAC</v>
          </cell>
          <cell r="N93" t="str">
            <v>COS</v>
          </cell>
          <cell r="O93">
            <v>35.207823960880198</v>
          </cell>
          <cell r="P93">
            <v>35.207823960880198</v>
          </cell>
        </row>
        <row r="94">
          <cell r="B94">
            <v>89</v>
          </cell>
          <cell r="D94" t="str">
            <v>C-MFNS70LPE11</v>
          </cell>
          <cell r="E94" t="str">
            <v>SPAC</v>
          </cell>
          <cell r="F94" t="str">
            <v>SAW</v>
          </cell>
          <cell r="G94">
            <v>24.741818181818179</v>
          </cell>
          <cell r="H94">
            <v>24.741818181818179</v>
          </cell>
          <cell r="J94">
            <v>89</v>
          </cell>
          <cell r="L94" t="str">
            <v>C-MFNS70LPE11</v>
          </cell>
          <cell r="M94" t="str">
            <v>SPAC</v>
          </cell>
          <cell r="N94" t="str">
            <v>COS</v>
          </cell>
          <cell r="O94">
            <v>35.207823960880198</v>
          </cell>
          <cell r="P94">
            <v>35.207823960880198</v>
          </cell>
        </row>
        <row r="95">
          <cell r="B95">
            <v>90</v>
          </cell>
          <cell r="D95" t="str">
            <v>C-MFNS70PE13</v>
          </cell>
          <cell r="E95" t="str">
            <v>SPAC</v>
          </cell>
          <cell r="F95" t="str">
            <v>SAW</v>
          </cell>
          <cell r="G95">
            <v>29.454545454545453</v>
          </cell>
          <cell r="H95">
            <v>29.454545454545453</v>
          </cell>
          <cell r="J95">
            <v>90</v>
          </cell>
          <cell r="L95" t="str">
            <v>C-MFNS70PE13</v>
          </cell>
          <cell r="M95" t="str">
            <v>SPAC</v>
          </cell>
          <cell r="N95" t="str">
            <v>COS</v>
          </cell>
          <cell r="O95">
            <v>35.207823960880198</v>
          </cell>
          <cell r="P95">
            <v>35.207823960880198</v>
          </cell>
        </row>
        <row r="96">
          <cell r="B96">
            <v>91</v>
          </cell>
          <cell r="D96" t="str">
            <v>C-MFNS70LPE13</v>
          </cell>
          <cell r="E96" t="str">
            <v>SPAC</v>
          </cell>
          <cell r="F96" t="str">
            <v>SAW</v>
          </cell>
          <cell r="G96">
            <v>29.454545454545453</v>
          </cell>
          <cell r="H96">
            <v>29.454545454545453</v>
          </cell>
          <cell r="J96">
            <v>91</v>
          </cell>
          <cell r="L96" t="str">
            <v>C-MFNS70LPE13</v>
          </cell>
          <cell r="M96" t="str">
            <v>SPAC</v>
          </cell>
          <cell r="N96" t="str">
            <v>COS</v>
          </cell>
          <cell r="O96">
            <v>35.207823960880198</v>
          </cell>
          <cell r="P96">
            <v>35.207823960880198</v>
          </cell>
        </row>
        <row r="97">
          <cell r="B97">
            <v>92</v>
          </cell>
          <cell r="D97" t="str">
            <v>C-MF80D26PE14</v>
          </cell>
          <cell r="E97" t="str">
            <v>SPAC</v>
          </cell>
          <cell r="F97" t="str">
            <v>SAW</v>
          </cell>
          <cell r="G97">
            <v>29.827212681638045</v>
          </cell>
          <cell r="H97">
            <v>29.827212681638045</v>
          </cell>
          <cell r="J97">
            <v>92</v>
          </cell>
          <cell r="L97" t="str">
            <v>C-MF80D26PE14</v>
          </cell>
          <cell r="M97" t="str">
            <v>SPAC</v>
          </cell>
          <cell r="N97" t="str">
            <v>COS</v>
          </cell>
          <cell r="O97">
            <v>35.336277408701662</v>
          </cell>
          <cell r="P97">
            <v>35.336277408701662</v>
          </cell>
        </row>
        <row r="98">
          <cell r="B98">
            <v>93</v>
          </cell>
          <cell r="D98" t="str">
            <v>C-MF80D26LPE14</v>
          </cell>
          <cell r="E98" t="str">
            <v>SPAC</v>
          </cell>
          <cell r="F98" t="str">
            <v>SAW</v>
          </cell>
          <cell r="G98">
            <v>29.827212681638045</v>
          </cell>
          <cell r="H98">
            <v>29.827212681638045</v>
          </cell>
          <cell r="J98">
            <v>93</v>
          </cell>
          <cell r="L98" t="str">
            <v>C-MF80D26LPE14</v>
          </cell>
          <cell r="M98" t="str">
            <v>SPAC</v>
          </cell>
          <cell r="N98" t="str">
            <v>COS</v>
          </cell>
          <cell r="O98">
            <v>35.336277408701662</v>
          </cell>
          <cell r="P98">
            <v>35.336277408701662</v>
          </cell>
        </row>
        <row r="99">
          <cell r="B99">
            <v>94</v>
          </cell>
          <cell r="C99" t="str">
            <v>N70</v>
          </cell>
          <cell r="D99" t="str">
            <v>CC-N70PE11</v>
          </cell>
          <cell r="E99" t="str">
            <v>SPAC</v>
          </cell>
          <cell r="F99" t="str">
            <v>SAW</v>
          </cell>
          <cell r="G99">
            <v>21.305151915455749</v>
          </cell>
          <cell r="H99">
            <v>21.305151915455749</v>
          </cell>
          <cell r="J99">
            <v>94</v>
          </cell>
          <cell r="K99" t="str">
            <v>N70</v>
          </cell>
          <cell r="L99" t="str">
            <v>CC-N70PE11</v>
          </cell>
          <cell r="M99" t="str">
            <v>SPAC</v>
          </cell>
          <cell r="N99" t="str">
            <v>COS</v>
          </cell>
          <cell r="O99">
            <v>35.207823960880198</v>
          </cell>
          <cell r="P99">
            <v>35.207823960880198</v>
          </cell>
        </row>
        <row r="100">
          <cell r="B100">
            <v>95</v>
          </cell>
          <cell r="D100" t="str">
            <v>CC-N70LPE11</v>
          </cell>
          <cell r="E100" t="str">
            <v>SPAC</v>
          </cell>
          <cell r="F100" t="str">
            <v>SAW</v>
          </cell>
          <cell r="G100">
            <v>21.305151915455749</v>
          </cell>
          <cell r="H100">
            <v>21.305151915455749</v>
          </cell>
          <cell r="J100">
            <v>95</v>
          </cell>
          <cell r="L100" t="str">
            <v>CC-N70LPE11</v>
          </cell>
          <cell r="M100" t="str">
            <v>SPAC</v>
          </cell>
          <cell r="N100" t="str">
            <v>COS</v>
          </cell>
          <cell r="O100">
            <v>35.207823960880198</v>
          </cell>
          <cell r="P100">
            <v>35.207823960880198</v>
          </cell>
        </row>
        <row r="101">
          <cell r="B101">
            <v>96</v>
          </cell>
          <cell r="D101" t="str">
            <v>CC-N70PE13</v>
          </cell>
          <cell r="F101" t="str">
            <v>SAW</v>
          </cell>
          <cell r="G101">
            <v>25.566182298546895</v>
          </cell>
          <cell r="H101">
            <v>25.566182298546895</v>
          </cell>
          <cell r="J101">
            <v>96</v>
          </cell>
          <cell r="L101" t="str">
            <v>CC-N70PE13</v>
          </cell>
          <cell r="N101" t="str">
            <v>COS</v>
          </cell>
          <cell r="O101">
            <v>33.099804154986366</v>
          </cell>
          <cell r="P101">
            <v>33.099804154986366</v>
          </cell>
        </row>
        <row r="102">
          <cell r="B102">
            <v>97</v>
          </cell>
          <cell r="D102" t="str">
            <v>CC-N70LPE13</v>
          </cell>
          <cell r="F102" t="str">
            <v>SAW</v>
          </cell>
          <cell r="G102">
            <v>25.566182298546895</v>
          </cell>
          <cell r="H102">
            <v>25.566182298546895</v>
          </cell>
          <cell r="J102">
            <v>97</v>
          </cell>
          <cell r="L102" t="str">
            <v>CC-N70LPE13</v>
          </cell>
          <cell r="N102" t="str">
            <v>COS</v>
          </cell>
          <cell r="O102">
            <v>33.099804154986366</v>
          </cell>
          <cell r="P102">
            <v>33.099804154986366</v>
          </cell>
        </row>
        <row r="103">
          <cell r="B103">
            <v>98</v>
          </cell>
          <cell r="D103" t="str">
            <v>CC-N70ZPE13</v>
          </cell>
          <cell r="F103" t="str">
            <v>SAW</v>
          </cell>
          <cell r="G103">
            <v>25.566182298546895</v>
          </cell>
          <cell r="H103">
            <v>25.566182298546895</v>
          </cell>
          <cell r="J103">
            <v>98</v>
          </cell>
          <cell r="L103" t="str">
            <v>CC-N70ZPE13</v>
          </cell>
          <cell r="N103" t="str">
            <v>COS</v>
          </cell>
          <cell r="O103">
            <v>33.099804154986366</v>
          </cell>
          <cell r="P103">
            <v>33.099804154986366</v>
          </cell>
        </row>
        <row r="104">
          <cell r="B104">
            <v>99</v>
          </cell>
          <cell r="D104" t="str">
            <v>CC-N70ZLPE13</v>
          </cell>
          <cell r="F104" t="str">
            <v>SAW</v>
          </cell>
          <cell r="G104">
            <v>25.566182298546895</v>
          </cell>
          <cell r="H104">
            <v>25.566182298546895</v>
          </cell>
          <cell r="J104">
            <v>99</v>
          </cell>
          <cell r="L104" t="str">
            <v>CC-N70ZLPE13</v>
          </cell>
          <cell r="N104" t="str">
            <v>COS</v>
          </cell>
          <cell r="O104">
            <v>33.099804154986366</v>
          </cell>
          <cell r="P104">
            <v>33.099804154986366</v>
          </cell>
        </row>
        <row r="105">
          <cell r="B105">
            <v>100</v>
          </cell>
          <cell r="D105" t="str">
            <v>CC-N70-9PE15</v>
          </cell>
          <cell r="F105" t="str">
            <v>SAW</v>
          </cell>
          <cell r="G105">
            <v>29.827212681638045</v>
          </cell>
          <cell r="H105">
            <v>29.827212681638045</v>
          </cell>
          <cell r="J105">
            <v>100</v>
          </cell>
          <cell r="L105" t="str">
            <v>CC-N70-9PE15</v>
          </cell>
          <cell r="N105" t="str">
            <v>COS</v>
          </cell>
          <cell r="O105">
            <v>37.572750662416958</v>
          </cell>
          <cell r="P105">
            <v>37.572750662416958</v>
          </cell>
        </row>
        <row r="106">
          <cell r="B106">
            <v>101</v>
          </cell>
          <cell r="D106" t="str">
            <v>CC-N70TPE15</v>
          </cell>
          <cell r="E106" t="str">
            <v>SPAC</v>
          </cell>
          <cell r="F106" t="str">
            <v>SAW</v>
          </cell>
          <cell r="G106">
            <v>29.827212681638045</v>
          </cell>
          <cell r="H106">
            <v>29.827212681638045</v>
          </cell>
          <cell r="J106">
            <v>101</v>
          </cell>
          <cell r="L106" t="str">
            <v>CC-N70TPE15</v>
          </cell>
          <cell r="M106" t="str">
            <v>SPAC</v>
          </cell>
          <cell r="N106" t="str">
            <v>COS</v>
          </cell>
          <cell r="O106">
            <v>37.572750662416958</v>
          </cell>
          <cell r="P106">
            <v>37.572750662416958</v>
          </cell>
        </row>
        <row r="107">
          <cell r="B107">
            <v>102</v>
          </cell>
          <cell r="D107" t="str">
            <v>CC-N70ZPE15</v>
          </cell>
          <cell r="E107" t="str">
            <v>SPAC</v>
          </cell>
          <cell r="F107" t="str">
            <v>SAW</v>
          </cell>
          <cell r="G107">
            <v>29.827212681638045</v>
          </cell>
          <cell r="H107">
            <v>29.827212681638045</v>
          </cell>
          <cell r="J107">
            <v>102</v>
          </cell>
          <cell r="L107" t="str">
            <v>CC-N70ZPE15</v>
          </cell>
          <cell r="M107" t="str">
            <v>SPAC</v>
          </cell>
          <cell r="N107" t="str">
            <v>COS</v>
          </cell>
          <cell r="O107">
            <v>37.572750662416958</v>
          </cell>
          <cell r="P107">
            <v>37.572750662416958</v>
          </cell>
        </row>
        <row r="108">
          <cell r="B108">
            <v>103</v>
          </cell>
          <cell r="D108" t="str">
            <v>CC-N70ZLPE15</v>
          </cell>
          <cell r="E108" t="str">
            <v>SPAC</v>
          </cell>
          <cell r="F108" t="str">
            <v>SAW</v>
          </cell>
          <cell r="G108">
            <v>29.827212681638045</v>
          </cell>
          <cell r="H108">
            <v>29.827212681638045</v>
          </cell>
          <cell r="J108">
            <v>103</v>
          </cell>
          <cell r="L108" t="str">
            <v>CC-N70ZLPE15</v>
          </cell>
          <cell r="M108" t="str">
            <v>SPAC</v>
          </cell>
          <cell r="N108" t="str">
            <v>COS</v>
          </cell>
          <cell r="O108">
            <v>37.572750662416958</v>
          </cell>
          <cell r="P108">
            <v>37.572750662416958</v>
          </cell>
        </row>
        <row r="109">
          <cell r="B109">
            <v>104</v>
          </cell>
          <cell r="D109" t="str">
            <v>CC-N70ZPE16</v>
          </cell>
          <cell r="F109" t="str">
            <v>SAW</v>
          </cell>
          <cell r="G109">
            <v>34.088243064729191</v>
          </cell>
          <cell r="H109">
            <v>34.088243064729191</v>
          </cell>
          <cell r="J109">
            <v>104</v>
          </cell>
          <cell r="L109" t="str">
            <v>CC-N70ZPE16</v>
          </cell>
          <cell r="N109" t="str">
            <v>COS</v>
          </cell>
          <cell r="O109">
            <v>39.809223916132247</v>
          </cell>
          <cell r="P109">
            <v>39.809223916132247</v>
          </cell>
        </row>
        <row r="110">
          <cell r="B110">
            <v>105</v>
          </cell>
          <cell r="D110" t="str">
            <v>CC-NX120-7PE15</v>
          </cell>
          <cell r="E110" t="str">
            <v>SPAC</v>
          </cell>
          <cell r="F110" t="str">
            <v>SAW</v>
          </cell>
          <cell r="G110">
            <v>29.827212681638045</v>
          </cell>
          <cell r="H110">
            <v>29.827212681638045</v>
          </cell>
          <cell r="J110">
            <v>105</v>
          </cell>
          <cell r="L110" t="str">
            <v>CC-NX120-7PE15</v>
          </cell>
          <cell r="M110" t="str">
            <v>SPAC</v>
          </cell>
          <cell r="N110" t="str">
            <v>COS</v>
          </cell>
          <cell r="O110">
            <v>37.572750662416958</v>
          </cell>
          <cell r="P110">
            <v>37.572750662416958</v>
          </cell>
        </row>
        <row r="111">
          <cell r="B111">
            <v>106</v>
          </cell>
          <cell r="D111" t="str">
            <v>CC-NX120-7LPE15</v>
          </cell>
          <cell r="E111" t="str">
            <v>SPAC</v>
          </cell>
          <cell r="F111" t="str">
            <v>SAW</v>
          </cell>
          <cell r="G111">
            <v>29.827212681638045</v>
          </cell>
          <cell r="H111">
            <v>29.827212681638045</v>
          </cell>
          <cell r="J111">
            <v>106</v>
          </cell>
          <cell r="L111" t="str">
            <v>CC-NX120-7LPE15</v>
          </cell>
          <cell r="M111" t="str">
            <v>SPAC</v>
          </cell>
          <cell r="N111" t="str">
            <v>COS</v>
          </cell>
          <cell r="O111">
            <v>37.572750662416958</v>
          </cell>
          <cell r="P111">
            <v>37.572750662416958</v>
          </cell>
        </row>
        <row r="112">
          <cell r="B112">
            <v>107</v>
          </cell>
          <cell r="D112" t="str">
            <v>CC-NX120-7PE17</v>
          </cell>
          <cell r="F112" t="str">
            <v>SAW</v>
          </cell>
          <cell r="G112">
            <v>34.088243064729191</v>
          </cell>
          <cell r="H112">
            <v>34.088243064729191</v>
          </cell>
          <cell r="J112">
            <v>107</v>
          </cell>
          <cell r="L112" t="str">
            <v>CC-NX120-7PE17</v>
          </cell>
          <cell r="N112" t="str">
            <v>COS</v>
          </cell>
          <cell r="O112">
            <v>42.045697169847543</v>
          </cell>
          <cell r="P112">
            <v>42.045697169847543</v>
          </cell>
        </row>
        <row r="113">
          <cell r="B113">
            <v>108</v>
          </cell>
          <cell r="D113" t="str">
            <v>CC-NX120-7LPE17</v>
          </cell>
          <cell r="F113" t="str">
            <v>SAW</v>
          </cell>
          <cell r="G113">
            <v>34.088243064729191</v>
          </cell>
          <cell r="H113">
            <v>34.088243064729191</v>
          </cell>
          <cell r="J113">
            <v>108</v>
          </cell>
          <cell r="L113" t="str">
            <v>CC-NX120-7LPE17</v>
          </cell>
          <cell r="N113" t="str">
            <v>COS</v>
          </cell>
          <cell r="O113">
            <v>42.045697169847543</v>
          </cell>
          <cell r="P113">
            <v>42.045697169847543</v>
          </cell>
        </row>
        <row r="114">
          <cell r="B114">
            <v>109</v>
          </cell>
          <cell r="D114" t="str">
            <v>HC-N70PE13</v>
          </cell>
          <cell r="F114" t="str">
            <v>SAW</v>
          </cell>
          <cell r="G114">
            <v>25.566182298546895</v>
          </cell>
          <cell r="H114">
            <v>25.566182298546895</v>
          </cell>
          <cell r="J114">
            <v>109</v>
          </cell>
          <cell r="L114" t="str">
            <v>HC-N70PE13</v>
          </cell>
          <cell r="N114" t="str">
            <v>COS</v>
          </cell>
          <cell r="O114">
            <v>33.099804154986366</v>
          </cell>
          <cell r="P114">
            <v>33.099804154986366</v>
          </cell>
        </row>
        <row r="115">
          <cell r="B115">
            <v>110</v>
          </cell>
          <cell r="D115" t="str">
            <v>HC-N70ZPE15</v>
          </cell>
          <cell r="F115" t="str">
            <v>SAW</v>
          </cell>
          <cell r="G115">
            <v>29.827212681638045</v>
          </cell>
          <cell r="H115">
            <v>29.827212681638045</v>
          </cell>
          <cell r="J115">
            <v>110</v>
          </cell>
          <cell r="L115" t="str">
            <v>HC-N70ZPE15</v>
          </cell>
          <cell r="N115" t="str">
            <v>COS</v>
          </cell>
          <cell r="O115">
            <v>37.572750662416958</v>
          </cell>
          <cell r="P115">
            <v>37.572750662416958</v>
          </cell>
        </row>
        <row r="116">
          <cell r="B116">
            <v>111</v>
          </cell>
          <cell r="D116" t="str">
            <v>C-MFN70PE13</v>
          </cell>
          <cell r="E116" t="str">
            <v>SPAC</v>
          </cell>
          <cell r="F116" t="str">
            <v>SAW</v>
          </cell>
          <cell r="G116">
            <v>29.454545454545453</v>
          </cell>
          <cell r="H116">
            <v>29.454545454545453</v>
          </cell>
          <cell r="J116">
            <v>111</v>
          </cell>
          <cell r="L116" t="str">
            <v>C-MFN70PE13</v>
          </cell>
          <cell r="M116" t="str">
            <v>SPAC</v>
          </cell>
          <cell r="N116" t="str">
            <v>COS</v>
          </cell>
          <cell r="O116">
            <v>35.207823960880198</v>
          </cell>
          <cell r="P116">
            <v>35.207823960880198</v>
          </cell>
        </row>
        <row r="117">
          <cell r="B117">
            <v>112</v>
          </cell>
          <cell r="D117" t="str">
            <v>C-MFN70ZLPE13</v>
          </cell>
          <cell r="E117" t="str">
            <v>SPAC</v>
          </cell>
          <cell r="F117" t="str">
            <v>SAW</v>
          </cell>
          <cell r="G117">
            <v>29.454545454545453</v>
          </cell>
          <cell r="H117">
            <v>29.454545454545453</v>
          </cell>
          <cell r="J117">
            <v>112</v>
          </cell>
          <cell r="L117" t="str">
            <v>C-MFN70ZLPE13</v>
          </cell>
          <cell r="M117" t="str">
            <v>SPAC</v>
          </cell>
          <cell r="N117" t="str">
            <v>COS</v>
          </cell>
          <cell r="O117">
            <v>35.207823960880198</v>
          </cell>
          <cell r="P117">
            <v>35.207823960880198</v>
          </cell>
        </row>
        <row r="118">
          <cell r="B118">
            <v>113</v>
          </cell>
          <cell r="D118" t="str">
            <v>C-MFN70LPE13</v>
          </cell>
          <cell r="E118" t="str">
            <v>SPAC</v>
          </cell>
          <cell r="F118" t="str">
            <v>SAW</v>
          </cell>
          <cell r="G118">
            <v>29.454545454545453</v>
          </cell>
          <cell r="H118">
            <v>29.454545454545453</v>
          </cell>
          <cell r="J118">
            <v>113</v>
          </cell>
          <cell r="L118" t="str">
            <v>C-MFN70LPE13</v>
          </cell>
          <cell r="M118" t="str">
            <v>SPAC</v>
          </cell>
          <cell r="N118" t="str">
            <v>COS</v>
          </cell>
          <cell r="O118">
            <v>35.207823960880198</v>
          </cell>
          <cell r="P118">
            <v>35.207823960880198</v>
          </cell>
        </row>
        <row r="119">
          <cell r="B119">
            <v>114</v>
          </cell>
          <cell r="D119" t="str">
            <v>C-MFN70ZPE13</v>
          </cell>
          <cell r="E119" t="str">
            <v>SPAC</v>
          </cell>
          <cell r="F119" t="str">
            <v>SAW</v>
          </cell>
          <cell r="G119">
            <v>29.454545454545453</v>
          </cell>
          <cell r="H119">
            <v>29.454545454545453</v>
          </cell>
          <cell r="J119">
            <v>114</v>
          </cell>
          <cell r="L119" t="str">
            <v>C-MFN70ZPE13</v>
          </cell>
          <cell r="M119" t="str">
            <v>SPAC</v>
          </cell>
          <cell r="N119" t="str">
            <v>COS</v>
          </cell>
          <cell r="O119">
            <v>35.207823960880198</v>
          </cell>
          <cell r="P119">
            <v>35.207823960880198</v>
          </cell>
        </row>
        <row r="120">
          <cell r="B120">
            <v>115</v>
          </cell>
          <cell r="D120" t="str">
            <v>C-MFN70ZPE15</v>
          </cell>
          <cell r="E120" t="str">
            <v>SPAC</v>
          </cell>
          <cell r="F120" t="str">
            <v>SAW</v>
          </cell>
          <cell r="G120">
            <v>29.827212681638045</v>
          </cell>
          <cell r="H120">
            <v>29.827212681638045</v>
          </cell>
          <cell r="J120">
            <v>115</v>
          </cell>
          <cell r="L120" t="str">
            <v>C-MFN70ZPE15</v>
          </cell>
          <cell r="M120" t="str">
            <v>SPAC</v>
          </cell>
          <cell r="N120" t="str">
            <v>COS</v>
          </cell>
          <cell r="O120">
            <v>35.207823960880198</v>
          </cell>
          <cell r="P120">
            <v>35.207823960880198</v>
          </cell>
        </row>
        <row r="121">
          <cell r="B121">
            <v>116</v>
          </cell>
          <cell r="D121" t="str">
            <v>C-MFN70LPE15</v>
          </cell>
          <cell r="E121" t="str">
            <v>SPAC</v>
          </cell>
          <cell r="F121" t="str">
            <v>SAW</v>
          </cell>
          <cell r="G121">
            <v>29.827212681638045</v>
          </cell>
          <cell r="H121">
            <v>29.827212681638045</v>
          </cell>
          <cell r="J121">
            <v>116</v>
          </cell>
          <cell r="L121" t="str">
            <v>C-MFN70LPE15</v>
          </cell>
          <cell r="M121" t="str">
            <v>SPAC</v>
          </cell>
          <cell r="N121" t="str">
            <v>COS</v>
          </cell>
          <cell r="O121">
            <v>35.207823960880198</v>
          </cell>
          <cell r="P121">
            <v>35.207823960880198</v>
          </cell>
        </row>
        <row r="122">
          <cell r="B122">
            <v>117</v>
          </cell>
          <cell r="D122" t="str">
            <v>C-MFN70ZLPE15</v>
          </cell>
          <cell r="E122" t="str">
            <v>SPAC</v>
          </cell>
          <cell r="F122" t="str">
            <v>SAW</v>
          </cell>
          <cell r="G122">
            <v>29.827212681638045</v>
          </cell>
          <cell r="H122">
            <v>29.827212681638045</v>
          </cell>
          <cell r="J122">
            <v>117</v>
          </cell>
          <cell r="L122" t="str">
            <v>C-MFN70ZLPE15</v>
          </cell>
          <cell r="M122" t="str">
            <v>SPAC</v>
          </cell>
          <cell r="N122" t="str">
            <v>COS</v>
          </cell>
          <cell r="O122">
            <v>37.572750662416958</v>
          </cell>
          <cell r="P122">
            <v>37.572750662416958</v>
          </cell>
        </row>
        <row r="123">
          <cell r="B123">
            <v>118</v>
          </cell>
          <cell r="D123" t="str">
            <v>C-MFN70ZZPE18</v>
          </cell>
          <cell r="E123" t="str">
            <v>SPAC</v>
          </cell>
          <cell r="F123" t="str">
            <v>SAW</v>
          </cell>
          <cell r="G123">
            <v>38.349273447820352</v>
          </cell>
          <cell r="H123">
            <v>38.349273447820352</v>
          </cell>
          <cell r="J123">
            <v>118</v>
          </cell>
          <cell r="L123" t="str">
            <v>C-MFN70ZZPE18</v>
          </cell>
          <cell r="M123" t="str">
            <v>SPAC</v>
          </cell>
          <cell r="N123" t="str">
            <v>COS</v>
          </cell>
          <cell r="O123">
            <v>44.282170423562839</v>
          </cell>
          <cell r="P123">
            <v>44.282170423562839</v>
          </cell>
        </row>
        <row r="124">
          <cell r="B124">
            <v>119</v>
          </cell>
          <cell r="D124" t="str">
            <v>C-MFNX120-7LPE15</v>
          </cell>
          <cell r="E124" t="str">
            <v>SPAC</v>
          </cell>
          <cell r="F124" t="str">
            <v>SAW</v>
          </cell>
          <cell r="G124">
            <v>36.916363636363634</v>
          </cell>
          <cell r="H124">
            <v>36.916363636363634</v>
          </cell>
          <cell r="J124">
            <v>119</v>
          </cell>
          <cell r="L124" t="str">
            <v>C-MFNX120-7LPE15</v>
          </cell>
          <cell r="M124" t="str">
            <v>SPAC</v>
          </cell>
          <cell r="N124" t="str">
            <v>COS</v>
          </cell>
          <cell r="O124">
            <v>37.572750662416958</v>
          </cell>
          <cell r="P124">
            <v>37.572750662416958</v>
          </cell>
        </row>
        <row r="125">
          <cell r="B125">
            <v>120</v>
          </cell>
          <cell r="D125" t="str">
            <v>C-MFNX120-7PE15</v>
          </cell>
          <cell r="E125" t="str">
            <v>SPAC</v>
          </cell>
          <cell r="F125" t="str">
            <v>SAW</v>
          </cell>
          <cell r="G125">
            <v>36.916363636363634</v>
          </cell>
          <cell r="H125">
            <v>36.916363636363634</v>
          </cell>
          <cell r="J125">
            <v>120</v>
          </cell>
          <cell r="L125" t="str">
            <v>C-MFNX120-7PE15</v>
          </cell>
          <cell r="M125" t="str">
            <v>SPAC</v>
          </cell>
          <cell r="N125" t="str">
            <v>COS</v>
          </cell>
          <cell r="O125">
            <v>37.572750662416958</v>
          </cell>
          <cell r="P125">
            <v>37.572750662416958</v>
          </cell>
        </row>
        <row r="126">
          <cell r="B126">
            <v>121</v>
          </cell>
          <cell r="D126" t="str">
            <v>C-MFNX120-7PE17</v>
          </cell>
          <cell r="E126" t="str">
            <v>SPAC</v>
          </cell>
          <cell r="F126" t="str">
            <v>SAW</v>
          </cell>
          <cell r="G126">
            <v>36.916363636363634</v>
          </cell>
          <cell r="H126">
            <v>36.916363636363634</v>
          </cell>
          <cell r="J126">
            <v>121</v>
          </cell>
          <cell r="L126" t="str">
            <v>C-MFNX120-7PE17</v>
          </cell>
          <cell r="M126" t="str">
            <v>SPAC</v>
          </cell>
          <cell r="N126" t="str">
            <v>COS</v>
          </cell>
          <cell r="O126">
            <v>42.045697169847543</v>
          </cell>
          <cell r="P126">
            <v>42.045697169847543</v>
          </cell>
        </row>
        <row r="127">
          <cell r="B127">
            <v>122</v>
          </cell>
          <cell r="D127" t="str">
            <v>C-MFNX120-7LPE17</v>
          </cell>
          <cell r="E127" t="str">
            <v>SPAC</v>
          </cell>
          <cell r="F127" t="str">
            <v>SAW</v>
          </cell>
          <cell r="G127">
            <v>36.916363636363634</v>
          </cell>
          <cell r="H127">
            <v>36.916363636363634</v>
          </cell>
          <cell r="J127">
            <v>122</v>
          </cell>
          <cell r="L127" t="str">
            <v>C-MFNX120-7LPE17</v>
          </cell>
          <cell r="M127" t="str">
            <v>SPAC</v>
          </cell>
          <cell r="N127" t="str">
            <v>COS</v>
          </cell>
          <cell r="O127">
            <v>42.045697169847543</v>
          </cell>
          <cell r="P127">
            <v>42.045697169847543</v>
          </cell>
        </row>
        <row r="128">
          <cell r="B128">
            <v>123</v>
          </cell>
          <cell r="D128" t="str">
            <v>C-MF105D31PE18</v>
          </cell>
          <cell r="E128" t="str">
            <v>SPAC</v>
          </cell>
          <cell r="F128" t="str">
            <v>SAW</v>
          </cell>
          <cell r="G128">
            <v>38.349273447820352</v>
          </cell>
          <cell r="H128">
            <v>38.349273447820352</v>
          </cell>
          <cell r="J128">
            <v>123</v>
          </cell>
          <cell r="L128" t="str">
            <v>C-MF105D31PE18</v>
          </cell>
          <cell r="M128" t="str">
            <v>SPAC</v>
          </cell>
          <cell r="N128" t="str">
            <v>COS</v>
          </cell>
          <cell r="O128">
            <v>44.282170423562839</v>
          </cell>
          <cell r="P128">
            <v>44.282170423562839</v>
          </cell>
        </row>
        <row r="129">
          <cell r="B129">
            <v>124</v>
          </cell>
          <cell r="D129" t="str">
            <v>C-MF105D31LPE18</v>
          </cell>
          <cell r="E129" t="str">
            <v>SPAC</v>
          </cell>
          <cell r="F129" t="str">
            <v>SAW</v>
          </cell>
          <cell r="G129">
            <v>38.349273447820352</v>
          </cell>
          <cell r="H129">
            <v>38.349273447820352</v>
          </cell>
          <cell r="J129">
            <v>124</v>
          </cell>
          <cell r="L129" t="str">
            <v>C-MF105D31LPE18</v>
          </cell>
          <cell r="M129" t="str">
            <v>SPAC</v>
          </cell>
          <cell r="N129" t="str">
            <v>COS</v>
          </cell>
          <cell r="O129">
            <v>44.282170423562839</v>
          </cell>
          <cell r="P129">
            <v>44.282170423562839</v>
          </cell>
        </row>
        <row r="130">
          <cell r="B130">
            <v>125</v>
          </cell>
          <cell r="D130" t="str">
            <v>C-MF115D31PE19</v>
          </cell>
          <cell r="F130" t="str">
            <v>SAW</v>
          </cell>
          <cell r="G130">
            <v>38.35</v>
          </cell>
          <cell r="H130">
            <v>38.35</v>
          </cell>
          <cell r="J130">
            <v>125</v>
          </cell>
          <cell r="L130" t="str">
            <v>C-MF115D31PE19</v>
          </cell>
          <cell r="N130" t="str">
            <v>COS</v>
          </cell>
          <cell r="O130">
            <v>44.28</v>
          </cell>
          <cell r="P130">
            <v>44.28</v>
          </cell>
        </row>
        <row r="131">
          <cell r="B131">
            <v>126</v>
          </cell>
          <cell r="C131" t="str">
            <v>DIN</v>
          </cell>
          <cell r="D131" t="str">
            <v>C-MF58827PE16</v>
          </cell>
          <cell r="E131" t="str">
            <v>SPAC</v>
          </cell>
          <cell r="F131" t="str">
            <v>SAW</v>
          </cell>
          <cell r="G131">
            <v>36.92</v>
          </cell>
          <cell r="H131">
            <v>36.92</v>
          </cell>
          <cell r="J131">
            <v>126</v>
          </cell>
          <cell r="K131" t="str">
            <v>DIN</v>
          </cell>
          <cell r="L131" t="str">
            <v>C-MF58827PE16</v>
          </cell>
          <cell r="M131" t="str">
            <v>SPAC</v>
          </cell>
          <cell r="N131" t="str">
            <v>COS</v>
          </cell>
          <cell r="O131">
            <v>42.05</v>
          </cell>
          <cell r="P131">
            <v>42.05</v>
          </cell>
        </row>
        <row r="132">
          <cell r="B132">
            <v>127</v>
          </cell>
          <cell r="D132" t="str">
            <v>C-MF58827PE18</v>
          </cell>
          <cell r="E132" t="str">
            <v>SPAC</v>
          </cell>
          <cell r="F132" t="str">
            <v>SAW</v>
          </cell>
          <cell r="G132">
            <v>38.35</v>
          </cell>
          <cell r="H132">
            <v>38.35</v>
          </cell>
          <cell r="J132">
            <v>127</v>
          </cell>
          <cell r="L132" t="str">
            <v>C-MF58827PE18</v>
          </cell>
          <cell r="M132" t="str">
            <v>SPAC</v>
          </cell>
          <cell r="N132" t="str">
            <v>COS</v>
          </cell>
          <cell r="O132">
            <v>44.28</v>
          </cell>
          <cell r="P132">
            <v>44.28</v>
          </cell>
        </row>
        <row r="133">
          <cell r="B133">
            <v>128</v>
          </cell>
          <cell r="D133" t="str">
            <v>C-MF60038PE18</v>
          </cell>
          <cell r="E133" t="str">
            <v>SPAC</v>
          </cell>
          <cell r="F133" t="str">
            <v>SAW</v>
          </cell>
          <cell r="G133">
            <v>38.35</v>
          </cell>
          <cell r="H133">
            <v>38.35</v>
          </cell>
          <cell r="J133">
            <v>128</v>
          </cell>
          <cell r="L133" t="str">
            <v>C-MF60038PE18</v>
          </cell>
          <cell r="M133" t="str">
            <v>SPAC</v>
          </cell>
          <cell r="N133" t="str">
            <v>COS</v>
          </cell>
          <cell r="O133">
            <v>44.28</v>
          </cell>
          <cell r="P133">
            <v>44.28</v>
          </cell>
        </row>
        <row r="134">
          <cell r="B134">
            <v>129</v>
          </cell>
          <cell r="D134" t="str">
            <v>C-MF60038PE20</v>
          </cell>
          <cell r="F134" t="str">
            <v>SAW</v>
          </cell>
          <cell r="G134">
            <v>39.15</v>
          </cell>
          <cell r="H134">
            <v>39.15</v>
          </cell>
          <cell r="J134">
            <v>129</v>
          </cell>
          <cell r="L134" t="str">
            <v>C-MF60038PE20</v>
          </cell>
          <cell r="N134" t="str">
            <v>COS</v>
          </cell>
          <cell r="O134">
            <v>45.18</v>
          </cell>
          <cell r="P134">
            <v>45.18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BSENSI"/>
      <sheetName val="Jam Kerja AMB"/>
      <sheetName val="Pemakaian dan Reject"/>
      <sheetName val="MCP"/>
      <sheetName val="Total Reject Finishing"/>
      <sheetName val="SAW"/>
      <sheetName val="hambatan "/>
      <sheetName val="grafik Finishing"/>
      <sheetName val="Grafik SAW"/>
      <sheetName val="burningvsfinish"/>
      <sheetName val="PCS PER MH"/>
      <sheetName val="STANDAR KRYWN"/>
      <sheetName val="JKS"/>
      <sheetName val="Sheet1"/>
      <sheetName val="12.desember"/>
    </sheetNames>
    <sheetDataSet>
      <sheetData sheetId="0">
        <row r="2">
          <cell r="A2" t="str">
            <v>105D3118</v>
          </cell>
          <cell r="B2" t="str">
            <v>105D31PE18</v>
          </cell>
          <cell r="C2" t="str">
            <v>105D31</v>
          </cell>
          <cell r="D2">
            <v>9</v>
          </cell>
          <cell r="E2">
            <v>9</v>
          </cell>
          <cell r="F2">
            <v>18</v>
          </cell>
          <cell r="G2">
            <v>6</v>
          </cell>
          <cell r="H2" t="str">
            <v>CG85</v>
          </cell>
          <cell r="I2" t="str">
            <v>CG87</v>
          </cell>
          <cell r="J2" t="str">
            <v>PE</v>
          </cell>
          <cell r="K2">
            <v>0</v>
          </cell>
          <cell r="L2">
            <v>0</v>
          </cell>
          <cell r="M2" t="str">
            <v>C5B R/L</v>
          </cell>
          <cell r="N2" t="str">
            <v>P7T</v>
          </cell>
          <cell r="O2">
            <v>0</v>
          </cell>
        </row>
        <row r="3">
          <cell r="A3" t="str">
            <v>12N249</v>
          </cell>
          <cell r="B3" t="str">
            <v>12N24PE9</v>
          </cell>
          <cell r="C3" t="str">
            <v>12N24</v>
          </cell>
          <cell r="D3">
            <v>4</v>
          </cell>
          <cell r="E3">
            <v>5</v>
          </cell>
          <cell r="F3">
            <v>9</v>
          </cell>
          <cell r="G3">
            <v>6</v>
          </cell>
          <cell r="H3" t="str">
            <v>YL80</v>
          </cell>
          <cell r="I3" t="str">
            <v>YL84</v>
          </cell>
          <cell r="J3" t="str">
            <v>PE</v>
          </cell>
          <cell r="L3">
            <v>0</v>
          </cell>
          <cell r="M3" t="str">
            <v>C4A R/L</v>
          </cell>
          <cell r="N3" t="str">
            <v>P6560</v>
          </cell>
          <cell r="O3">
            <v>4.9000000000000004</v>
          </cell>
        </row>
        <row r="4">
          <cell r="A4" t="str">
            <v>12N2439</v>
          </cell>
          <cell r="B4" t="str">
            <v>12N243PE9</v>
          </cell>
          <cell r="C4" t="str">
            <v>12N243</v>
          </cell>
          <cell r="D4">
            <v>4</v>
          </cell>
          <cell r="E4">
            <v>5</v>
          </cell>
          <cell r="F4">
            <v>9</v>
          </cell>
          <cell r="G4">
            <v>6</v>
          </cell>
          <cell r="H4" t="str">
            <v>YL80</v>
          </cell>
          <cell r="I4" t="str">
            <v>YL84</v>
          </cell>
          <cell r="J4" t="str">
            <v>PE</v>
          </cell>
          <cell r="K4">
            <v>0</v>
          </cell>
          <cell r="L4">
            <v>0</v>
          </cell>
          <cell r="M4" t="str">
            <v>C4A R/L</v>
          </cell>
          <cell r="N4" t="str">
            <v>P6560</v>
          </cell>
          <cell r="O4">
            <v>4.9000000000000004</v>
          </cell>
        </row>
        <row r="5">
          <cell r="A5" t="str">
            <v>165G5131</v>
          </cell>
          <cell r="B5" t="str">
            <v>165G51PE31</v>
          </cell>
          <cell r="C5" t="str">
            <v>165G51</v>
          </cell>
          <cell r="D5">
            <v>15</v>
          </cell>
          <cell r="E5">
            <v>16</v>
          </cell>
          <cell r="F5">
            <v>31</v>
          </cell>
          <cell r="G5">
            <v>6</v>
          </cell>
          <cell r="H5" t="str">
            <v>CG82</v>
          </cell>
          <cell r="I5" t="str">
            <v>CG87</v>
          </cell>
          <cell r="J5" t="str">
            <v>PE</v>
          </cell>
          <cell r="K5">
            <v>0</v>
          </cell>
          <cell r="L5">
            <v>0</v>
          </cell>
          <cell r="M5" t="str">
            <v>C15G2R/L</v>
          </cell>
          <cell r="N5" t="str">
            <v>P1683</v>
          </cell>
          <cell r="O5">
            <v>0</v>
          </cell>
        </row>
        <row r="6">
          <cell r="A6" t="str">
            <v>544-599</v>
          </cell>
          <cell r="B6" t="str">
            <v>544-59PE9</v>
          </cell>
          <cell r="C6" t="str">
            <v>544-59</v>
          </cell>
          <cell r="D6">
            <v>4</v>
          </cell>
          <cell r="E6">
            <v>5</v>
          </cell>
          <cell r="F6">
            <v>9</v>
          </cell>
          <cell r="G6">
            <v>6</v>
          </cell>
          <cell r="H6" t="str">
            <v>CG82</v>
          </cell>
          <cell r="I6" t="str">
            <v>CG87</v>
          </cell>
          <cell r="J6" t="str">
            <v>PE</v>
          </cell>
          <cell r="K6">
            <v>0</v>
          </cell>
          <cell r="L6">
            <v>0</v>
          </cell>
          <cell r="M6" t="str">
            <v>C8R/L</v>
          </cell>
          <cell r="N6" t="str">
            <v>P8</v>
          </cell>
          <cell r="O6">
            <v>7.6</v>
          </cell>
        </row>
        <row r="7">
          <cell r="A7" t="str">
            <v>544-649</v>
          </cell>
          <cell r="B7" t="str">
            <v>544-64PE9</v>
          </cell>
          <cell r="C7" t="str">
            <v>544-64</v>
          </cell>
          <cell r="D7">
            <v>4</v>
          </cell>
          <cell r="E7">
            <v>5</v>
          </cell>
          <cell r="F7">
            <v>9</v>
          </cell>
          <cell r="G7">
            <v>6</v>
          </cell>
          <cell r="H7" t="str">
            <v>CG82</v>
          </cell>
          <cell r="I7" t="str">
            <v>CG87</v>
          </cell>
          <cell r="J7" t="str">
            <v>PE</v>
          </cell>
          <cell r="K7">
            <v>0</v>
          </cell>
          <cell r="L7">
            <v>0</v>
          </cell>
          <cell r="M7" t="str">
            <v>C8R/L</v>
          </cell>
          <cell r="N7" t="str">
            <v>P8</v>
          </cell>
          <cell r="O7">
            <v>7.6</v>
          </cell>
        </row>
        <row r="8">
          <cell r="A8" t="str">
            <v>545-1911</v>
          </cell>
          <cell r="B8" t="str">
            <v>545-19PE11</v>
          </cell>
          <cell r="C8" t="str">
            <v>545-19</v>
          </cell>
          <cell r="D8">
            <v>5</v>
          </cell>
          <cell r="E8">
            <v>6</v>
          </cell>
          <cell r="F8">
            <v>11</v>
          </cell>
          <cell r="G8">
            <v>6</v>
          </cell>
          <cell r="H8" t="str">
            <v>CR82</v>
          </cell>
          <cell r="I8" t="str">
            <v>CR87</v>
          </cell>
          <cell r="J8" t="str">
            <v>PE</v>
          </cell>
          <cell r="K8">
            <v>0</v>
          </cell>
          <cell r="L8">
            <v>0</v>
          </cell>
          <cell r="M8" t="str">
            <v>C8R/L</v>
          </cell>
          <cell r="N8" t="str">
            <v>P1059</v>
          </cell>
          <cell r="O8">
            <v>7.5</v>
          </cell>
        </row>
        <row r="9">
          <cell r="A9" t="str">
            <v>555-3011</v>
          </cell>
          <cell r="B9" t="str">
            <v>555-30PE11</v>
          </cell>
          <cell r="C9" t="str">
            <v>555-30</v>
          </cell>
          <cell r="D9">
            <v>5</v>
          </cell>
          <cell r="E9">
            <v>6</v>
          </cell>
          <cell r="F9">
            <v>11</v>
          </cell>
          <cell r="G9">
            <v>6</v>
          </cell>
          <cell r="H9" t="str">
            <v>CG82</v>
          </cell>
          <cell r="I9" t="str">
            <v>CG87</v>
          </cell>
          <cell r="J9" t="str">
            <v>PE</v>
          </cell>
          <cell r="K9">
            <v>0</v>
          </cell>
          <cell r="L9">
            <v>0</v>
          </cell>
          <cell r="M9" t="str">
            <v>C8R/L</v>
          </cell>
          <cell r="N9" t="str">
            <v>P8</v>
          </cell>
          <cell r="O9">
            <v>9</v>
          </cell>
        </row>
        <row r="10">
          <cell r="A10" t="str">
            <v>555-599</v>
          </cell>
          <cell r="B10" t="str">
            <v>555-59PE9</v>
          </cell>
          <cell r="C10" t="str">
            <v>555-59</v>
          </cell>
          <cell r="D10">
            <v>4</v>
          </cell>
          <cell r="E10">
            <v>5</v>
          </cell>
          <cell r="F10">
            <v>9</v>
          </cell>
          <cell r="G10">
            <v>6</v>
          </cell>
          <cell r="H10" t="str">
            <v>CG82</v>
          </cell>
          <cell r="I10" t="str">
            <v>CG87</v>
          </cell>
          <cell r="J10" t="str">
            <v>PE</v>
          </cell>
          <cell r="K10">
            <v>0</v>
          </cell>
          <cell r="L10">
            <v>0</v>
          </cell>
          <cell r="M10" t="str">
            <v>C8R/L</v>
          </cell>
          <cell r="N10" t="str">
            <v>P8</v>
          </cell>
          <cell r="O10">
            <v>9.1</v>
          </cell>
        </row>
        <row r="11">
          <cell r="A11" t="str">
            <v>555-5911</v>
          </cell>
          <cell r="B11" t="str">
            <v>555-59PE11</v>
          </cell>
          <cell r="C11" t="str">
            <v>555-59</v>
          </cell>
          <cell r="D11">
            <v>5</v>
          </cell>
          <cell r="E11">
            <v>6</v>
          </cell>
          <cell r="F11">
            <v>11</v>
          </cell>
          <cell r="G11">
            <v>6</v>
          </cell>
          <cell r="H11" t="str">
            <v>CG80</v>
          </cell>
          <cell r="I11" t="str">
            <v>CG85</v>
          </cell>
          <cell r="J11" t="str">
            <v>PE</v>
          </cell>
          <cell r="K11">
            <v>0</v>
          </cell>
          <cell r="L11">
            <v>0</v>
          </cell>
          <cell r="M11" t="str">
            <v>C8R/L</v>
          </cell>
          <cell r="N11" t="str">
            <v>P8</v>
          </cell>
          <cell r="O11">
            <v>9.1</v>
          </cell>
        </row>
        <row r="12">
          <cell r="A12" t="str">
            <v>555-5912</v>
          </cell>
          <cell r="B12" t="str">
            <v>555-59PE12</v>
          </cell>
          <cell r="C12" t="str">
            <v>555-59</v>
          </cell>
          <cell r="D12">
            <v>6</v>
          </cell>
          <cell r="E12">
            <v>6</v>
          </cell>
          <cell r="F12">
            <v>12</v>
          </cell>
          <cell r="G12">
            <v>6</v>
          </cell>
          <cell r="H12" t="str">
            <v>CG80</v>
          </cell>
          <cell r="I12" t="str">
            <v>CG85</v>
          </cell>
          <cell r="J12" t="str">
            <v>PE</v>
          </cell>
          <cell r="K12">
            <v>0</v>
          </cell>
          <cell r="L12">
            <v>0</v>
          </cell>
          <cell r="M12" t="str">
            <v>C8R/L</v>
          </cell>
          <cell r="N12" t="str">
            <v>P8</v>
          </cell>
          <cell r="O12">
            <v>9.1</v>
          </cell>
        </row>
        <row r="13">
          <cell r="A13" t="str">
            <v>555-6512</v>
          </cell>
          <cell r="B13" t="str">
            <v>555-65PE12</v>
          </cell>
          <cell r="C13" t="str">
            <v>555-65</v>
          </cell>
          <cell r="D13">
            <v>6</v>
          </cell>
          <cell r="E13">
            <v>6</v>
          </cell>
          <cell r="F13">
            <v>12</v>
          </cell>
          <cell r="G13">
            <v>6</v>
          </cell>
          <cell r="H13" t="str">
            <v>CG80</v>
          </cell>
          <cell r="I13" t="str">
            <v>CG85</v>
          </cell>
          <cell r="J13" t="str">
            <v>PE</v>
          </cell>
          <cell r="K13">
            <v>0</v>
          </cell>
          <cell r="L13">
            <v>0</v>
          </cell>
          <cell r="M13" t="str">
            <v>C8R/L</v>
          </cell>
          <cell r="N13" t="str">
            <v>P8</v>
          </cell>
          <cell r="O13">
            <v>9.1</v>
          </cell>
        </row>
        <row r="14">
          <cell r="A14" t="str">
            <v>555-6511</v>
          </cell>
          <cell r="B14" t="str">
            <v>555-65PE11</v>
          </cell>
          <cell r="C14" t="str">
            <v>555-65</v>
          </cell>
          <cell r="D14">
            <v>5</v>
          </cell>
          <cell r="E14">
            <v>6</v>
          </cell>
          <cell r="F14">
            <v>11</v>
          </cell>
          <cell r="G14">
            <v>6</v>
          </cell>
          <cell r="H14" t="str">
            <v>CG82</v>
          </cell>
          <cell r="I14" t="str">
            <v>CG87</v>
          </cell>
          <cell r="J14" t="str">
            <v>PE</v>
          </cell>
          <cell r="K14">
            <v>0</v>
          </cell>
          <cell r="L14">
            <v>0</v>
          </cell>
          <cell r="M14" t="str">
            <v>C8R/L</v>
          </cell>
          <cell r="N14" t="str">
            <v>P8</v>
          </cell>
          <cell r="O14">
            <v>9.1</v>
          </cell>
        </row>
        <row r="15">
          <cell r="A15" t="str">
            <v>555-659</v>
          </cell>
          <cell r="B15" t="str">
            <v>555-65PE9</v>
          </cell>
          <cell r="C15" t="str">
            <v>555-65</v>
          </cell>
          <cell r="D15">
            <v>4</v>
          </cell>
          <cell r="E15">
            <v>5</v>
          </cell>
          <cell r="F15">
            <v>9</v>
          </cell>
          <cell r="G15">
            <v>6</v>
          </cell>
          <cell r="H15" t="str">
            <v>CG82</v>
          </cell>
          <cell r="I15" t="str">
            <v>CG87</v>
          </cell>
          <cell r="J15" t="str">
            <v>PE</v>
          </cell>
          <cell r="K15">
            <v>0</v>
          </cell>
          <cell r="L15">
            <v>0</v>
          </cell>
          <cell r="M15" t="str">
            <v>C8R/L</v>
          </cell>
          <cell r="N15" t="str">
            <v>P8</v>
          </cell>
          <cell r="O15">
            <v>9.1</v>
          </cell>
        </row>
        <row r="16">
          <cell r="A16" t="str">
            <v>55D23L11</v>
          </cell>
          <cell r="B16" t="str">
            <v>55D23LPULP11</v>
          </cell>
          <cell r="C16" t="str">
            <v>55D23L</v>
          </cell>
          <cell r="D16">
            <v>5</v>
          </cell>
          <cell r="E16">
            <v>6</v>
          </cell>
          <cell r="F16">
            <v>11</v>
          </cell>
          <cell r="G16">
            <v>6</v>
          </cell>
          <cell r="H16" t="str">
            <v>CG80</v>
          </cell>
          <cell r="I16" t="str">
            <v>CG85</v>
          </cell>
          <cell r="J16" t="str">
            <v>PULP</v>
          </cell>
          <cell r="K16">
            <v>0</v>
          </cell>
          <cell r="L16">
            <v>0</v>
          </cell>
          <cell r="M16" t="str">
            <v>C8R/L</v>
          </cell>
          <cell r="N16" t="str">
            <v>P7T</v>
          </cell>
          <cell r="O16">
            <v>10</v>
          </cell>
        </row>
        <row r="17">
          <cell r="A17" t="str">
            <v>55D23L12</v>
          </cell>
          <cell r="B17" t="str">
            <v>55D23LPULP12</v>
          </cell>
          <cell r="C17" t="str">
            <v>55D23L</v>
          </cell>
          <cell r="D17">
            <v>6</v>
          </cell>
          <cell r="E17">
            <v>6</v>
          </cell>
          <cell r="F17">
            <v>12</v>
          </cell>
          <cell r="G17">
            <v>6</v>
          </cell>
          <cell r="H17" t="str">
            <v>CG80</v>
          </cell>
          <cell r="I17" t="str">
            <v>CG85</v>
          </cell>
          <cell r="J17" t="str">
            <v>PULP</v>
          </cell>
          <cell r="K17">
            <v>0</v>
          </cell>
          <cell r="L17">
            <v>0</v>
          </cell>
          <cell r="M17" t="str">
            <v>C8R/L</v>
          </cell>
          <cell r="N17" t="str">
            <v>P7T</v>
          </cell>
          <cell r="O17">
            <v>10</v>
          </cell>
        </row>
        <row r="18">
          <cell r="A18" t="str">
            <v>55D23R12</v>
          </cell>
          <cell r="B18" t="str">
            <v>55D23RPULP12</v>
          </cell>
          <cell r="C18" t="str">
            <v>55D23R</v>
          </cell>
          <cell r="D18">
            <v>6</v>
          </cell>
          <cell r="E18">
            <v>6</v>
          </cell>
          <cell r="F18">
            <v>12</v>
          </cell>
          <cell r="G18">
            <v>6</v>
          </cell>
          <cell r="H18" t="str">
            <v>CG80</v>
          </cell>
          <cell r="I18" t="str">
            <v>CG85</v>
          </cell>
          <cell r="J18" t="str">
            <v>PULP</v>
          </cell>
          <cell r="K18">
            <v>0</v>
          </cell>
          <cell r="L18">
            <v>0</v>
          </cell>
          <cell r="M18" t="str">
            <v>C8R/L</v>
          </cell>
          <cell r="N18" t="str">
            <v>P7T</v>
          </cell>
          <cell r="O18">
            <v>10</v>
          </cell>
        </row>
        <row r="19">
          <cell r="A19" t="str">
            <v>55D23R11</v>
          </cell>
          <cell r="B19" t="str">
            <v>55D23RPULP11</v>
          </cell>
          <cell r="C19" t="str">
            <v>55D23R</v>
          </cell>
          <cell r="D19">
            <v>5</v>
          </cell>
          <cell r="E19">
            <v>6</v>
          </cell>
          <cell r="F19">
            <v>11</v>
          </cell>
          <cell r="G19">
            <v>6</v>
          </cell>
          <cell r="H19" t="str">
            <v>CG80</v>
          </cell>
          <cell r="I19" t="str">
            <v>CG85</v>
          </cell>
          <cell r="J19" t="str">
            <v>PULP</v>
          </cell>
          <cell r="K19">
            <v>0</v>
          </cell>
          <cell r="L19">
            <v>0</v>
          </cell>
          <cell r="M19" t="str">
            <v>C8R/L</v>
          </cell>
          <cell r="N19" t="str">
            <v>P7T</v>
          </cell>
          <cell r="O19">
            <v>10</v>
          </cell>
        </row>
        <row r="20">
          <cell r="A20" t="str">
            <v>560-4811</v>
          </cell>
          <cell r="B20" t="str">
            <v>560-48PE11</v>
          </cell>
          <cell r="C20" t="str">
            <v>560-48</v>
          </cell>
          <cell r="D20">
            <v>5</v>
          </cell>
          <cell r="E20">
            <v>6</v>
          </cell>
          <cell r="F20">
            <v>11</v>
          </cell>
          <cell r="G20">
            <v>6</v>
          </cell>
          <cell r="H20" t="str">
            <v>CG83</v>
          </cell>
          <cell r="I20" t="str">
            <v>CG88</v>
          </cell>
          <cell r="J20" t="str">
            <v>PE</v>
          </cell>
          <cell r="K20">
            <v>0</v>
          </cell>
          <cell r="L20">
            <v>0</v>
          </cell>
          <cell r="M20" t="str">
            <v>C8R/L</v>
          </cell>
          <cell r="N20" t="str">
            <v>P9</v>
          </cell>
          <cell r="O20">
            <v>9.6999999999999993</v>
          </cell>
        </row>
        <row r="21">
          <cell r="A21" t="str">
            <v>566-3313</v>
          </cell>
          <cell r="B21" t="str">
            <v>566-33PE13</v>
          </cell>
          <cell r="C21" t="str">
            <v>566-33</v>
          </cell>
          <cell r="D21">
            <v>6</v>
          </cell>
          <cell r="E21">
            <v>7</v>
          </cell>
          <cell r="F21">
            <v>13</v>
          </cell>
          <cell r="G21">
            <v>6</v>
          </cell>
          <cell r="H21" t="str">
            <v>CG82</v>
          </cell>
          <cell r="I21" t="str">
            <v>CG87</v>
          </cell>
          <cell r="J21" t="str">
            <v>PE</v>
          </cell>
          <cell r="K21">
            <v>0</v>
          </cell>
          <cell r="L21">
            <v>0</v>
          </cell>
          <cell r="M21" t="str">
            <v>C8R/L</v>
          </cell>
          <cell r="N21" t="str">
            <v>P8</v>
          </cell>
          <cell r="O21">
            <v>10.4</v>
          </cell>
        </row>
        <row r="22">
          <cell r="A22" t="str">
            <v>566-3811</v>
          </cell>
          <cell r="B22" t="str">
            <v>566-38PE11</v>
          </cell>
          <cell r="C22" t="str">
            <v>566-38</v>
          </cell>
          <cell r="D22">
            <v>5</v>
          </cell>
          <cell r="E22">
            <v>6</v>
          </cell>
          <cell r="F22">
            <v>11</v>
          </cell>
          <cell r="G22">
            <v>6</v>
          </cell>
          <cell r="H22" t="str">
            <v>CG82</v>
          </cell>
          <cell r="I22" t="str">
            <v>CG87</v>
          </cell>
          <cell r="J22" t="str">
            <v>PE</v>
          </cell>
          <cell r="K22">
            <v>0</v>
          </cell>
          <cell r="L22">
            <v>0</v>
          </cell>
          <cell r="M22" t="str">
            <v>C8R/L</v>
          </cell>
          <cell r="N22" t="str">
            <v>P8</v>
          </cell>
          <cell r="O22">
            <v>10.4</v>
          </cell>
        </row>
        <row r="23">
          <cell r="A23" t="str">
            <v>566-3813</v>
          </cell>
          <cell r="B23" t="str">
            <v>566-38PE13</v>
          </cell>
          <cell r="C23" t="str">
            <v>566-38</v>
          </cell>
          <cell r="D23">
            <v>6</v>
          </cell>
          <cell r="E23">
            <v>7</v>
          </cell>
          <cell r="F23">
            <v>13</v>
          </cell>
          <cell r="G23">
            <v>6</v>
          </cell>
          <cell r="H23" t="str">
            <v>CG82</v>
          </cell>
          <cell r="I23" t="str">
            <v>CG87</v>
          </cell>
          <cell r="J23" t="str">
            <v>PE</v>
          </cell>
          <cell r="K23">
            <v>0</v>
          </cell>
          <cell r="L23">
            <v>0</v>
          </cell>
          <cell r="M23" t="str">
            <v>C8R/L</v>
          </cell>
          <cell r="N23" t="str">
            <v>P8</v>
          </cell>
          <cell r="O23">
            <v>10.4</v>
          </cell>
        </row>
        <row r="24">
          <cell r="A24" t="str">
            <v>574-1215</v>
          </cell>
          <cell r="B24" t="str">
            <v>574-12PE15</v>
          </cell>
          <cell r="C24" t="str">
            <v>574-12</v>
          </cell>
          <cell r="D24">
            <v>7</v>
          </cell>
          <cell r="E24">
            <v>8</v>
          </cell>
          <cell r="F24">
            <v>15</v>
          </cell>
          <cell r="G24">
            <v>6</v>
          </cell>
          <cell r="H24" t="str">
            <v>CG82</v>
          </cell>
          <cell r="I24" t="str">
            <v>CG87</v>
          </cell>
          <cell r="J24" t="str">
            <v>PE</v>
          </cell>
          <cell r="K24">
            <v>0</v>
          </cell>
          <cell r="L24">
            <v>0</v>
          </cell>
          <cell r="M24" t="str">
            <v>C8R/L</v>
          </cell>
          <cell r="N24" t="str">
            <v>P7A</v>
          </cell>
          <cell r="O24">
            <v>11</v>
          </cell>
        </row>
        <row r="25">
          <cell r="A25" t="str">
            <v>570-2913</v>
          </cell>
          <cell r="B25" t="str">
            <v>570-29PE13</v>
          </cell>
          <cell r="C25" t="str">
            <v>570-29</v>
          </cell>
          <cell r="D25">
            <v>6</v>
          </cell>
          <cell r="E25">
            <v>7</v>
          </cell>
          <cell r="F25">
            <v>13</v>
          </cell>
          <cell r="G25">
            <v>6</v>
          </cell>
          <cell r="H25" t="str">
            <v>CG82</v>
          </cell>
          <cell r="I25" t="str">
            <v>CG87</v>
          </cell>
          <cell r="J25" t="str">
            <v>PE</v>
          </cell>
          <cell r="K25">
            <v>0</v>
          </cell>
          <cell r="L25">
            <v>0</v>
          </cell>
          <cell r="M25" t="str">
            <v>C8R/L</v>
          </cell>
          <cell r="N25" t="str">
            <v>P7A</v>
          </cell>
          <cell r="O25">
            <v>11</v>
          </cell>
        </row>
        <row r="26">
          <cell r="A26" t="str">
            <v>580-2415</v>
          </cell>
          <cell r="B26" t="str">
            <v>580-24PE15</v>
          </cell>
          <cell r="C26" t="str">
            <v>580-24</v>
          </cell>
          <cell r="D26">
            <v>7</v>
          </cell>
          <cell r="E26">
            <v>8</v>
          </cell>
          <cell r="F26">
            <v>15</v>
          </cell>
          <cell r="G26">
            <v>6</v>
          </cell>
          <cell r="H26" t="str">
            <v>CG80</v>
          </cell>
          <cell r="I26" t="str">
            <v>CG87</v>
          </cell>
          <cell r="J26" t="str">
            <v>PE</v>
          </cell>
          <cell r="K26">
            <v>0</v>
          </cell>
          <cell r="L26">
            <v>0</v>
          </cell>
          <cell r="M26" t="str">
            <v>C8R/L</v>
          </cell>
          <cell r="N26" t="str">
            <v>P8</v>
          </cell>
          <cell r="O26">
            <v>12.3</v>
          </cell>
        </row>
        <row r="27">
          <cell r="A27" t="str">
            <v>588-2717</v>
          </cell>
          <cell r="B27" t="str">
            <v>588-27PE17</v>
          </cell>
          <cell r="C27" t="str">
            <v>588-27</v>
          </cell>
          <cell r="D27">
            <v>8</v>
          </cell>
          <cell r="E27">
            <v>9</v>
          </cell>
          <cell r="F27">
            <v>17</v>
          </cell>
          <cell r="G27">
            <v>6</v>
          </cell>
          <cell r="H27" t="str">
            <v>CG82</v>
          </cell>
          <cell r="I27" t="str">
            <v>CG87</v>
          </cell>
          <cell r="J27" t="str">
            <v>PE</v>
          </cell>
          <cell r="K27">
            <v>0</v>
          </cell>
          <cell r="L27">
            <v>0</v>
          </cell>
          <cell r="M27" t="str">
            <v>C8R/L</v>
          </cell>
          <cell r="N27" t="str">
            <v>P8</v>
          </cell>
          <cell r="O27">
            <v>13.3</v>
          </cell>
        </row>
        <row r="28">
          <cell r="A28" t="str">
            <v>588-2715</v>
          </cell>
          <cell r="B28" t="str">
            <v>588-27PE15</v>
          </cell>
          <cell r="C28" t="str">
            <v>588-27</v>
          </cell>
          <cell r="D28">
            <v>7</v>
          </cell>
          <cell r="E28">
            <v>8</v>
          </cell>
          <cell r="F28">
            <v>15</v>
          </cell>
          <cell r="G28">
            <v>6</v>
          </cell>
          <cell r="H28" t="str">
            <v>CG82</v>
          </cell>
          <cell r="I28" t="str">
            <v>CG87</v>
          </cell>
          <cell r="J28" t="str">
            <v>PE</v>
          </cell>
          <cell r="K28">
            <v>0</v>
          </cell>
          <cell r="L28">
            <v>0</v>
          </cell>
          <cell r="M28" t="str">
            <v>C8R/L</v>
          </cell>
          <cell r="N28" t="str">
            <v>P8</v>
          </cell>
          <cell r="O28">
            <v>13.3</v>
          </cell>
        </row>
        <row r="29">
          <cell r="A29" t="str">
            <v>600-3821</v>
          </cell>
          <cell r="B29" t="str">
            <v>600-38PE21</v>
          </cell>
          <cell r="C29" t="str">
            <v>600-38</v>
          </cell>
          <cell r="D29">
            <v>10</v>
          </cell>
          <cell r="E29">
            <v>11</v>
          </cell>
          <cell r="F29">
            <v>21</v>
          </cell>
          <cell r="G29">
            <v>6</v>
          </cell>
          <cell r="H29" t="str">
            <v>CG82</v>
          </cell>
          <cell r="I29" t="str">
            <v>CG87</v>
          </cell>
          <cell r="J29" t="str">
            <v>PE</v>
          </cell>
          <cell r="K29">
            <v>0</v>
          </cell>
          <cell r="L29">
            <v>0</v>
          </cell>
          <cell r="M29" t="str">
            <v>C8R/L</v>
          </cell>
          <cell r="N29" t="str">
            <v>P8</v>
          </cell>
          <cell r="O29">
            <v>15.7</v>
          </cell>
        </row>
        <row r="30">
          <cell r="A30" t="str">
            <v>6D13517</v>
          </cell>
          <cell r="B30" t="str">
            <v>6D135PE17</v>
          </cell>
          <cell r="C30" t="str">
            <v>6D135</v>
          </cell>
          <cell r="D30">
            <v>8</v>
          </cell>
          <cell r="E30">
            <v>9</v>
          </cell>
          <cell r="F30">
            <v>17</v>
          </cell>
          <cell r="G30">
            <v>3</v>
          </cell>
          <cell r="H30" t="str">
            <v>DF72</v>
          </cell>
          <cell r="I30" t="str">
            <v>DF78</v>
          </cell>
          <cell r="J30" t="str">
            <v>PE</v>
          </cell>
          <cell r="K30">
            <v>0</v>
          </cell>
          <cell r="L30">
            <v>0</v>
          </cell>
          <cell r="M30" t="str">
            <v>C12G2R/L</v>
          </cell>
          <cell r="N30" t="str">
            <v>P1350</v>
          </cell>
          <cell r="O30">
            <v>0</v>
          </cell>
        </row>
        <row r="31">
          <cell r="A31" t="str">
            <v>6D13519</v>
          </cell>
          <cell r="B31" t="str">
            <v>6D135PE19</v>
          </cell>
          <cell r="C31" t="str">
            <v>6D135</v>
          </cell>
          <cell r="D31">
            <v>9</v>
          </cell>
          <cell r="E31">
            <v>10</v>
          </cell>
          <cell r="F31">
            <v>19</v>
          </cell>
          <cell r="G31">
            <v>3</v>
          </cell>
          <cell r="H31" t="str">
            <v>DF72</v>
          </cell>
          <cell r="I31" t="str">
            <v>DF78</v>
          </cell>
          <cell r="J31" t="str">
            <v>PE</v>
          </cell>
          <cell r="K31">
            <v>0</v>
          </cell>
          <cell r="L31">
            <v>0</v>
          </cell>
          <cell r="M31" t="str">
            <v>C12G2R/L</v>
          </cell>
          <cell r="N31" t="str">
            <v>P1350</v>
          </cell>
          <cell r="O31">
            <v>0</v>
          </cell>
        </row>
        <row r="32">
          <cell r="A32" t="str">
            <v>80D26L14</v>
          </cell>
          <cell r="B32" t="str">
            <v>80D26LPE14</v>
          </cell>
          <cell r="C32" t="str">
            <v>80D26L</v>
          </cell>
          <cell r="D32">
            <v>7</v>
          </cell>
          <cell r="E32">
            <v>7</v>
          </cell>
          <cell r="F32">
            <v>14</v>
          </cell>
          <cell r="G32">
            <v>6</v>
          </cell>
          <cell r="H32" t="str">
            <v>CG82</v>
          </cell>
          <cell r="I32" t="str">
            <v>CG87</v>
          </cell>
          <cell r="J32" t="str">
            <v>PE</v>
          </cell>
          <cell r="K32">
            <v>0</v>
          </cell>
          <cell r="L32">
            <v>0</v>
          </cell>
          <cell r="M32" t="str">
            <v>C5C R/L</v>
          </cell>
          <cell r="N32" t="str">
            <v>P5G</v>
          </cell>
          <cell r="O32">
            <v>10.4</v>
          </cell>
        </row>
        <row r="33">
          <cell r="A33" t="str">
            <v>80D26R14</v>
          </cell>
          <cell r="B33" t="str">
            <v>80D26RPE14</v>
          </cell>
          <cell r="C33" t="str">
            <v>80D26R</v>
          </cell>
          <cell r="D33">
            <v>7</v>
          </cell>
          <cell r="E33">
            <v>7</v>
          </cell>
          <cell r="F33">
            <v>14</v>
          </cell>
          <cell r="G33">
            <v>6</v>
          </cell>
          <cell r="H33" t="str">
            <v>CG82</v>
          </cell>
          <cell r="I33" t="str">
            <v>CG87</v>
          </cell>
          <cell r="J33" t="str">
            <v>PE</v>
          </cell>
          <cell r="K33">
            <v>0</v>
          </cell>
          <cell r="L33">
            <v>0</v>
          </cell>
          <cell r="M33" t="str">
            <v>C5C R/L</v>
          </cell>
          <cell r="N33" t="str">
            <v>P5G</v>
          </cell>
          <cell r="O33">
            <v>10.4</v>
          </cell>
        </row>
        <row r="34">
          <cell r="A34" t="str">
            <v>8D9015</v>
          </cell>
          <cell r="B34" t="str">
            <v>8D90PE15</v>
          </cell>
          <cell r="C34" t="str">
            <v>8D90</v>
          </cell>
          <cell r="D34">
            <v>7</v>
          </cell>
          <cell r="E34">
            <v>8</v>
          </cell>
          <cell r="F34">
            <v>15</v>
          </cell>
          <cell r="G34">
            <v>4</v>
          </cell>
          <cell r="H34" t="str">
            <v>DF72</v>
          </cell>
          <cell r="I34" t="str">
            <v>DF78</v>
          </cell>
          <cell r="J34" t="str">
            <v>PE</v>
          </cell>
          <cell r="K34">
            <v>0</v>
          </cell>
          <cell r="L34">
            <v>0</v>
          </cell>
          <cell r="M34" t="str">
            <v>C12G2R/L</v>
          </cell>
          <cell r="N34" t="str">
            <v>P1356</v>
          </cell>
          <cell r="O34">
            <v>0</v>
          </cell>
        </row>
        <row r="35">
          <cell r="A35" t="str">
            <v>MF12N249</v>
          </cell>
          <cell r="B35" t="str">
            <v>MF12N24PE9</v>
          </cell>
          <cell r="C35" t="str">
            <v>MF12N24</v>
          </cell>
          <cell r="D35">
            <v>4</v>
          </cell>
          <cell r="E35">
            <v>5</v>
          </cell>
          <cell r="F35">
            <v>9</v>
          </cell>
          <cell r="G35">
            <v>6</v>
          </cell>
          <cell r="H35" t="str">
            <v>YL80</v>
          </cell>
          <cell r="I35" t="str">
            <v>YL84</v>
          </cell>
          <cell r="J35" t="str">
            <v>PE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MF55D23L11</v>
          </cell>
          <cell r="B36" t="str">
            <v>MF55D23LPE11</v>
          </cell>
          <cell r="C36" t="str">
            <v>MF55D23L</v>
          </cell>
          <cell r="D36">
            <v>5</v>
          </cell>
          <cell r="E36">
            <v>6</v>
          </cell>
          <cell r="F36">
            <v>11</v>
          </cell>
          <cell r="G36">
            <v>6</v>
          </cell>
          <cell r="H36" t="str">
            <v>YG80</v>
          </cell>
          <cell r="I36" t="str">
            <v>YG85</v>
          </cell>
          <cell r="J36" t="str">
            <v>PE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9.6999999999999993</v>
          </cell>
        </row>
        <row r="37">
          <cell r="A37" t="str">
            <v>MF55D2311</v>
          </cell>
          <cell r="B37" t="str">
            <v>MF55D23PE11</v>
          </cell>
          <cell r="C37" t="str">
            <v>MF55D23</v>
          </cell>
          <cell r="D37">
            <v>5</v>
          </cell>
          <cell r="E37">
            <v>6</v>
          </cell>
          <cell r="F37">
            <v>11</v>
          </cell>
          <cell r="G37">
            <v>6</v>
          </cell>
          <cell r="H37" t="str">
            <v>YG80</v>
          </cell>
          <cell r="I37" t="str">
            <v>YG85</v>
          </cell>
          <cell r="J37" t="str">
            <v>PE</v>
          </cell>
          <cell r="K37">
            <v>0</v>
          </cell>
          <cell r="L37">
            <v>0</v>
          </cell>
          <cell r="M37" t="str">
            <v>C5DL/R</v>
          </cell>
          <cell r="N37" t="str">
            <v>P7T</v>
          </cell>
          <cell r="O37">
            <v>0</v>
          </cell>
        </row>
        <row r="38">
          <cell r="A38" t="str">
            <v>MF55D2314</v>
          </cell>
          <cell r="B38" t="str">
            <v>MF55D23PE14</v>
          </cell>
          <cell r="C38" t="str">
            <v>MF55D23</v>
          </cell>
          <cell r="D38">
            <v>7</v>
          </cell>
          <cell r="E38">
            <v>7</v>
          </cell>
          <cell r="F38">
            <v>14</v>
          </cell>
          <cell r="G38">
            <v>6</v>
          </cell>
          <cell r="H38" t="str">
            <v>YG85</v>
          </cell>
          <cell r="I38" t="str">
            <v>YG85</v>
          </cell>
          <cell r="J38" t="str">
            <v>PE</v>
          </cell>
          <cell r="K38">
            <v>0</v>
          </cell>
          <cell r="L38">
            <v>0</v>
          </cell>
          <cell r="M38" t="str">
            <v>C5DL/R</v>
          </cell>
          <cell r="N38" t="str">
            <v>P7T</v>
          </cell>
          <cell r="O38">
            <v>0</v>
          </cell>
        </row>
        <row r="39">
          <cell r="A39" t="str">
            <v>MF555-6510</v>
          </cell>
          <cell r="B39" t="str">
            <v>MF555-65PE10</v>
          </cell>
          <cell r="C39" t="str">
            <v>MF555-65</v>
          </cell>
          <cell r="D39">
            <v>5</v>
          </cell>
          <cell r="E39">
            <v>5</v>
          </cell>
          <cell r="F39">
            <v>10</v>
          </cell>
          <cell r="G39">
            <v>6</v>
          </cell>
          <cell r="H39" t="str">
            <v>YG82HD</v>
          </cell>
          <cell r="I39" t="str">
            <v>YG85</v>
          </cell>
          <cell r="J39" t="str">
            <v>PE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15.353999999999999</v>
          </cell>
        </row>
        <row r="40">
          <cell r="A40" t="str">
            <v>MF555-5910</v>
          </cell>
          <cell r="B40" t="str">
            <v>MF555-59PE10</v>
          </cell>
          <cell r="C40" t="str">
            <v>MF555-59</v>
          </cell>
          <cell r="D40">
            <v>5</v>
          </cell>
          <cell r="E40">
            <v>5</v>
          </cell>
          <cell r="F40">
            <v>10</v>
          </cell>
          <cell r="G40">
            <v>6</v>
          </cell>
          <cell r="H40" t="str">
            <v>YG82HD</v>
          </cell>
          <cell r="I40" t="str">
            <v>YG85</v>
          </cell>
          <cell r="J40" t="str">
            <v>PE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15.353999999999999</v>
          </cell>
        </row>
        <row r="41">
          <cell r="A41" t="str">
            <v>MF566-3813</v>
          </cell>
          <cell r="B41" t="str">
            <v>MF566-38PE13</v>
          </cell>
          <cell r="C41" t="str">
            <v>MF566-38</v>
          </cell>
          <cell r="D41">
            <v>6</v>
          </cell>
          <cell r="E41">
            <v>7</v>
          </cell>
          <cell r="F41">
            <v>13</v>
          </cell>
          <cell r="G41">
            <v>6</v>
          </cell>
          <cell r="H41" t="str">
            <v>YG82HD</v>
          </cell>
          <cell r="I41" t="str">
            <v>YG85</v>
          </cell>
          <cell r="J41" t="str">
            <v>PE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7002741</v>
          </cell>
          <cell r="B42" t="str">
            <v>70027PE41</v>
          </cell>
          <cell r="C42">
            <v>70027</v>
          </cell>
          <cell r="D42">
            <v>21</v>
          </cell>
          <cell r="E42">
            <v>20</v>
          </cell>
          <cell r="F42">
            <v>41</v>
          </cell>
          <cell r="G42">
            <v>6</v>
          </cell>
          <cell r="H42" t="str">
            <v>CG80</v>
          </cell>
          <cell r="I42" t="str">
            <v>CG85</v>
          </cell>
          <cell r="J42" t="str">
            <v>PE</v>
          </cell>
          <cell r="K42">
            <v>0</v>
          </cell>
          <cell r="L42">
            <v>0</v>
          </cell>
          <cell r="M42" t="str">
            <v>C15CL/R</v>
          </cell>
          <cell r="N42" t="str">
            <v>P14569</v>
          </cell>
          <cell r="O42">
            <v>0</v>
          </cell>
        </row>
        <row r="43">
          <cell r="A43" t="str">
            <v>DINC41</v>
          </cell>
          <cell r="B43" t="str">
            <v>DINCPE41</v>
          </cell>
          <cell r="C43" t="str">
            <v>DINC</v>
          </cell>
          <cell r="D43">
            <v>21</v>
          </cell>
          <cell r="E43">
            <v>20</v>
          </cell>
          <cell r="F43">
            <v>41</v>
          </cell>
          <cell r="G43">
            <v>6</v>
          </cell>
          <cell r="H43" t="str">
            <v>CG80</v>
          </cell>
          <cell r="I43" t="str">
            <v>CG85</v>
          </cell>
          <cell r="J43" t="str">
            <v>PE</v>
          </cell>
          <cell r="K43">
            <v>0</v>
          </cell>
          <cell r="L43">
            <v>0</v>
          </cell>
          <cell r="M43" t="str">
            <v>C15CL/R</v>
          </cell>
          <cell r="N43" t="str">
            <v>P14569</v>
          </cell>
          <cell r="O43">
            <v>0</v>
          </cell>
        </row>
        <row r="44">
          <cell r="A44" t="str">
            <v>MFNS409</v>
          </cell>
          <cell r="B44" t="str">
            <v>MFNS40PE9</v>
          </cell>
          <cell r="C44" t="str">
            <v>MFNS40</v>
          </cell>
          <cell r="D44">
            <v>4</v>
          </cell>
          <cell r="E44">
            <v>5</v>
          </cell>
          <cell r="F44">
            <v>9</v>
          </cell>
          <cell r="G44">
            <v>6</v>
          </cell>
          <cell r="H44" t="str">
            <v>YM84</v>
          </cell>
          <cell r="I44" t="str">
            <v>YM84</v>
          </cell>
          <cell r="J44" t="str">
            <v>PE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MFNS40Z11</v>
          </cell>
          <cell r="B45" t="str">
            <v>MFNS40ZPE11</v>
          </cell>
          <cell r="C45" t="str">
            <v>MFNS40Z</v>
          </cell>
          <cell r="D45">
            <v>5</v>
          </cell>
          <cell r="E45">
            <v>6</v>
          </cell>
          <cell r="F45">
            <v>11</v>
          </cell>
          <cell r="G45">
            <v>6</v>
          </cell>
          <cell r="H45" t="str">
            <v>YM84</v>
          </cell>
          <cell r="I45" t="str">
            <v>YM84</v>
          </cell>
          <cell r="J45" t="str">
            <v>PE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MFNS40ZL9</v>
          </cell>
          <cell r="B46" t="str">
            <v>MFNS40ZLPE9</v>
          </cell>
          <cell r="C46" t="str">
            <v>MFNS40ZL</v>
          </cell>
          <cell r="D46">
            <v>4</v>
          </cell>
          <cell r="E46">
            <v>5</v>
          </cell>
          <cell r="F46">
            <v>9</v>
          </cell>
          <cell r="G46">
            <v>6</v>
          </cell>
          <cell r="H46" t="str">
            <v>YM84</v>
          </cell>
          <cell r="I46" t="str">
            <v>YM84</v>
          </cell>
          <cell r="J46" t="str">
            <v>PE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MFNS40ZL11</v>
          </cell>
          <cell r="B47" t="str">
            <v>MFNS40ZLPE11</v>
          </cell>
          <cell r="C47" t="str">
            <v>MFNS40ZL</v>
          </cell>
          <cell r="D47">
            <v>5</v>
          </cell>
          <cell r="E47">
            <v>6</v>
          </cell>
          <cell r="F47">
            <v>11</v>
          </cell>
          <cell r="G47">
            <v>6</v>
          </cell>
          <cell r="H47" t="str">
            <v>YM84</v>
          </cell>
          <cell r="I47" t="str">
            <v>YM84</v>
          </cell>
          <cell r="J47" t="str">
            <v>PE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MFNS40L9</v>
          </cell>
          <cell r="B48" t="str">
            <v>MFNS40LPE9</v>
          </cell>
          <cell r="C48" t="str">
            <v>MFNS40L</v>
          </cell>
          <cell r="D48">
            <v>4</v>
          </cell>
          <cell r="E48">
            <v>5</v>
          </cell>
          <cell r="F48">
            <v>9</v>
          </cell>
          <cell r="G48">
            <v>6</v>
          </cell>
          <cell r="H48" t="str">
            <v>YM84</v>
          </cell>
          <cell r="I48" t="str">
            <v>YM84</v>
          </cell>
          <cell r="J48" t="str">
            <v>PE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MFN409</v>
          </cell>
          <cell r="B49" t="str">
            <v>MFN40PE9</v>
          </cell>
          <cell r="C49" t="str">
            <v>MFN40</v>
          </cell>
          <cell r="D49">
            <v>4</v>
          </cell>
          <cell r="E49">
            <v>5</v>
          </cell>
          <cell r="F49">
            <v>9</v>
          </cell>
          <cell r="G49">
            <v>6</v>
          </cell>
          <cell r="H49" t="str">
            <v>YM84</v>
          </cell>
          <cell r="I49" t="str">
            <v>YM84</v>
          </cell>
          <cell r="J49" t="str">
            <v>PE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MFN4011</v>
          </cell>
          <cell r="B50" t="str">
            <v>MFN40PE11</v>
          </cell>
          <cell r="C50" t="str">
            <v>MFN40</v>
          </cell>
          <cell r="D50">
            <v>5</v>
          </cell>
          <cell r="E50">
            <v>6</v>
          </cell>
          <cell r="F50">
            <v>11</v>
          </cell>
          <cell r="G50">
            <v>6</v>
          </cell>
          <cell r="H50" t="str">
            <v>YM84</v>
          </cell>
          <cell r="I50" t="str">
            <v>YM84</v>
          </cell>
          <cell r="J50" t="str">
            <v>PE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>MFN40L11</v>
          </cell>
          <cell r="B51" t="str">
            <v>MFN40LPE11</v>
          </cell>
          <cell r="C51" t="str">
            <v>MFN40L</v>
          </cell>
          <cell r="D51">
            <v>5</v>
          </cell>
          <cell r="E51">
            <v>6</v>
          </cell>
          <cell r="F51">
            <v>11</v>
          </cell>
          <cell r="G51">
            <v>6</v>
          </cell>
          <cell r="H51" t="str">
            <v>YM84</v>
          </cell>
          <cell r="I51" t="str">
            <v>YM84</v>
          </cell>
          <cell r="J51" t="str">
            <v>PE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>MFNS60L11</v>
          </cell>
          <cell r="B52" t="str">
            <v>MFNS60LPE11</v>
          </cell>
          <cell r="C52" t="str">
            <v>MFNS60L</v>
          </cell>
          <cell r="D52">
            <v>5</v>
          </cell>
          <cell r="E52">
            <v>6</v>
          </cell>
          <cell r="F52">
            <v>11</v>
          </cell>
          <cell r="G52">
            <v>6</v>
          </cell>
          <cell r="H52" t="str">
            <v>YM84</v>
          </cell>
          <cell r="I52" t="str">
            <v>YM84</v>
          </cell>
          <cell r="J52" t="str">
            <v>PE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>MFNS60LS11</v>
          </cell>
          <cell r="B53" t="str">
            <v>MFNS60LSPE11</v>
          </cell>
          <cell r="C53" t="str">
            <v>MFNS60LS</v>
          </cell>
          <cell r="D53">
            <v>5</v>
          </cell>
          <cell r="E53">
            <v>6</v>
          </cell>
          <cell r="F53">
            <v>11</v>
          </cell>
          <cell r="G53">
            <v>6</v>
          </cell>
          <cell r="H53" t="str">
            <v>YM84</v>
          </cell>
          <cell r="I53" t="str">
            <v>YM84</v>
          </cell>
          <cell r="J53" t="str">
            <v>PE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>MFNS6011</v>
          </cell>
          <cell r="B54" t="str">
            <v>MFNS60PE11</v>
          </cell>
          <cell r="C54" t="str">
            <v>MFNS60</v>
          </cell>
          <cell r="D54">
            <v>6</v>
          </cell>
          <cell r="E54">
            <v>5</v>
          </cell>
          <cell r="F54">
            <v>11</v>
          </cell>
          <cell r="G54">
            <v>6</v>
          </cell>
          <cell r="H54" t="str">
            <v>YM84</v>
          </cell>
          <cell r="I54" t="str">
            <v>YM84</v>
          </cell>
          <cell r="J54" t="str">
            <v>PE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>MFNS6012</v>
          </cell>
          <cell r="B55" t="str">
            <v>MFNS60PE12</v>
          </cell>
          <cell r="C55" t="str">
            <v>MFNS60</v>
          </cell>
          <cell r="D55">
            <v>6</v>
          </cell>
          <cell r="E55">
            <v>6</v>
          </cell>
          <cell r="F55">
            <v>12</v>
          </cell>
          <cell r="G55">
            <v>6</v>
          </cell>
          <cell r="H55" t="str">
            <v>YM84</v>
          </cell>
          <cell r="I55" t="str">
            <v>YM84</v>
          </cell>
          <cell r="J55" t="str">
            <v>PE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>MFNS60S12</v>
          </cell>
          <cell r="B56" t="str">
            <v>MFNS60SPE12</v>
          </cell>
          <cell r="C56" t="str">
            <v>MFNS60S</v>
          </cell>
          <cell r="D56">
            <v>6</v>
          </cell>
          <cell r="E56">
            <v>6</v>
          </cell>
          <cell r="F56">
            <v>12</v>
          </cell>
          <cell r="G56">
            <v>6</v>
          </cell>
          <cell r="H56" t="str">
            <v>YM84</v>
          </cell>
          <cell r="I56" t="str">
            <v>YM84</v>
          </cell>
          <cell r="J56" t="str">
            <v>PE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MFNS60LS12</v>
          </cell>
          <cell r="B57" t="str">
            <v>MFNS60LSPE12</v>
          </cell>
          <cell r="C57" t="str">
            <v>MFNS60LS</v>
          </cell>
          <cell r="D57">
            <v>6</v>
          </cell>
          <cell r="E57">
            <v>6</v>
          </cell>
          <cell r="F57">
            <v>12</v>
          </cell>
          <cell r="G57">
            <v>6</v>
          </cell>
          <cell r="H57" t="str">
            <v>YM84</v>
          </cell>
          <cell r="I57" t="str">
            <v>YM84</v>
          </cell>
          <cell r="J57" t="str">
            <v>PE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MFNS60L12</v>
          </cell>
          <cell r="B58" t="str">
            <v>MFNS60LPE12</v>
          </cell>
          <cell r="C58" t="str">
            <v>MFNS60L</v>
          </cell>
          <cell r="D58">
            <v>6</v>
          </cell>
          <cell r="E58">
            <v>6</v>
          </cell>
          <cell r="F58">
            <v>12</v>
          </cell>
          <cell r="G58">
            <v>6</v>
          </cell>
          <cell r="H58" t="str">
            <v>YM84</v>
          </cell>
          <cell r="I58" t="str">
            <v>YM84</v>
          </cell>
          <cell r="J58" t="str">
            <v>PE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 t="str">
            <v>MFN50Z11</v>
          </cell>
          <cell r="B59" t="str">
            <v>MFN50ZPE11</v>
          </cell>
          <cell r="C59" t="str">
            <v>MFN50Z</v>
          </cell>
          <cell r="D59">
            <v>5</v>
          </cell>
          <cell r="E59">
            <v>6</v>
          </cell>
          <cell r="F59">
            <v>11</v>
          </cell>
          <cell r="G59">
            <v>6</v>
          </cell>
          <cell r="H59" t="str">
            <v>YG82</v>
          </cell>
          <cell r="I59" t="str">
            <v>YG85</v>
          </cell>
          <cell r="J59" t="str">
            <v>PE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 t="str">
            <v>N50ZLG11</v>
          </cell>
          <cell r="B60" t="str">
            <v>N50ZLGPE11</v>
          </cell>
          <cell r="C60" t="str">
            <v>N50ZLG</v>
          </cell>
          <cell r="D60">
            <v>5</v>
          </cell>
          <cell r="E60">
            <v>6</v>
          </cell>
          <cell r="F60">
            <v>11</v>
          </cell>
          <cell r="G60">
            <v>6</v>
          </cell>
          <cell r="H60" t="str">
            <v>CG85</v>
          </cell>
          <cell r="I60" t="str">
            <v>YG87</v>
          </cell>
          <cell r="J60" t="str">
            <v>PE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 t="str">
            <v>MFNS7013</v>
          </cell>
          <cell r="B61" t="str">
            <v>MFNS70PE13</v>
          </cell>
          <cell r="C61" t="str">
            <v>MFNS70</v>
          </cell>
          <cell r="D61">
            <v>6</v>
          </cell>
          <cell r="E61">
            <v>7</v>
          </cell>
          <cell r="F61">
            <v>13</v>
          </cell>
          <cell r="G61">
            <v>6</v>
          </cell>
          <cell r="H61" t="str">
            <v>YG82</v>
          </cell>
          <cell r="I61" t="str">
            <v>YG85</v>
          </cell>
          <cell r="J61" t="str">
            <v>PE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11.4</v>
          </cell>
        </row>
        <row r="62">
          <cell r="A62" t="str">
            <v>MFNS70L13</v>
          </cell>
          <cell r="B62" t="str">
            <v>MFNS70LPE13</v>
          </cell>
          <cell r="C62" t="str">
            <v>MFNS70L</v>
          </cell>
          <cell r="D62">
            <v>6</v>
          </cell>
          <cell r="E62">
            <v>7</v>
          </cell>
          <cell r="F62">
            <v>13</v>
          </cell>
          <cell r="G62">
            <v>6</v>
          </cell>
          <cell r="H62" t="str">
            <v>YG82</v>
          </cell>
          <cell r="I62" t="str">
            <v>YG85</v>
          </cell>
          <cell r="J62" t="str">
            <v>PE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11.4</v>
          </cell>
        </row>
        <row r="63">
          <cell r="A63" t="str">
            <v>MFN7013</v>
          </cell>
          <cell r="B63" t="str">
            <v>MFN70PE13</v>
          </cell>
          <cell r="C63" t="str">
            <v>MFN70</v>
          </cell>
          <cell r="D63">
            <v>6</v>
          </cell>
          <cell r="E63">
            <v>7</v>
          </cell>
          <cell r="F63">
            <v>13</v>
          </cell>
          <cell r="G63">
            <v>6</v>
          </cell>
          <cell r="H63" t="str">
            <v>YG82</v>
          </cell>
          <cell r="I63" t="str">
            <v>YG85</v>
          </cell>
          <cell r="J63" t="str">
            <v>PE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13.1</v>
          </cell>
        </row>
        <row r="64">
          <cell r="A64" t="str">
            <v>MFN70Z15</v>
          </cell>
          <cell r="B64" t="str">
            <v>MFN70ZPE15</v>
          </cell>
          <cell r="C64" t="str">
            <v>MFN70Z</v>
          </cell>
          <cell r="D64">
            <v>7</v>
          </cell>
          <cell r="E64">
            <v>8</v>
          </cell>
          <cell r="F64">
            <v>15</v>
          </cell>
          <cell r="G64">
            <v>6</v>
          </cell>
          <cell r="H64" t="str">
            <v>YG82</v>
          </cell>
          <cell r="I64" t="str">
            <v>YG85</v>
          </cell>
          <cell r="J64" t="str">
            <v>PE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14.3</v>
          </cell>
        </row>
        <row r="65">
          <cell r="A65" t="str">
            <v>MFN70L13</v>
          </cell>
          <cell r="B65" t="str">
            <v>MFN70LPE13</v>
          </cell>
          <cell r="C65" t="str">
            <v>MFN70L</v>
          </cell>
          <cell r="D65">
            <v>6</v>
          </cell>
          <cell r="E65">
            <v>7</v>
          </cell>
          <cell r="F65">
            <v>13</v>
          </cell>
          <cell r="G65">
            <v>6</v>
          </cell>
          <cell r="H65" t="str">
            <v>YG82</v>
          </cell>
          <cell r="I65" t="str">
            <v>YG85</v>
          </cell>
          <cell r="J65" t="str">
            <v>PE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13.1</v>
          </cell>
        </row>
        <row r="66">
          <cell r="A66" t="str">
            <v>MFN70Z15</v>
          </cell>
          <cell r="B66" t="str">
            <v>MFN70ZPE15</v>
          </cell>
          <cell r="C66" t="str">
            <v>MFN70Z</v>
          </cell>
          <cell r="D66">
            <v>7</v>
          </cell>
          <cell r="E66">
            <v>8</v>
          </cell>
          <cell r="F66">
            <v>15</v>
          </cell>
          <cell r="G66">
            <v>6</v>
          </cell>
          <cell r="H66" t="str">
            <v>YG82</v>
          </cell>
          <cell r="I66" t="str">
            <v>YG85</v>
          </cell>
          <cell r="J66" t="str">
            <v>PE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14.3</v>
          </cell>
        </row>
        <row r="67">
          <cell r="A67" t="str">
            <v>MFN70ZL15</v>
          </cell>
          <cell r="B67" t="str">
            <v>MFN70ZLPE15</v>
          </cell>
          <cell r="C67" t="str">
            <v>MFN70ZL</v>
          </cell>
          <cell r="D67">
            <v>7</v>
          </cell>
          <cell r="E67">
            <v>8</v>
          </cell>
          <cell r="F67">
            <v>15</v>
          </cell>
          <cell r="G67">
            <v>6</v>
          </cell>
          <cell r="H67" t="str">
            <v>YG82</v>
          </cell>
          <cell r="I67" t="str">
            <v>YG85</v>
          </cell>
          <cell r="J67" t="str">
            <v>PE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14.3</v>
          </cell>
        </row>
        <row r="68">
          <cell r="A68" t="str">
            <v>MFN70ZZ18</v>
          </cell>
          <cell r="B68" t="str">
            <v>MFN70ZZPE18</v>
          </cell>
          <cell r="C68" t="str">
            <v>MFN70ZZ</v>
          </cell>
          <cell r="D68">
            <v>9</v>
          </cell>
          <cell r="E68">
            <v>9</v>
          </cell>
          <cell r="F68">
            <v>18</v>
          </cell>
          <cell r="G68">
            <v>6</v>
          </cell>
          <cell r="H68" t="str">
            <v>YG82</v>
          </cell>
          <cell r="I68" t="str">
            <v>YG85</v>
          </cell>
          <cell r="J68" t="str">
            <v>PE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A69" t="str">
            <v>MFNX120-717</v>
          </cell>
          <cell r="B69" t="str">
            <v>MFNX120-7PE17</v>
          </cell>
          <cell r="C69" t="str">
            <v>MFNX120-7</v>
          </cell>
          <cell r="D69">
            <v>8</v>
          </cell>
          <cell r="E69">
            <v>9</v>
          </cell>
          <cell r="F69">
            <v>17</v>
          </cell>
          <cell r="G69">
            <v>6</v>
          </cell>
          <cell r="H69" t="str">
            <v>YG82</v>
          </cell>
          <cell r="I69" t="str">
            <v>YG87</v>
          </cell>
          <cell r="J69" t="str">
            <v>PE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21.7</v>
          </cell>
        </row>
        <row r="70">
          <cell r="A70" t="str">
            <v>MFNX120-717</v>
          </cell>
          <cell r="B70" t="str">
            <v>MFNX120-7PE17</v>
          </cell>
          <cell r="C70" t="str">
            <v>MFNX120-7</v>
          </cell>
          <cell r="D70">
            <v>8</v>
          </cell>
          <cell r="E70">
            <v>9</v>
          </cell>
          <cell r="F70">
            <v>17</v>
          </cell>
          <cell r="G70">
            <v>6</v>
          </cell>
          <cell r="H70" t="str">
            <v>YG82</v>
          </cell>
          <cell r="I70" t="str">
            <v>YG87</v>
          </cell>
          <cell r="J70" t="str">
            <v>PE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21.7</v>
          </cell>
        </row>
        <row r="71">
          <cell r="A71" t="str">
            <v>MFNX120-7A15</v>
          </cell>
          <cell r="B71" t="str">
            <v>MFNX120-7APE15</v>
          </cell>
          <cell r="C71" t="str">
            <v>MFNX120-7A</v>
          </cell>
          <cell r="D71">
            <v>7</v>
          </cell>
          <cell r="E71">
            <v>8</v>
          </cell>
          <cell r="F71">
            <v>15</v>
          </cell>
          <cell r="G71">
            <v>6</v>
          </cell>
          <cell r="H71" t="str">
            <v>YG82</v>
          </cell>
          <cell r="I71" t="str">
            <v>YG87</v>
          </cell>
          <cell r="J71" t="str">
            <v>PE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15.8</v>
          </cell>
        </row>
        <row r="72">
          <cell r="A72" t="str">
            <v>MFNX120-7L15</v>
          </cell>
          <cell r="B72" t="str">
            <v>MFNX120-7LPE15</v>
          </cell>
          <cell r="C72" t="str">
            <v>MFNX120-7L</v>
          </cell>
          <cell r="D72">
            <v>7</v>
          </cell>
          <cell r="E72">
            <v>8</v>
          </cell>
          <cell r="F72">
            <v>15</v>
          </cell>
          <cell r="G72">
            <v>6</v>
          </cell>
          <cell r="H72" t="str">
            <v>YG82</v>
          </cell>
          <cell r="I72" t="str">
            <v>YG87</v>
          </cell>
          <cell r="J72" t="str">
            <v>PE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15.8</v>
          </cell>
        </row>
        <row r="73">
          <cell r="A73" t="str">
            <v>MFNX120-7LA15</v>
          </cell>
          <cell r="B73" t="str">
            <v>MFNX120-7LAPE15</v>
          </cell>
          <cell r="C73" t="str">
            <v>MFNX120-7LA</v>
          </cell>
          <cell r="D73">
            <v>7</v>
          </cell>
          <cell r="E73">
            <v>8</v>
          </cell>
          <cell r="F73">
            <v>15</v>
          </cell>
          <cell r="G73">
            <v>6</v>
          </cell>
          <cell r="H73" t="str">
            <v>YG82</v>
          </cell>
          <cell r="I73" t="str">
            <v>YG87</v>
          </cell>
          <cell r="J73" t="str">
            <v>PE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15.8</v>
          </cell>
        </row>
        <row r="74">
          <cell r="A74" t="str">
            <v>MFN50L9</v>
          </cell>
          <cell r="B74" t="str">
            <v>MFN50LPE9</v>
          </cell>
          <cell r="C74" t="str">
            <v>MFN50L</v>
          </cell>
          <cell r="D74">
            <v>4</v>
          </cell>
          <cell r="E74">
            <v>5</v>
          </cell>
          <cell r="F74">
            <v>9</v>
          </cell>
          <cell r="G74">
            <v>6</v>
          </cell>
          <cell r="H74" t="str">
            <v>YG83</v>
          </cell>
          <cell r="I74" t="str">
            <v>YG86</v>
          </cell>
          <cell r="J74" t="str">
            <v>PE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15.7</v>
          </cell>
        </row>
        <row r="75">
          <cell r="A75" t="str">
            <v>MFN509</v>
          </cell>
          <cell r="B75" t="str">
            <v>MFN50PE9</v>
          </cell>
          <cell r="C75" t="str">
            <v>MFN50</v>
          </cell>
          <cell r="D75">
            <v>4</v>
          </cell>
          <cell r="E75">
            <v>5</v>
          </cell>
          <cell r="F75">
            <v>9</v>
          </cell>
          <cell r="G75">
            <v>6</v>
          </cell>
          <cell r="H75" t="str">
            <v>YG83</v>
          </cell>
          <cell r="I75" t="str">
            <v>YG86</v>
          </cell>
          <cell r="J75" t="str">
            <v>PE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15.7</v>
          </cell>
        </row>
        <row r="76">
          <cell r="A76" t="str">
            <v>MF80D26L14</v>
          </cell>
          <cell r="B76" t="str">
            <v>MF80D26LPE14</v>
          </cell>
          <cell r="C76" t="str">
            <v>MF80D26L</v>
          </cell>
          <cell r="D76">
            <v>7</v>
          </cell>
          <cell r="E76">
            <v>7</v>
          </cell>
          <cell r="F76">
            <v>14</v>
          </cell>
          <cell r="G76">
            <v>6</v>
          </cell>
          <cell r="H76" t="str">
            <v>YG85</v>
          </cell>
          <cell r="I76" t="str">
            <v>YG87</v>
          </cell>
          <cell r="J76" t="str">
            <v>PE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A77" t="str">
            <v>MF5751914</v>
          </cell>
          <cell r="B77" t="str">
            <v>MF57519PE14</v>
          </cell>
          <cell r="C77" t="str">
            <v>MF57519</v>
          </cell>
          <cell r="D77">
            <v>7</v>
          </cell>
          <cell r="E77">
            <v>7</v>
          </cell>
          <cell r="F77">
            <v>14</v>
          </cell>
          <cell r="G77">
            <v>6</v>
          </cell>
          <cell r="H77" t="str">
            <v>YG79HD</v>
          </cell>
          <cell r="I77" t="str">
            <v>YG85</v>
          </cell>
          <cell r="J77" t="str">
            <v>PE</v>
          </cell>
          <cell r="K77">
            <v>0</v>
          </cell>
          <cell r="L77">
            <v>0</v>
          </cell>
          <cell r="M77" t="str">
            <v>C5DL/R</v>
          </cell>
          <cell r="N77" t="str">
            <v>P8G2</v>
          </cell>
          <cell r="O77">
            <v>0</v>
          </cell>
        </row>
        <row r="78">
          <cell r="A78" t="str">
            <v>MF544598</v>
          </cell>
          <cell r="B78" t="str">
            <v>MF54459PE8</v>
          </cell>
          <cell r="C78" t="str">
            <v>MF54459</v>
          </cell>
          <cell r="D78">
            <v>3</v>
          </cell>
          <cell r="E78">
            <v>5</v>
          </cell>
          <cell r="F78">
            <v>8</v>
          </cell>
          <cell r="G78">
            <v>6</v>
          </cell>
          <cell r="H78" t="str">
            <v>YG82HD</v>
          </cell>
          <cell r="I78" t="str">
            <v>YG85</v>
          </cell>
          <cell r="J78" t="str">
            <v>PE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12.6</v>
          </cell>
        </row>
        <row r="79">
          <cell r="A79" t="str">
            <v>MF5451911</v>
          </cell>
          <cell r="B79" t="str">
            <v>MF54519PE11</v>
          </cell>
          <cell r="C79" t="str">
            <v>MF54519</v>
          </cell>
          <cell r="D79">
            <v>5</v>
          </cell>
          <cell r="E79">
            <v>6</v>
          </cell>
          <cell r="F79">
            <v>11</v>
          </cell>
          <cell r="G79">
            <v>6</v>
          </cell>
          <cell r="H79" t="str">
            <v>YG82HD</v>
          </cell>
          <cell r="I79" t="str">
            <v>YG85</v>
          </cell>
          <cell r="J79" t="str">
            <v>PE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12.6</v>
          </cell>
        </row>
        <row r="80">
          <cell r="A80" t="str">
            <v>MF555-5912</v>
          </cell>
          <cell r="B80" t="str">
            <v>MF555-59PE12</v>
          </cell>
          <cell r="C80" t="str">
            <v>MF555-59</v>
          </cell>
          <cell r="D80">
            <v>6</v>
          </cell>
          <cell r="E80">
            <v>6</v>
          </cell>
          <cell r="F80">
            <v>12</v>
          </cell>
          <cell r="G80">
            <v>6</v>
          </cell>
          <cell r="H80" t="str">
            <v>YG79HD</v>
          </cell>
          <cell r="I80" t="str">
            <v>YG85</v>
          </cell>
          <cell r="J80" t="str">
            <v>PE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A81" t="str">
            <v>MF555-6512</v>
          </cell>
          <cell r="B81" t="str">
            <v>MF555-65PE12</v>
          </cell>
          <cell r="C81" t="str">
            <v>MF555-65</v>
          </cell>
          <cell r="D81">
            <v>6</v>
          </cell>
          <cell r="E81">
            <v>6</v>
          </cell>
          <cell r="F81">
            <v>12</v>
          </cell>
          <cell r="G81">
            <v>6</v>
          </cell>
          <cell r="H81" t="str">
            <v>YG79HD</v>
          </cell>
          <cell r="I81" t="str">
            <v>YG85</v>
          </cell>
          <cell r="J81" t="str">
            <v>PE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 t="str">
            <v>MF56212</v>
          </cell>
          <cell r="B82" t="str">
            <v>MF562PE12</v>
          </cell>
          <cell r="C82" t="str">
            <v>MF562</v>
          </cell>
          <cell r="D82">
            <v>6</v>
          </cell>
          <cell r="E82">
            <v>6</v>
          </cell>
          <cell r="F82">
            <v>12</v>
          </cell>
          <cell r="G82">
            <v>6</v>
          </cell>
          <cell r="H82" t="str">
            <v>YG82HD</v>
          </cell>
          <cell r="I82" t="str">
            <v>YG85</v>
          </cell>
          <cell r="J82" t="str">
            <v>PE</v>
          </cell>
          <cell r="K82">
            <v>0</v>
          </cell>
          <cell r="L82">
            <v>0</v>
          </cell>
          <cell r="M82" t="str">
            <v>C5DL/R</v>
          </cell>
          <cell r="N82" t="str">
            <v>P8G2</v>
          </cell>
          <cell r="O82">
            <v>0</v>
          </cell>
        </row>
        <row r="83">
          <cell r="A83" t="str">
            <v>MFN50Z11</v>
          </cell>
          <cell r="B83" t="str">
            <v>MFN50Z11</v>
          </cell>
          <cell r="C83" t="str">
            <v>MFN50Z</v>
          </cell>
          <cell r="D83">
            <v>5</v>
          </cell>
          <cell r="E83">
            <v>6</v>
          </cell>
          <cell r="F83">
            <v>11</v>
          </cell>
          <cell r="G83">
            <v>6</v>
          </cell>
          <cell r="H83" t="str">
            <v>YG82</v>
          </cell>
          <cell r="I83" t="str">
            <v>YG85</v>
          </cell>
          <cell r="J83" t="str">
            <v>PE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16.7</v>
          </cell>
        </row>
        <row r="84">
          <cell r="A84" t="str">
            <v>MF588-2716</v>
          </cell>
          <cell r="B84" t="str">
            <v>MF58827L16</v>
          </cell>
          <cell r="C84" t="str">
            <v>MF588-27</v>
          </cell>
          <cell r="D84">
            <v>8</v>
          </cell>
          <cell r="E84">
            <v>8</v>
          </cell>
          <cell r="F84">
            <v>16</v>
          </cell>
          <cell r="G84">
            <v>6</v>
          </cell>
          <cell r="H84" t="str">
            <v>YG82HD</v>
          </cell>
          <cell r="I84" t="str">
            <v>YG85</v>
          </cell>
          <cell r="J84" t="str">
            <v>PE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14.87</v>
          </cell>
        </row>
        <row r="85">
          <cell r="A85" t="str">
            <v>MF566-3812</v>
          </cell>
          <cell r="B85" t="str">
            <v>MF566-38PE12</v>
          </cell>
          <cell r="C85" t="str">
            <v>MF566-38</v>
          </cell>
          <cell r="D85">
            <v>6</v>
          </cell>
          <cell r="E85">
            <v>6</v>
          </cell>
          <cell r="F85">
            <v>12</v>
          </cell>
          <cell r="G85">
            <v>6</v>
          </cell>
          <cell r="H85" t="str">
            <v>YG82HD</v>
          </cell>
          <cell r="I85" t="str">
            <v>YG85</v>
          </cell>
          <cell r="J85" t="str">
            <v>PE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12.6</v>
          </cell>
        </row>
        <row r="86">
          <cell r="A86" t="str">
            <v>N10015</v>
          </cell>
          <cell r="B86" t="str">
            <v>N100PE15</v>
          </cell>
          <cell r="C86" t="str">
            <v>N100</v>
          </cell>
          <cell r="D86">
            <v>7</v>
          </cell>
          <cell r="E86">
            <v>8</v>
          </cell>
          <cell r="F86">
            <v>15</v>
          </cell>
          <cell r="G86">
            <v>6</v>
          </cell>
          <cell r="H86" t="str">
            <v>CG80</v>
          </cell>
          <cell r="I86" t="str">
            <v>CG87</v>
          </cell>
          <cell r="J86" t="str">
            <v>PE</v>
          </cell>
          <cell r="K86">
            <v>0</v>
          </cell>
          <cell r="L86">
            <v>0</v>
          </cell>
          <cell r="M86" t="str">
            <v>C1227 R/L</v>
          </cell>
          <cell r="N86" t="str">
            <v>P10T</v>
          </cell>
          <cell r="O86">
            <v>14.9</v>
          </cell>
        </row>
        <row r="87">
          <cell r="A87" t="str">
            <v>N10017</v>
          </cell>
          <cell r="B87" t="str">
            <v>N100PULP17</v>
          </cell>
          <cell r="C87" t="str">
            <v>N100</v>
          </cell>
          <cell r="D87">
            <v>8</v>
          </cell>
          <cell r="E87">
            <v>9</v>
          </cell>
          <cell r="F87">
            <v>17</v>
          </cell>
          <cell r="G87">
            <v>6</v>
          </cell>
          <cell r="H87" t="str">
            <v>CG80</v>
          </cell>
          <cell r="I87" t="str">
            <v>CG87</v>
          </cell>
          <cell r="J87" t="str">
            <v>PULP</v>
          </cell>
          <cell r="K87">
            <v>0</v>
          </cell>
          <cell r="L87">
            <v>0</v>
          </cell>
          <cell r="M87" t="str">
            <v>C1227 R/L</v>
          </cell>
          <cell r="N87" t="str">
            <v>P10T</v>
          </cell>
          <cell r="O87">
            <v>14.9</v>
          </cell>
        </row>
        <row r="88">
          <cell r="A88" t="str">
            <v>MFN100L17</v>
          </cell>
          <cell r="B88" t="str">
            <v>MFN100LPE17</v>
          </cell>
          <cell r="C88" t="str">
            <v>MFN100L</v>
          </cell>
          <cell r="D88">
            <v>8</v>
          </cell>
          <cell r="E88">
            <v>9</v>
          </cell>
          <cell r="F88">
            <v>17</v>
          </cell>
          <cell r="G88">
            <v>6</v>
          </cell>
          <cell r="H88" t="str">
            <v>YG80</v>
          </cell>
          <cell r="I88" t="str">
            <v>YG85</v>
          </cell>
          <cell r="J88" t="str">
            <v>PE</v>
          </cell>
          <cell r="K88">
            <v>0</v>
          </cell>
          <cell r="L88">
            <v>0</v>
          </cell>
          <cell r="M88" t="str">
            <v>C1227 R/L</v>
          </cell>
          <cell r="N88" t="str">
            <v>P10T</v>
          </cell>
          <cell r="O88">
            <v>0</v>
          </cell>
        </row>
        <row r="89">
          <cell r="A89" t="str">
            <v>MFN10017</v>
          </cell>
          <cell r="B89" t="str">
            <v>MFN100PE17</v>
          </cell>
          <cell r="C89" t="str">
            <v>MFN100</v>
          </cell>
          <cell r="D89">
            <v>8</v>
          </cell>
          <cell r="E89">
            <v>9</v>
          </cell>
          <cell r="F89">
            <v>17</v>
          </cell>
          <cell r="G89">
            <v>6</v>
          </cell>
          <cell r="H89" t="str">
            <v>YG80</v>
          </cell>
          <cell r="I89" t="str">
            <v>YG85</v>
          </cell>
          <cell r="J89" t="str">
            <v>PE</v>
          </cell>
          <cell r="K89">
            <v>0</v>
          </cell>
          <cell r="L89">
            <v>0</v>
          </cell>
          <cell r="M89" t="str">
            <v>C1227 R/L</v>
          </cell>
          <cell r="N89" t="str">
            <v>P10T</v>
          </cell>
          <cell r="O89">
            <v>0</v>
          </cell>
        </row>
        <row r="90">
          <cell r="A90" t="str">
            <v>N10017</v>
          </cell>
          <cell r="B90" t="str">
            <v>N100PE17</v>
          </cell>
          <cell r="C90" t="str">
            <v>N100</v>
          </cell>
          <cell r="D90">
            <v>8</v>
          </cell>
          <cell r="E90">
            <v>9</v>
          </cell>
          <cell r="F90">
            <v>17</v>
          </cell>
          <cell r="G90">
            <v>6</v>
          </cell>
          <cell r="H90" t="str">
            <v>CG80</v>
          </cell>
          <cell r="I90" t="str">
            <v>CG87</v>
          </cell>
          <cell r="J90" t="str">
            <v>PE</v>
          </cell>
          <cell r="K90">
            <v>0</v>
          </cell>
          <cell r="L90">
            <v>0</v>
          </cell>
          <cell r="M90" t="str">
            <v>C1227 R/L</v>
          </cell>
          <cell r="N90" t="str">
            <v>P10T</v>
          </cell>
          <cell r="O90">
            <v>14.9</v>
          </cell>
        </row>
        <row r="91">
          <cell r="A91" t="str">
            <v>N100H21</v>
          </cell>
          <cell r="B91" t="str">
            <v>N100HPULP21</v>
          </cell>
          <cell r="C91" t="str">
            <v>N100H</v>
          </cell>
          <cell r="D91">
            <v>11</v>
          </cell>
          <cell r="E91">
            <v>10</v>
          </cell>
          <cell r="F91">
            <v>21</v>
          </cell>
          <cell r="G91">
            <v>6</v>
          </cell>
          <cell r="H91" t="str">
            <v>CG80</v>
          </cell>
          <cell r="I91" t="str">
            <v>CG85</v>
          </cell>
          <cell r="J91" t="str">
            <v>PULP</v>
          </cell>
          <cell r="K91">
            <v>0</v>
          </cell>
          <cell r="L91">
            <v>0</v>
          </cell>
          <cell r="M91" t="str">
            <v>C1227 R/L</v>
          </cell>
          <cell r="N91" t="str">
            <v>P10T</v>
          </cell>
          <cell r="O91">
            <v>14.9</v>
          </cell>
        </row>
        <row r="92">
          <cell r="A92" t="str">
            <v>N100L17</v>
          </cell>
          <cell r="B92" t="str">
            <v>N100LPULP17</v>
          </cell>
          <cell r="C92" t="str">
            <v>N100L</v>
          </cell>
          <cell r="D92">
            <v>8</v>
          </cell>
          <cell r="E92">
            <v>9</v>
          </cell>
          <cell r="F92">
            <v>17</v>
          </cell>
          <cell r="G92">
            <v>6</v>
          </cell>
          <cell r="H92" t="str">
            <v>CG80</v>
          </cell>
          <cell r="I92" t="str">
            <v>CG87</v>
          </cell>
          <cell r="J92" t="str">
            <v>PULP</v>
          </cell>
          <cell r="K92">
            <v>0</v>
          </cell>
          <cell r="L92">
            <v>0</v>
          </cell>
          <cell r="M92" t="str">
            <v>C1227 R/L</v>
          </cell>
          <cell r="N92" t="str">
            <v>P10T</v>
          </cell>
          <cell r="O92">
            <v>14.9</v>
          </cell>
        </row>
        <row r="93">
          <cell r="A93" t="str">
            <v>N100C20</v>
          </cell>
          <cell r="B93" t="str">
            <v>N100CPULP20</v>
          </cell>
          <cell r="C93" t="str">
            <v>N100C</v>
          </cell>
          <cell r="D93">
            <v>10</v>
          </cell>
          <cell r="E93">
            <v>10</v>
          </cell>
          <cell r="F93">
            <v>20</v>
          </cell>
          <cell r="G93">
            <v>6</v>
          </cell>
          <cell r="H93" t="str">
            <v>CG80</v>
          </cell>
          <cell r="I93" t="str">
            <v>CG85</v>
          </cell>
          <cell r="J93" t="str">
            <v>PULP</v>
          </cell>
          <cell r="K93">
            <v>0</v>
          </cell>
          <cell r="L93">
            <v>0</v>
          </cell>
          <cell r="M93" t="str">
            <v>C1227 R/L</v>
          </cell>
          <cell r="N93" t="str">
            <v>P10T</v>
          </cell>
          <cell r="O93">
            <v>14.9</v>
          </cell>
        </row>
        <row r="94">
          <cell r="A94" t="str">
            <v>N100L17</v>
          </cell>
          <cell r="B94" t="str">
            <v>N100LPE17</v>
          </cell>
          <cell r="C94" t="str">
            <v>N100L</v>
          </cell>
          <cell r="D94">
            <v>8</v>
          </cell>
          <cell r="E94">
            <v>9</v>
          </cell>
          <cell r="F94">
            <v>17</v>
          </cell>
          <cell r="G94">
            <v>6</v>
          </cell>
          <cell r="H94" t="str">
            <v>CG80</v>
          </cell>
          <cell r="I94" t="str">
            <v>CG87</v>
          </cell>
          <cell r="J94" t="str">
            <v>PE</v>
          </cell>
          <cell r="K94">
            <v>0</v>
          </cell>
          <cell r="L94">
            <v>0</v>
          </cell>
          <cell r="M94" t="str">
            <v>C1227 R/L</v>
          </cell>
          <cell r="N94" t="str">
            <v>P10T</v>
          </cell>
          <cell r="O94">
            <v>14.9</v>
          </cell>
        </row>
        <row r="95">
          <cell r="A95" t="str">
            <v>N100L15</v>
          </cell>
          <cell r="B95" t="str">
            <v>N100LPE15</v>
          </cell>
          <cell r="C95" t="str">
            <v>N100L</v>
          </cell>
          <cell r="D95">
            <v>7</v>
          </cell>
          <cell r="E95">
            <v>8</v>
          </cell>
          <cell r="F95">
            <v>15</v>
          </cell>
          <cell r="G95">
            <v>6</v>
          </cell>
          <cell r="H95" t="str">
            <v>CG80</v>
          </cell>
          <cell r="I95" t="str">
            <v>CG87</v>
          </cell>
          <cell r="J95" t="str">
            <v>PE</v>
          </cell>
          <cell r="K95">
            <v>0</v>
          </cell>
          <cell r="L95">
            <v>0</v>
          </cell>
          <cell r="M95" t="str">
            <v>C1227 R/L</v>
          </cell>
          <cell r="N95" t="str">
            <v>P10T</v>
          </cell>
          <cell r="O95">
            <v>14.9</v>
          </cell>
        </row>
        <row r="96">
          <cell r="A96" t="str">
            <v>N100T19</v>
          </cell>
          <cell r="B96" t="str">
            <v>N100TPE19</v>
          </cell>
          <cell r="C96" t="str">
            <v>N100T</v>
          </cell>
          <cell r="D96">
            <v>10</v>
          </cell>
          <cell r="E96">
            <v>9</v>
          </cell>
          <cell r="F96">
            <v>19</v>
          </cell>
          <cell r="G96">
            <v>6</v>
          </cell>
          <cell r="H96" t="str">
            <v>CG79</v>
          </cell>
          <cell r="I96" t="str">
            <v>CG84</v>
          </cell>
          <cell r="J96" t="str">
            <v>PE</v>
          </cell>
          <cell r="K96">
            <v>0</v>
          </cell>
          <cell r="L96">
            <v>0</v>
          </cell>
          <cell r="M96" t="str">
            <v>C1227 R/L</v>
          </cell>
          <cell r="N96" t="str">
            <v>P10T</v>
          </cell>
          <cell r="O96">
            <v>0</v>
          </cell>
        </row>
        <row r="97">
          <cell r="A97" t="str">
            <v>N12019</v>
          </cell>
          <cell r="B97" t="str">
            <v>N120PE19</v>
          </cell>
          <cell r="C97" t="str">
            <v>N120</v>
          </cell>
          <cell r="D97">
            <v>9</v>
          </cell>
          <cell r="E97">
            <v>10</v>
          </cell>
          <cell r="F97">
            <v>19</v>
          </cell>
          <cell r="G97">
            <v>6</v>
          </cell>
          <cell r="H97" t="str">
            <v>CG80</v>
          </cell>
          <cell r="I97" t="str">
            <v>CG87</v>
          </cell>
          <cell r="J97" t="str">
            <v>PE</v>
          </cell>
          <cell r="K97">
            <v>0</v>
          </cell>
          <cell r="L97">
            <v>0</v>
          </cell>
          <cell r="M97" t="str">
            <v>C12G2R/L</v>
          </cell>
          <cell r="N97" t="str">
            <v>P12G2</v>
          </cell>
          <cell r="O97">
            <v>18.3</v>
          </cell>
        </row>
        <row r="98">
          <cell r="A98" t="str">
            <v>N12021</v>
          </cell>
          <cell r="B98" t="str">
            <v>N120PE21</v>
          </cell>
          <cell r="C98" t="str">
            <v>N120</v>
          </cell>
          <cell r="D98">
            <v>10</v>
          </cell>
          <cell r="E98">
            <v>11</v>
          </cell>
          <cell r="F98">
            <v>21</v>
          </cell>
          <cell r="G98">
            <v>6</v>
          </cell>
          <cell r="H98" t="str">
            <v>CG80</v>
          </cell>
          <cell r="I98" t="str">
            <v>CG87</v>
          </cell>
          <cell r="J98" t="str">
            <v>PE</v>
          </cell>
          <cell r="K98">
            <v>0</v>
          </cell>
          <cell r="L98">
            <v>0</v>
          </cell>
          <cell r="M98" t="str">
            <v>C12G2R/L</v>
          </cell>
          <cell r="N98" t="str">
            <v>P12G2</v>
          </cell>
          <cell r="O98">
            <v>18.3</v>
          </cell>
        </row>
        <row r="99">
          <cell r="A99" t="str">
            <v>N12024</v>
          </cell>
          <cell r="B99" t="str">
            <v>N120PULP24</v>
          </cell>
          <cell r="C99" t="str">
            <v>N120</v>
          </cell>
          <cell r="D99">
            <v>12</v>
          </cell>
          <cell r="E99">
            <v>12</v>
          </cell>
          <cell r="F99">
            <v>24</v>
          </cell>
          <cell r="G99">
            <v>6</v>
          </cell>
          <cell r="H99" t="str">
            <v>CG80</v>
          </cell>
          <cell r="I99" t="str">
            <v>CG87</v>
          </cell>
          <cell r="J99" t="str">
            <v>PULP</v>
          </cell>
          <cell r="K99">
            <v>0</v>
          </cell>
          <cell r="L99">
            <v>0</v>
          </cell>
          <cell r="M99" t="str">
            <v>C12G2R/L</v>
          </cell>
          <cell r="N99" t="str">
            <v>P12G2</v>
          </cell>
          <cell r="O99">
            <v>18.3</v>
          </cell>
        </row>
        <row r="100">
          <cell r="A100" t="str">
            <v>N12021</v>
          </cell>
          <cell r="B100" t="str">
            <v>N120PULP21</v>
          </cell>
          <cell r="C100" t="str">
            <v>N120</v>
          </cell>
          <cell r="D100">
            <v>10</v>
          </cell>
          <cell r="E100">
            <v>11</v>
          </cell>
          <cell r="F100">
            <v>21</v>
          </cell>
          <cell r="G100">
            <v>6</v>
          </cell>
          <cell r="H100" t="str">
            <v>CG80</v>
          </cell>
          <cell r="I100" t="str">
            <v>CG87</v>
          </cell>
          <cell r="J100" t="str">
            <v>PULP</v>
          </cell>
          <cell r="K100">
            <v>0</v>
          </cell>
          <cell r="L100">
            <v>0</v>
          </cell>
          <cell r="M100" t="str">
            <v>C12G2R/L</v>
          </cell>
          <cell r="N100" t="str">
            <v>P12G2</v>
          </cell>
          <cell r="O100">
            <v>18.3</v>
          </cell>
        </row>
        <row r="101">
          <cell r="A101" t="str">
            <v>N120H25</v>
          </cell>
          <cell r="B101" t="str">
            <v>N120HPULP25</v>
          </cell>
          <cell r="C101" t="str">
            <v>N120H</v>
          </cell>
          <cell r="D101">
            <v>13</v>
          </cell>
          <cell r="E101">
            <v>12</v>
          </cell>
          <cell r="F101">
            <v>25</v>
          </cell>
          <cell r="G101">
            <v>6</v>
          </cell>
          <cell r="H101" t="str">
            <v>CG80</v>
          </cell>
          <cell r="I101" t="str">
            <v>CG85</v>
          </cell>
          <cell r="J101" t="str">
            <v>PULP</v>
          </cell>
          <cell r="K101">
            <v>0</v>
          </cell>
          <cell r="L101">
            <v>0</v>
          </cell>
          <cell r="M101" t="str">
            <v>C12G2R/L</v>
          </cell>
          <cell r="N101" t="str">
            <v>P12G2</v>
          </cell>
          <cell r="O101">
            <v>18.3</v>
          </cell>
        </row>
        <row r="102">
          <cell r="A102" t="str">
            <v>N120T21</v>
          </cell>
          <cell r="B102" t="str">
            <v>N120TPE21</v>
          </cell>
          <cell r="C102" t="str">
            <v>N120T</v>
          </cell>
          <cell r="D102">
            <v>11</v>
          </cell>
          <cell r="E102">
            <v>10</v>
          </cell>
          <cell r="F102">
            <v>21</v>
          </cell>
          <cell r="G102">
            <v>6</v>
          </cell>
          <cell r="H102" t="str">
            <v>CG79</v>
          </cell>
          <cell r="I102" t="str">
            <v>CG84</v>
          </cell>
          <cell r="J102" t="str">
            <v>PE</v>
          </cell>
          <cell r="K102">
            <v>0</v>
          </cell>
          <cell r="L102">
            <v>0</v>
          </cell>
          <cell r="M102" t="str">
            <v>C12G2R/L</v>
          </cell>
          <cell r="N102" t="str">
            <v>P12G2</v>
          </cell>
          <cell r="O102">
            <v>0</v>
          </cell>
        </row>
        <row r="103">
          <cell r="A103" t="str">
            <v>N15027</v>
          </cell>
          <cell r="B103" t="str">
            <v>N150PE27</v>
          </cell>
          <cell r="C103" t="str">
            <v>N150</v>
          </cell>
          <cell r="D103">
            <v>13</v>
          </cell>
          <cell r="E103">
            <v>14</v>
          </cell>
          <cell r="F103">
            <v>27</v>
          </cell>
          <cell r="G103">
            <v>6</v>
          </cell>
          <cell r="H103" t="str">
            <v>CG82</v>
          </cell>
          <cell r="I103" t="str">
            <v>CG87</v>
          </cell>
          <cell r="J103" t="str">
            <v>PE</v>
          </cell>
          <cell r="K103">
            <v>0</v>
          </cell>
          <cell r="L103">
            <v>0</v>
          </cell>
          <cell r="M103" t="str">
            <v>C15G2R/L</v>
          </cell>
          <cell r="N103" t="str">
            <v>P1683</v>
          </cell>
          <cell r="O103">
            <v>22.4</v>
          </cell>
        </row>
        <row r="104">
          <cell r="A104" t="str">
            <v>N15030</v>
          </cell>
          <cell r="B104" t="str">
            <v>N150PE30</v>
          </cell>
          <cell r="C104" t="str">
            <v>N150</v>
          </cell>
          <cell r="D104">
            <v>15</v>
          </cell>
          <cell r="E104">
            <v>15</v>
          </cell>
          <cell r="F104">
            <v>30</v>
          </cell>
          <cell r="G104">
            <v>6</v>
          </cell>
          <cell r="H104" t="str">
            <v>CG80</v>
          </cell>
          <cell r="I104" t="str">
            <v>CG85</v>
          </cell>
          <cell r="J104" t="str">
            <v>PE</v>
          </cell>
          <cell r="K104">
            <v>0</v>
          </cell>
          <cell r="L104">
            <v>0</v>
          </cell>
          <cell r="M104" t="str">
            <v>C15G2R/L</v>
          </cell>
          <cell r="N104" t="str">
            <v>P1683</v>
          </cell>
          <cell r="O104">
            <v>22.4</v>
          </cell>
        </row>
        <row r="105">
          <cell r="A105" t="str">
            <v>N15025</v>
          </cell>
          <cell r="B105" t="str">
            <v>N150PE25</v>
          </cell>
          <cell r="C105" t="str">
            <v>N150</v>
          </cell>
          <cell r="D105">
            <v>12</v>
          </cell>
          <cell r="E105">
            <v>13</v>
          </cell>
          <cell r="F105">
            <v>25</v>
          </cell>
          <cell r="G105">
            <v>6</v>
          </cell>
          <cell r="H105" t="str">
            <v>CG82</v>
          </cell>
          <cell r="I105" t="str">
            <v>CG87</v>
          </cell>
          <cell r="J105" t="str">
            <v>PE</v>
          </cell>
          <cell r="K105">
            <v>0</v>
          </cell>
          <cell r="L105">
            <v>0</v>
          </cell>
          <cell r="M105" t="str">
            <v>C15G2R/L</v>
          </cell>
          <cell r="N105" t="str">
            <v>P1683</v>
          </cell>
          <cell r="O105">
            <v>22.4</v>
          </cell>
        </row>
        <row r="106">
          <cell r="A106" t="str">
            <v>N15023</v>
          </cell>
          <cell r="B106" t="str">
            <v>N150PE23</v>
          </cell>
          <cell r="C106" t="str">
            <v>N150</v>
          </cell>
          <cell r="D106">
            <v>11</v>
          </cell>
          <cell r="E106">
            <v>12</v>
          </cell>
          <cell r="F106">
            <v>23</v>
          </cell>
          <cell r="G106">
            <v>6</v>
          </cell>
          <cell r="H106" t="str">
            <v>CG82</v>
          </cell>
          <cell r="I106" t="str">
            <v>CG87</v>
          </cell>
          <cell r="J106" t="str">
            <v>PE</v>
          </cell>
          <cell r="K106">
            <v>0</v>
          </cell>
          <cell r="L106">
            <v>0</v>
          </cell>
          <cell r="M106" t="str">
            <v>C15G2R/L</v>
          </cell>
          <cell r="N106" t="str">
            <v>P1683</v>
          </cell>
          <cell r="O106">
            <v>22.4</v>
          </cell>
        </row>
        <row r="107">
          <cell r="A107" t="str">
            <v>N15027</v>
          </cell>
          <cell r="B107" t="str">
            <v>N150PULP27</v>
          </cell>
          <cell r="C107" t="str">
            <v>N150</v>
          </cell>
          <cell r="D107">
            <v>13</v>
          </cell>
          <cell r="E107">
            <v>14</v>
          </cell>
          <cell r="F107">
            <v>27</v>
          </cell>
          <cell r="G107">
            <v>6</v>
          </cell>
          <cell r="H107" t="str">
            <v>CG82</v>
          </cell>
          <cell r="I107" t="str">
            <v>CG87</v>
          </cell>
          <cell r="J107" t="str">
            <v>PULP</v>
          </cell>
          <cell r="K107">
            <v>0</v>
          </cell>
          <cell r="L107">
            <v>0</v>
          </cell>
          <cell r="M107" t="str">
            <v>C15G2R/L</v>
          </cell>
          <cell r="N107" t="str">
            <v>P1683</v>
          </cell>
          <cell r="O107">
            <v>22.4</v>
          </cell>
        </row>
        <row r="108">
          <cell r="A108" t="str">
            <v>N150H31</v>
          </cell>
          <cell r="B108" t="str">
            <v>N150HPULP31</v>
          </cell>
          <cell r="C108" t="str">
            <v>N150H</v>
          </cell>
          <cell r="D108">
            <v>16</v>
          </cell>
          <cell r="E108">
            <v>15</v>
          </cell>
          <cell r="F108">
            <v>31</v>
          </cell>
          <cell r="G108">
            <v>6</v>
          </cell>
          <cell r="H108" t="str">
            <v>CG80</v>
          </cell>
          <cell r="I108" t="str">
            <v>CG85</v>
          </cell>
          <cell r="J108" t="str">
            <v>PULP</v>
          </cell>
          <cell r="K108">
            <v>0</v>
          </cell>
          <cell r="L108">
            <v>0</v>
          </cell>
          <cell r="M108" t="str">
            <v>C15G2R/L</v>
          </cell>
          <cell r="N108" t="str">
            <v>P1683</v>
          </cell>
          <cell r="O108">
            <v>22.4</v>
          </cell>
        </row>
        <row r="109">
          <cell r="A109" t="str">
            <v>N150T29</v>
          </cell>
          <cell r="B109" t="str">
            <v>N150TPE29</v>
          </cell>
          <cell r="C109" t="str">
            <v>N150T</v>
          </cell>
          <cell r="D109">
            <v>15</v>
          </cell>
          <cell r="E109">
            <v>14</v>
          </cell>
          <cell r="F109">
            <v>29</v>
          </cell>
          <cell r="G109">
            <v>6</v>
          </cell>
          <cell r="H109" t="str">
            <v>CG79</v>
          </cell>
          <cell r="I109" t="str">
            <v>CG84</v>
          </cell>
          <cell r="J109" t="str">
            <v>PE</v>
          </cell>
          <cell r="K109">
            <v>0</v>
          </cell>
          <cell r="L109">
            <v>0</v>
          </cell>
          <cell r="M109" t="str">
            <v>C15G2R/L</v>
          </cell>
          <cell r="N109" t="str">
            <v>P1683</v>
          </cell>
          <cell r="O109">
            <v>0</v>
          </cell>
        </row>
        <row r="110">
          <cell r="A110" t="str">
            <v>N20029</v>
          </cell>
          <cell r="B110" t="str">
            <v>N200PULP29</v>
          </cell>
          <cell r="C110" t="str">
            <v>N200</v>
          </cell>
          <cell r="D110">
            <v>14</v>
          </cell>
          <cell r="E110">
            <v>15</v>
          </cell>
          <cell r="F110">
            <v>29</v>
          </cell>
          <cell r="G110">
            <v>6</v>
          </cell>
          <cell r="H110" t="str">
            <v>CG82</v>
          </cell>
          <cell r="I110" t="str">
            <v>CG87</v>
          </cell>
          <cell r="J110" t="str">
            <v>PULP</v>
          </cell>
          <cell r="K110">
            <v>0</v>
          </cell>
          <cell r="L110">
            <v>0</v>
          </cell>
          <cell r="M110" t="str">
            <v>C15G2R/L</v>
          </cell>
          <cell r="N110" t="str">
            <v>P18845</v>
          </cell>
          <cell r="O110">
            <v>30.1</v>
          </cell>
        </row>
        <row r="111">
          <cell r="A111" t="str">
            <v>N20033</v>
          </cell>
          <cell r="B111" t="str">
            <v>N200PE33</v>
          </cell>
          <cell r="C111" t="str">
            <v>N200</v>
          </cell>
          <cell r="D111">
            <v>16</v>
          </cell>
          <cell r="E111">
            <v>17</v>
          </cell>
          <cell r="F111">
            <v>33</v>
          </cell>
          <cell r="G111">
            <v>6</v>
          </cell>
          <cell r="H111" t="str">
            <v>CG82</v>
          </cell>
          <cell r="I111" t="str">
            <v>CG87</v>
          </cell>
          <cell r="J111" t="str">
            <v>PE</v>
          </cell>
          <cell r="K111">
            <v>0</v>
          </cell>
          <cell r="L111">
            <v>0</v>
          </cell>
          <cell r="M111" t="str">
            <v>C15G2R/L</v>
          </cell>
          <cell r="N111" t="str">
            <v>P18845</v>
          </cell>
          <cell r="O111">
            <v>30.1</v>
          </cell>
        </row>
        <row r="112">
          <cell r="A112" t="str">
            <v>N20031</v>
          </cell>
          <cell r="B112" t="str">
            <v>N200PE31</v>
          </cell>
          <cell r="C112" t="str">
            <v>N200</v>
          </cell>
          <cell r="D112">
            <v>15</v>
          </cell>
          <cell r="E112">
            <v>16</v>
          </cell>
          <cell r="F112">
            <v>31</v>
          </cell>
          <cell r="G112">
            <v>6</v>
          </cell>
          <cell r="H112" t="str">
            <v>CG82</v>
          </cell>
          <cell r="I112" t="str">
            <v>CG87</v>
          </cell>
          <cell r="J112" t="str">
            <v>PE</v>
          </cell>
          <cell r="K112">
            <v>0</v>
          </cell>
          <cell r="L112">
            <v>0</v>
          </cell>
          <cell r="M112" t="str">
            <v>C15G2R/L</v>
          </cell>
          <cell r="N112" t="str">
            <v>P18845</v>
          </cell>
          <cell r="O112">
            <v>30.1</v>
          </cell>
        </row>
        <row r="113">
          <cell r="A113" t="str">
            <v>N20035</v>
          </cell>
          <cell r="B113" t="str">
            <v>N200PE35</v>
          </cell>
          <cell r="C113" t="str">
            <v>N200</v>
          </cell>
          <cell r="D113">
            <v>17</v>
          </cell>
          <cell r="E113">
            <v>18</v>
          </cell>
          <cell r="F113">
            <v>35</v>
          </cell>
          <cell r="G113">
            <v>6</v>
          </cell>
          <cell r="H113" t="str">
            <v>CG82</v>
          </cell>
          <cell r="I113" t="str">
            <v>CG87</v>
          </cell>
          <cell r="J113" t="str">
            <v>PE</v>
          </cell>
          <cell r="K113">
            <v>0</v>
          </cell>
          <cell r="L113">
            <v>0</v>
          </cell>
          <cell r="M113" t="str">
            <v>C15G2R/L</v>
          </cell>
          <cell r="N113" t="str">
            <v>P18845</v>
          </cell>
          <cell r="O113">
            <v>30.1</v>
          </cell>
        </row>
        <row r="114">
          <cell r="A114" t="str">
            <v>N20037</v>
          </cell>
          <cell r="B114" t="str">
            <v>N200PE37</v>
          </cell>
          <cell r="C114" t="str">
            <v>N200</v>
          </cell>
          <cell r="D114">
            <v>18</v>
          </cell>
          <cell r="E114">
            <v>19</v>
          </cell>
          <cell r="F114">
            <v>37</v>
          </cell>
          <cell r="G114">
            <v>6</v>
          </cell>
          <cell r="H114" t="str">
            <v>CG82</v>
          </cell>
          <cell r="I114" t="str">
            <v>CG87</v>
          </cell>
          <cell r="J114" t="str">
            <v>PE</v>
          </cell>
          <cell r="K114">
            <v>0</v>
          </cell>
          <cell r="L114">
            <v>0</v>
          </cell>
          <cell r="M114" t="str">
            <v>C15G2R/L</v>
          </cell>
          <cell r="N114" t="str">
            <v>P18845</v>
          </cell>
          <cell r="O114">
            <v>30.1</v>
          </cell>
        </row>
        <row r="115">
          <cell r="A115" t="str">
            <v>N20037</v>
          </cell>
          <cell r="B115" t="str">
            <v>N200PULP37</v>
          </cell>
          <cell r="C115" t="str">
            <v>N200</v>
          </cell>
          <cell r="D115">
            <v>18</v>
          </cell>
          <cell r="E115">
            <v>19</v>
          </cell>
          <cell r="F115">
            <v>37</v>
          </cell>
          <cell r="G115">
            <v>6</v>
          </cell>
          <cell r="H115" t="str">
            <v>CG82</v>
          </cell>
          <cell r="I115" t="str">
            <v>CG87</v>
          </cell>
          <cell r="J115" t="str">
            <v>PULP</v>
          </cell>
          <cell r="K115">
            <v>0</v>
          </cell>
          <cell r="L115">
            <v>0</v>
          </cell>
          <cell r="M115" t="str">
            <v>C15G2R/L</v>
          </cell>
          <cell r="N115" t="str">
            <v>P18845</v>
          </cell>
          <cell r="O115">
            <v>30.1</v>
          </cell>
        </row>
        <row r="116">
          <cell r="A116" t="str">
            <v>N200H40</v>
          </cell>
          <cell r="B116" t="str">
            <v>N200HPULP40</v>
          </cell>
          <cell r="C116" t="str">
            <v>N200H</v>
          </cell>
          <cell r="D116">
            <v>20</v>
          </cell>
          <cell r="E116">
            <v>20</v>
          </cell>
          <cell r="F116">
            <v>40</v>
          </cell>
          <cell r="G116">
            <v>6</v>
          </cell>
          <cell r="H116" t="str">
            <v>CG80</v>
          </cell>
          <cell r="I116" t="str">
            <v>CG85</v>
          </cell>
          <cell r="J116" t="str">
            <v>PULP</v>
          </cell>
          <cell r="K116">
            <v>0</v>
          </cell>
          <cell r="L116">
            <v>0</v>
          </cell>
          <cell r="M116" t="str">
            <v>C15G2R/L</v>
          </cell>
          <cell r="N116" t="str">
            <v>P18845</v>
          </cell>
          <cell r="O116">
            <v>30.1</v>
          </cell>
        </row>
        <row r="117">
          <cell r="A117" t="str">
            <v>N200T37</v>
          </cell>
          <cell r="B117" t="str">
            <v>N200TPE37</v>
          </cell>
          <cell r="C117" t="str">
            <v>N200T</v>
          </cell>
          <cell r="D117">
            <v>19</v>
          </cell>
          <cell r="E117">
            <v>18</v>
          </cell>
          <cell r="F117">
            <v>37</v>
          </cell>
          <cell r="G117">
            <v>6</v>
          </cell>
          <cell r="H117" t="str">
            <v>CG79</v>
          </cell>
          <cell r="I117" t="str">
            <v>CG84</v>
          </cell>
          <cell r="J117" t="str">
            <v>PE</v>
          </cell>
          <cell r="K117">
            <v>0</v>
          </cell>
          <cell r="L117">
            <v>0</v>
          </cell>
          <cell r="M117" t="str">
            <v>C15G2R/L</v>
          </cell>
          <cell r="N117" t="str">
            <v>P18845</v>
          </cell>
          <cell r="O117">
            <v>30.9</v>
          </cell>
        </row>
        <row r="118">
          <cell r="A118" t="str">
            <v>MFN20037</v>
          </cell>
          <cell r="B118" t="str">
            <v>MFN200PE37</v>
          </cell>
          <cell r="C118" t="str">
            <v>MFN200</v>
          </cell>
          <cell r="D118">
            <v>19</v>
          </cell>
          <cell r="E118">
            <v>18</v>
          </cell>
          <cell r="F118">
            <v>37</v>
          </cell>
          <cell r="G118">
            <v>6</v>
          </cell>
          <cell r="H118" t="str">
            <v>YG82</v>
          </cell>
          <cell r="I118" t="str">
            <v>YG85</v>
          </cell>
          <cell r="J118" t="str">
            <v>PE</v>
          </cell>
          <cell r="K118">
            <v>0</v>
          </cell>
          <cell r="L118">
            <v>0</v>
          </cell>
          <cell r="M118" t="str">
            <v>C15G2R/L</v>
          </cell>
          <cell r="N118" t="str">
            <v>P18865</v>
          </cell>
          <cell r="O118">
            <v>30.9</v>
          </cell>
        </row>
        <row r="119">
          <cell r="A119" t="str">
            <v>MFN20040</v>
          </cell>
          <cell r="B119" t="str">
            <v>MFN200PE40</v>
          </cell>
          <cell r="C119" t="str">
            <v>MFN200</v>
          </cell>
          <cell r="D119">
            <v>20</v>
          </cell>
          <cell r="E119">
            <v>20</v>
          </cell>
          <cell r="F119">
            <v>40</v>
          </cell>
          <cell r="G119">
            <v>6</v>
          </cell>
          <cell r="H119" t="str">
            <v>YG79HD</v>
          </cell>
          <cell r="I119" t="str">
            <v>YG85</v>
          </cell>
          <cell r="J119" t="str">
            <v>PE</v>
          </cell>
          <cell r="K119">
            <v>0</v>
          </cell>
          <cell r="L119">
            <v>0</v>
          </cell>
          <cell r="M119" t="str">
            <v>C15G2R/L</v>
          </cell>
          <cell r="N119" t="str">
            <v>P18865</v>
          </cell>
          <cell r="O119">
            <v>30.9</v>
          </cell>
        </row>
        <row r="120">
          <cell r="A120" t="str">
            <v>N4011</v>
          </cell>
          <cell r="B120" t="str">
            <v>N40PE11</v>
          </cell>
          <cell r="C120" t="str">
            <v>N40</v>
          </cell>
          <cell r="D120">
            <v>5</v>
          </cell>
          <cell r="E120">
            <v>6</v>
          </cell>
          <cell r="F120">
            <v>11</v>
          </cell>
          <cell r="G120">
            <v>6</v>
          </cell>
          <cell r="H120" t="str">
            <v>CM84</v>
          </cell>
          <cell r="I120" t="str">
            <v>CM87</v>
          </cell>
          <cell r="J120" t="str">
            <v>PE</v>
          </cell>
          <cell r="K120">
            <v>0</v>
          </cell>
          <cell r="L120">
            <v>0</v>
          </cell>
          <cell r="M120" t="str">
            <v>C4A R/L</v>
          </cell>
          <cell r="N120" t="str">
            <v>P4M</v>
          </cell>
          <cell r="O120">
            <v>6.8</v>
          </cell>
        </row>
        <row r="121">
          <cell r="A121" t="str">
            <v>N4011</v>
          </cell>
          <cell r="B121" t="str">
            <v>N40PULP11</v>
          </cell>
          <cell r="C121" t="str">
            <v>N40</v>
          </cell>
          <cell r="D121">
            <v>5</v>
          </cell>
          <cell r="E121">
            <v>6</v>
          </cell>
          <cell r="F121">
            <v>11</v>
          </cell>
          <cell r="G121">
            <v>6</v>
          </cell>
          <cell r="H121" t="str">
            <v>CM84</v>
          </cell>
          <cell r="I121" t="str">
            <v>CM87</v>
          </cell>
          <cell r="J121" t="str">
            <v>PULP</v>
          </cell>
          <cell r="K121">
            <v>0</v>
          </cell>
          <cell r="L121">
            <v>0</v>
          </cell>
          <cell r="M121" t="str">
            <v>C4A R/L</v>
          </cell>
          <cell r="N121" t="str">
            <v>P4M</v>
          </cell>
          <cell r="O121">
            <v>6.8</v>
          </cell>
        </row>
        <row r="122">
          <cell r="A122" t="str">
            <v>N200H41</v>
          </cell>
          <cell r="B122" t="str">
            <v>N200HPE41</v>
          </cell>
          <cell r="C122" t="str">
            <v>N200H</v>
          </cell>
          <cell r="D122">
            <v>20</v>
          </cell>
          <cell r="E122">
            <v>21</v>
          </cell>
          <cell r="F122">
            <v>41</v>
          </cell>
          <cell r="G122">
            <v>6</v>
          </cell>
          <cell r="H122" t="str">
            <v>CG80</v>
          </cell>
          <cell r="I122" t="str">
            <v>CG85</v>
          </cell>
          <cell r="J122" t="str">
            <v>PE</v>
          </cell>
          <cell r="K122">
            <v>0</v>
          </cell>
          <cell r="L122">
            <v>0</v>
          </cell>
          <cell r="M122" t="str">
            <v>C15G2R/L</v>
          </cell>
          <cell r="N122" t="str">
            <v>P18865</v>
          </cell>
          <cell r="O122">
            <v>7</v>
          </cell>
        </row>
        <row r="123">
          <cell r="A123" t="str">
            <v>N40L9</v>
          </cell>
          <cell r="B123" t="str">
            <v>N40LPE9</v>
          </cell>
          <cell r="C123" t="str">
            <v>N40L</v>
          </cell>
          <cell r="D123">
            <v>4</v>
          </cell>
          <cell r="E123">
            <v>5</v>
          </cell>
          <cell r="F123">
            <v>9</v>
          </cell>
          <cell r="G123">
            <v>6</v>
          </cell>
          <cell r="H123" t="str">
            <v>CM84</v>
          </cell>
          <cell r="I123" t="str">
            <v>CM87</v>
          </cell>
          <cell r="J123" t="str">
            <v>PE</v>
          </cell>
          <cell r="K123">
            <v>0</v>
          </cell>
          <cell r="L123">
            <v>0</v>
          </cell>
          <cell r="M123" t="str">
            <v>C4A R/L</v>
          </cell>
          <cell r="N123" t="str">
            <v>P4M</v>
          </cell>
          <cell r="O123">
            <v>7</v>
          </cell>
        </row>
        <row r="124">
          <cell r="A124" t="str">
            <v>N50L11</v>
          </cell>
          <cell r="B124" t="str">
            <v>N50LPE11</v>
          </cell>
          <cell r="C124" t="str">
            <v>N50L</v>
          </cell>
          <cell r="D124">
            <v>5</v>
          </cell>
          <cell r="E124">
            <v>6</v>
          </cell>
          <cell r="F124">
            <v>11</v>
          </cell>
          <cell r="G124">
            <v>6</v>
          </cell>
          <cell r="H124" t="str">
            <v>CG80</v>
          </cell>
          <cell r="I124" t="str">
            <v>CG87</v>
          </cell>
          <cell r="J124" t="str">
            <v>PE</v>
          </cell>
          <cell r="K124">
            <v>0</v>
          </cell>
          <cell r="L124">
            <v>0</v>
          </cell>
          <cell r="M124" t="str">
            <v>C5C R/L</v>
          </cell>
          <cell r="N124" t="str">
            <v>P7T</v>
          </cell>
          <cell r="O124">
            <v>6.8</v>
          </cell>
        </row>
        <row r="125">
          <cell r="A125" t="str">
            <v>N5011</v>
          </cell>
          <cell r="B125" t="str">
            <v>N50PE11</v>
          </cell>
          <cell r="C125" t="str">
            <v>N50</v>
          </cell>
          <cell r="D125">
            <v>5</v>
          </cell>
          <cell r="E125">
            <v>6</v>
          </cell>
          <cell r="F125">
            <v>11</v>
          </cell>
          <cell r="G125">
            <v>6</v>
          </cell>
          <cell r="H125" t="str">
            <v>CG80</v>
          </cell>
          <cell r="I125" t="str">
            <v>CG87</v>
          </cell>
          <cell r="J125" t="str">
            <v>PE</v>
          </cell>
          <cell r="K125">
            <v>0</v>
          </cell>
          <cell r="L125">
            <v>0</v>
          </cell>
          <cell r="M125" t="str">
            <v>C5C R/L</v>
          </cell>
          <cell r="N125" t="str">
            <v>P7T</v>
          </cell>
          <cell r="O125">
            <v>7</v>
          </cell>
        </row>
        <row r="126">
          <cell r="A126" t="str">
            <v>N509</v>
          </cell>
          <cell r="B126" t="str">
            <v>N50PE9</v>
          </cell>
          <cell r="C126" t="str">
            <v>N50</v>
          </cell>
          <cell r="D126">
            <v>4</v>
          </cell>
          <cell r="E126">
            <v>5</v>
          </cell>
          <cell r="F126">
            <v>9</v>
          </cell>
          <cell r="G126">
            <v>6</v>
          </cell>
          <cell r="H126" t="str">
            <v>CG80</v>
          </cell>
          <cell r="I126" t="str">
            <v>CG87</v>
          </cell>
          <cell r="J126" t="str">
            <v>PE</v>
          </cell>
          <cell r="K126">
            <v>0</v>
          </cell>
          <cell r="L126">
            <v>0</v>
          </cell>
          <cell r="M126" t="str">
            <v>C5C R/L</v>
          </cell>
          <cell r="N126" t="str">
            <v>P7T</v>
          </cell>
          <cell r="O126">
            <v>8.1999999999999993</v>
          </cell>
        </row>
        <row r="127">
          <cell r="A127" t="str">
            <v>N507</v>
          </cell>
          <cell r="B127" t="str">
            <v>N50PE7</v>
          </cell>
          <cell r="C127" t="str">
            <v>N50</v>
          </cell>
          <cell r="D127">
            <v>3</v>
          </cell>
          <cell r="E127">
            <v>4</v>
          </cell>
          <cell r="F127">
            <v>7</v>
          </cell>
          <cell r="G127">
            <v>6</v>
          </cell>
          <cell r="H127" t="str">
            <v>CG80</v>
          </cell>
          <cell r="I127" t="str">
            <v>CG87</v>
          </cell>
          <cell r="J127" t="str">
            <v>PE</v>
          </cell>
          <cell r="K127">
            <v>0</v>
          </cell>
          <cell r="L127">
            <v>0</v>
          </cell>
          <cell r="M127" t="str">
            <v>C5C R/L</v>
          </cell>
          <cell r="N127" t="str">
            <v>P7T</v>
          </cell>
          <cell r="O127">
            <v>8.1999999999999993</v>
          </cell>
        </row>
        <row r="128">
          <cell r="A128" t="str">
            <v>N509</v>
          </cell>
          <cell r="B128" t="str">
            <v>N50PULP9</v>
          </cell>
          <cell r="C128" t="str">
            <v>N50</v>
          </cell>
          <cell r="D128">
            <v>4</v>
          </cell>
          <cell r="E128">
            <v>5</v>
          </cell>
          <cell r="F128">
            <v>9</v>
          </cell>
          <cell r="G128">
            <v>6</v>
          </cell>
          <cell r="H128" t="str">
            <v>CG80</v>
          </cell>
          <cell r="I128" t="str">
            <v>CG87</v>
          </cell>
          <cell r="J128" t="str">
            <v>PULP</v>
          </cell>
          <cell r="K128">
            <v>0</v>
          </cell>
          <cell r="L128">
            <v>0</v>
          </cell>
          <cell r="M128" t="str">
            <v>C5C R/L</v>
          </cell>
          <cell r="N128" t="str">
            <v>P7T</v>
          </cell>
          <cell r="O128">
            <v>8.1999999999999993</v>
          </cell>
        </row>
        <row r="129">
          <cell r="A129" t="str">
            <v>N50L9</v>
          </cell>
          <cell r="B129" t="str">
            <v>N50LPE9</v>
          </cell>
          <cell r="C129" t="str">
            <v>N50L</v>
          </cell>
          <cell r="D129">
            <v>4</v>
          </cell>
          <cell r="E129">
            <v>5</v>
          </cell>
          <cell r="F129">
            <v>9</v>
          </cell>
          <cell r="G129">
            <v>6</v>
          </cell>
          <cell r="H129" t="str">
            <v>CG80</v>
          </cell>
          <cell r="I129" t="str">
            <v>CG87</v>
          </cell>
          <cell r="J129" t="str">
            <v>PE</v>
          </cell>
          <cell r="K129">
            <v>0</v>
          </cell>
          <cell r="L129">
            <v>0</v>
          </cell>
          <cell r="M129" t="str">
            <v>C5C R/L</v>
          </cell>
          <cell r="N129" t="str">
            <v>P7T</v>
          </cell>
          <cell r="O129">
            <v>8.1999999999999993</v>
          </cell>
        </row>
        <row r="130">
          <cell r="A130" t="str">
            <v>N5012</v>
          </cell>
          <cell r="B130" t="str">
            <v>N50PULP12</v>
          </cell>
          <cell r="C130" t="str">
            <v>N50</v>
          </cell>
          <cell r="D130">
            <v>6</v>
          </cell>
          <cell r="E130">
            <v>6</v>
          </cell>
          <cell r="F130">
            <v>12</v>
          </cell>
          <cell r="G130">
            <v>6</v>
          </cell>
          <cell r="H130" t="str">
            <v>CG80</v>
          </cell>
          <cell r="I130" t="str">
            <v>CG87</v>
          </cell>
          <cell r="J130" t="str">
            <v>PULP</v>
          </cell>
          <cell r="K130">
            <v>0</v>
          </cell>
          <cell r="L130">
            <v>0</v>
          </cell>
          <cell r="M130" t="str">
            <v>C5C R/L</v>
          </cell>
          <cell r="N130" t="str">
            <v>P7T</v>
          </cell>
          <cell r="O130">
            <v>8.1999999999999993</v>
          </cell>
        </row>
        <row r="131">
          <cell r="A131" t="str">
            <v>N50L12</v>
          </cell>
          <cell r="B131" t="str">
            <v>N50LPULP12</v>
          </cell>
          <cell r="C131" t="str">
            <v>N50L</v>
          </cell>
          <cell r="D131">
            <v>6</v>
          </cell>
          <cell r="E131">
            <v>6</v>
          </cell>
          <cell r="F131">
            <v>12</v>
          </cell>
          <cell r="G131">
            <v>6</v>
          </cell>
          <cell r="H131" t="str">
            <v>CG80</v>
          </cell>
          <cell r="I131" t="str">
            <v>CG87</v>
          </cell>
          <cell r="J131" t="str">
            <v>PULP</v>
          </cell>
          <cell r="K131">
            <v>0</v>
          </cell>
          <cell r="L131">
            <v>0</v>
          </cell>
          <cell r="M131" t="str">
            <v>C5C R/L</v>
          </cell>
          <cell r="N131" t="str">
            <v>P7T</v>
          </cell>
          <cell r="O131">
            <v>8.1999999999999993</v>
          </cell>
        </row>
        <row r="132">
          <cell r="A132" t="str">
            <v>N50L7</v>
          </cell>
          <cell r="B132" t="str">
            <v>N50LPE7</v>
          </cell>
          <cell r="C132" t="str">
            <v>N50L</v>
          </cell>
          <cell r="D132">
            <v>3</v>
          </cell>
          <cell r="E132">
            <v>4</v>
          </cell>
          <cell r="F132">
            <v>7</v>
          </cell>
          <cell r="G132">
            <v>6</v>
          </cell>
          <cell r="H132" t="str">
            <v>CG80</v>
          </cell>
          <cell r="I132" t="str">
            <v>CG87</v>
          </cell>
          <cell r="J132" t="str">
            <v>PE</v>
          </cell>
          <cell r="K132">
            <v>0</v>
          </cell>
          <cell r="L132">
            <v>0</v>
          </cell>
          <cell r="M132" t="str">
            <v>C5C R/L</v>
          </cell>
          <cell r="N132" t="str">
            <v>P7T</v>
          </cell>
          <cell r="O132">
            <v>8.1999999999999993</v>
          </cell>
        </row>
        <row r="133">
          <cell r="A133" t="str">
            <v>N50L9</v>
          </cell>
          <cell r="B133" t="str">
            <v>N50LPULP9</v>
          </cell>
          <cell r="C133" t="str">
            <v>N50L</v>
          </cell>
          <cell r="D133">
            <v>4</v>
          </cell>
          <cell r="E133">
            <v>5</v>
          </cell>
          <cell r="F133">
            <v>9</v>
          </cell>
          <cell r="G133">
            <v>6</v>
          </cell>
          <cell r="H133" t="str">
            <v>CG80</v>
          </cell>
          <cell r="I133" t="str">
            <v>CG87</v>
          </cell>
          <cell r="J133" t="str">
            <v>PULP</v>
          </cell>
          <cell r="K133">
            <v>0</v>
          </cell>
          <cell r="L133">
            <v>0</v>
          </cell>
          <cell r="M133" t="str">
            <v>C5C R/L</v>
          </cell>
          <cell r="N133" t="str">
            <v>P7T</v>
          </cell>
          <cell r="O133">
            <v>8.1999999999999993</v>
          </cell>
        </row>
        <row r="134">
          <cell r="A134" t="str">
            <v>N50Z11</v>
          </cell>
          <cell r="B134" t="str">
            <v>N50ZPE11</v>
          </cell>
          <cell r="C134" t="str">
            <v>N50Z</v>
          </cell>
          <cell r="D134">
            <v>5</v>
          </cell>
          <cell r="E134">
            <v>6</v>
          </cell>
          <cell r="F134">
            <v>11</v>
          </cell>
          <cell r="G134">
            <v>6</v>
          </cell>
          <cell r="H134" t="str">
            <v>CG80</v>
          </cell>
          <cell r="I134" t="str">
            <v>CG87</v>
          </cell>
          <cell r="J134" t="str">
            <v>PE</v>
          </cell>
          <cell r="K134">
            <v>0</v>
          </cell>
          <cell r="L134">
            <v>0</v>
          </cell>
          <cell r="M134" t="str">
            <v>C5C R/L</v>
          </cell>
          <cell r="N134" t="str">
            <v>P7T</v>
          </cell>
          <cell r="O134">
            <v>9.6999999999999993</v>
          </cell>
        </row>
        <row r="135">
          <cell r="A135" t="str">
            <v>N50Z11</v>
          </cell>
          <cell r="B135" t="str">
            <v>N50ZPULP11</v>
          </cell>
          <cell r="C135" t="str">
            <v>N50Z</v>
          </cell>
          <cell r="D135">
            <v>5</v>
          </cell>
          <cell r="E135">
            <v>6</v>
          </cell>
          <cell r="F135">
            <v>11</v>
          </cell>
          <cell r="G135">
            <v>6</v>
          </cell>
          <cell r="H135" t="str">
            <v>CG80</v>
          </cell>
          <cell r="I135" t="str">
            <v>CG87</v>
          </cell>
          <cell r="J135" t="str">
            <v>PULP</v>
          </cell>
          <cell r="K135">
            <v>0</v>
          </cell>
          <cell r="L135">
            <v>0</v>
          </cell>
          <cell r="M135" t="str">
            <v>C5C R/L</v>
          </cell>
          <cell r="N135" t="str">
            <v>P7T</v>
          </cell>
          <cell r="O135">
            <v>9.6999999999999993</v>
          </cell>
        </row>
        <row r="136">
          <cell r="A136" t="str">
            <v>N50Z9</v>
          </cell>
          <cell r="B136" t="str">
            <v>N50ZPE9</v>
          </cell>
          <cell r="C136" t="str">
            <v>N50Z</v>
          </cell>
          <cell r="D136">
            <v>4</v>
          </cell>
          <cell r="E136">
            <v>5</v>
          </cell>
          <cell r="F136">
            <v>9</v>
          </cell>
          <cell r="G136">
            <v>6</v>
          </cell>
          <cell r="H136" t="str">
            <v>CG80</v>
          </cell>
          <cell r="I136" t="str">
            <v>CG87</v>
          </cell>
          <cell r="J136" t="str">
            <v>PE</v>
          </cell>
          <cell r="K136">
            <v>0</v>
          </cell>
          <cell r="L136">
            <v>0</v>
          </cell>
          <cell r="M136" t="str">
            <v>C5C R/L</v>
          </cell>
          <cell r="N136" t="str">
            <v>P7T</v>
          </cell>
          <cell r="O136">
            <v>9.6999999999999993</v>
          </cell>
        </row>
        <row r="137">
          <cell r="A137" t="str">
            <v>N50ZL11</v>
          </cell>
          <cell r="B137" t="str">
            <v>N50ZLPE11</v>
          </cell>
          <cell r="C137" t="str">
            <v>N50ZL</v>
          </cell>
          <cell r="D137">
            <v>5</v>
          </cell>
          <cell r="E137">
            <v>6</v>
          </cell>
          <cell r="F137">
            <v>11</v>
          </cell>
          <cell r="G137">
            <v>6</v>
          </cell>
          <cell r="H137" t="str">
            <v>CG80</v>
          </cell>
          <cell r="I137" t="str">
            <v>CG87</v>
          </cell>
          <cell r="J137" t="str">
            <v>PE</v>
          </cell>
          <cell r="K137">
            <v>0</v>
          </cell>
          <cell r="L137">
            <v>0</v>
          </cell>
          <cell r="M137" t="str">
            <v>C5C R/L</v>
          </cell>
          <cell r="N137" t="str">
            <v>P7T</v>
          </cell>
          <cell r="O137">
            <v>9.6999999999999993</v>
          </cell>
        </row>
        <row r="138">
          <cell r="A138" t="str">
            <v>N50ZL11</v>
          </cell>
          <cell r="B138" t="str">
            <v>N50ZLPULP11</v>
          </cell>
          <cell r="C138" t="str">
            <v>N50ZL</v>
          </cell>
          <cell r="D138">
            <v>5</v>
          </cell>
          <cell r="E138">
            <v>6</v>
          </cell>
          <cell r="F138">
            <v>11</v>
          </cell>
          <cell r="G138">
            <v>6</v>
          </cell>
          <cell r="H138" t="str">
            <v>CG80</v>
          </cell>
          <cell r="I138" t="str">
            <v>CG87</v>
          </cell>
          <cell r="J138" t="str">
            <v>PULP</v>
          </cell>
          <cell r="K138">
            <v>0</v>
          </cell>
          <cell r="L138">
            <v>0</v>
          </cell>
          <cell r="M138" t="str">
            <v>C5C R/L</v>
          </cell>
          <cell r="N138" t="str">
            <v>P7T</v>
          </cell>
          <cell r="O138">
            <v>9.6999999999999993</v>
          </cell>
        </row>
        <row r="139">
          <cell r="A139" t="str">
            <v>N50ZL9</v>
          </cell>
          <cell r="B139" t="str">
            <v>N50ZLPE9</v>
          </cell>
          <cell r="C139" t="str">
            <v>N50ZL</v>
          </cell>
          <cell r="D139">
            <v>4</v>
          </cell>
          <cell r="E139">
            <v>5</v>
          </cell>
          <cell r="F139">
            <v>9</v>
          </cell>
          <cell r="G139">
            <v>6</v>
          </cell>
          <cell r="H139" t="str">
            <v>CG80</v>
          </cell>
          <cell r="I139" t="str">
            <v>CG87</v>
          </cell>
          <cell r="J139" t="str">
            <v>PE</v>
          </cell>
          <cell r="K139">
            <v>0</v>
          </cell>
          <cell r="L139">
            <v>0</v>
          </cell>
          <cell r="M139" t="str">
            <v>C5C R/L</v>
          </cell>
          <cell r="N139" t="str">
            <v>P7T</v>
          </cell>
          <cell r="O139">
            <v>9.6999999999999993</v>
          </cell>
        </row>
        <row r="140">
          <cell r="A140" t="str">
            <v>N5213</v>
          </cell>
          <cell r="B140" t="str">
            <v>N52PE13</v>
          </cell>
          <cell r="C140" t="str">
            <v>N52</v>
          </cell>
          <cell r="D140">
            <v>6</v>
          </cell>
          <cell r="E140">
            <v>7</v>
          </cell>
          <cell r="F140">
            <v>13</v>
          </cell>
          <cell r="G140">
            <v>6</v>
          </cell>
          <cell r="H140" t="str">
            <v>CG82</v>
          </cell>
          <cell r="I140" t="str">
            <v>CG87</v>
          </cell>
          <cell r="J140" t="str">
            <v>PE</v>
          </cell>
          <cell r="K140">
            <v>0</v>
          </cell>
          <cell r="L140">
            <v>0</v>
          </cell>
          <cell r="M140" t="str">
            <v>C5C R/L</v>
          </cell>
          <cell r="N140" t="str">
            <v>P7T</v>
          </cell>
          <cell r="O140">
            <v>9.35</v>
          </cell>
        </row>
        <row r="141">
          <cell r="A141" t="str">
            <v>N5313</v>
          </cell>
          <cell r="B141" t="str">
            <v>N53PE13</v>
          </cell>
          <cell r="C141" t="str">
            <v>N53</v>
          </cell>
          <cell r="D141">
            <v>6</v>
          </cell>
          <cell r="E141">
            <v>7</v>
          </cell>
          <cell r="F141">
            <v>13</v>
          </cell>
          <cell r="G141">
            <v>6</v>
          </cell>
          <cell r="H141" t="str">
            <v>CG82</v>
          </cell>
          <cell r="I141" t="str">
            <v>CG87</v>
          </cell>
          <cell r="J141" t="str">
            <v>PE</v>
          </cell>
          <cell r="K141">
            <v>0</v>
          </cell>
          <cell r="L141">
            <v>0</v>
          </cell>
          <cell r="M141" t="str">
            <v>C5C R/L</v>
          </cell>
          <cell r="N141" t="str">
            <v>P7T</v>
          </cell>
          <cell r="O141">
            <v>9.35</v>
          </cell>
        </row>
        <row r="142">
          <cell r="A142" t="str">
            <v>N7011</v>
          </cell>
          <cell r="B142" t="str">
            <v>N70PE11</v>
          </cell>
          <cell r="C142" t="str">
            <v>N70</v>
          </cell>
          <cell r="D142">
            <v>5</v>
          </cell>
          <cell r="E142">
            <v>6</v>
          </cell>
          <cell r="F142">
            <v>11</v>
          </cell>
          <cell r="G142">
            <v>6</v>
          </cell>
          <cell r="H142" t="str">
            <v>CG82</v>
          </cell>
          <cell r="I142" t="str">
            <v>CG87</v>
          </cell>
          <cell r="J142" t="str">
            <v>PE</v>
          </cell>
          <cell r="K142">
            <v>0</v>
          </cell>
          <cell r="L142">
            <v>0</v>
          </cell>
          <cell r="M142" t="str">
            <v>C5B R/L</v>
          </cell>
          <cell r="N142" t="str">
            <v>P7T</v>
          </cell>
          <cell r="O142">
            <v>10.9</v>
          </cell>
        </row>
        <row r="143">
          <cell r="A143" t="str">
            <v>N7013</v>
          </cell>
          <cell r="B143" t="str">
            <v>N70PE13</v>
          </cell>
          <cell r="C143" t="str">
            <v>N70</v>
          </cell>
          <cell r="D143">
            <v>6</v>
          </cell>
          <cell r="E143">
            <v>7</v>
          </cell>
          <cell r="F143">
            <v>13</v>
          </cell>
          <cell r="G143">
            <v>6</v>
          </cell>
          <cell r="H143" t="str">
            <v>CG82</v>
          </cell>
          <cell r="I143" t="str">
            <v>CG87</v>
          </cell>
          <cell r="J143" t="str">
            <v>PE</v>
          </cell>
          <cell r="K143">
            <v>0</v>
          </cell>
          <cell r="L143">
            <v>0</v>
          </cell>
          <cell r="M143" t="str">
            <v>C5B R/L</v>
          </cell>
          <cell r="N143" t="str">
            <v>P7T</v>
          </cell>
          <cell r="O143">
            <v>10.9</v>
          </cell>
        </row>
        <row r="144">
          <cell r="A144" t="str">
            <v>N7013</v>
          </cell>
          <cell r="B144" t="str">
            <v>N70PULP13</v>
          </cell>
          <cell r="C144" t="str">
            <v>N70</v>
          </cell>
          <cell r="D144">
            <v>6</v>
          </cell>
          <cell r="E144">
            <v>7</v>
          </cell>
          <cell r="F144">
            <v>13</v>
          </cell>
          <cell r="G144">
            <v>6</v>
          </cell>
          <cell r="H144" t="str">
            <v>CG82</v>
          </cell>
          <cell r="I144" t="str">
            <v>CG87</v>
          </cell>
          <cell r="J144" t="str">
            <v>PULP</v>
          </cell>
          <cell r="K144">
            <v>0</v>
          </cell>
          <cell r="L144">
            <v>0</v>
          </cell>
          <cell r="M144" t="str">
            <v>C5B R/L</v>
          </cell>
          <cell r="N144" t="str">
            <v>P7T</v>
          </cell>
          <cell r="O144">
            <v>10.9</v>
          </cell>
        </row>
        <row r="145">
          <cell r="A145" t="str">
            <v>N70H15</v>
          </cell>
          <cell r="B145" t="str">
            <v>N70HPULP15</v>
          </cell>
          <cell r="C145" t="str">
            <v>N70H</v>
          </cell>
          <cell r="D145">
            <v>7</v>
          </cell>
          <cell r="E145">
            <v>8</v>
          </cell>
          <cell r="F145">
            <v>15</v>
          </cell>
          <cell r="G145">
            <v>6</v>
          </cell>
          <cell r="H145" t="str">
            <v>CG80</v>
          </cell>
          <cell r="I145" t="str">
            <v>CG85</v>
          </cell>
          <cell r="J145" t="str">
            <v>PULP</v>
          </cell>
          <cell r="K145">
            <v>0</v>
          </cell>
          <cell r="L145">
            <v>0</v>
          </cell>
          <cell r="M145" t="str">
            <v>C5B R/L</v>
          </cell>
          <cell r="N145" t="str">
            <v>P7T</v>
          </cell>
          <cell r="O145">
            <v>10.9</v>
          </cell>
        </row>
        <row r="146">
          <cell r="A146" t="str">
            <v>N70L13</v>
          </cell>
          <cell r="B146" t="str">
            <v>N70LPULP13</v>
          </cell>
          <cell r="C146" t="str">
            <v>N70L</v>
          </cell>
          <cell r="D146">
            <v>6</v>
          </cell>
          <cell r="E146">
            <v>7</v>
          </cell>
          <cell r="F146">
            <v>13</v>
          </cell>
          <cell r="G146">
            <v>6</v>
          </cell>
          <cell r="H146" t="str">
            <v>CG82</v>
          </cell>
          <cell r="I146" t="str">
            <v>CG87</v>
          </cell>
          <cell r="J146" t="str">
            <v>PULP</v>
          </cell>
          <cell r="K146">
            <v>0</v>
          </cell>
          <cell r="L146">
            <v>0</v>
          </cell>
          <cell r="M146" t="str">
            <v>C5B R/L</v>
          </cell>
          <cell r="N146" t="str">
            <v>P7T</v>
          </cell>
          <cell r="O146">
            <v>10.9</v>
          </cell>
        </row>
        <row r="147">
          <cell r="A147" t="str">
            <v>N70L13</v>
          </cell>
          <cell r="B147" t="str">
            <v>N70LPE13</v>
          </cell>
          <cell r="C147" t="str">
            <v>N70L</v>
          </cell>
          <cell r="D147">
            <v>6</v>
          </cell>
          <cell r="E147">
            <v>7</v>
          </cell>
          <cell r="F147">
            <v>13</v>
          </cell>
          <cell r="G147">
            <v>6</v>
          </cell>
          <cell r="H147" t="str">
            <v>CG82</v>
          </cell>
          <cell r="I147" t="str">
            <v>CG87</v>
          </cell>
          <cell r="J147" t="str">
            <v>PE</v>
          </cell>
          <cell r="K147">
            <v>0</v>
          </cell>
          <cell r="L147">
            <v>0</v>
          </cell>
          <cell r="M147" t="str">
            <v>C5B R/L</v>
          </cell>
          <cell r="N147" t="str">
            <v>P7T</v>
          </cell>
          <cell r="O147">
            <v>10.9</v>
          </cell>
        </row>
        <row r="148">
          <cell r="A148" t="str">
            <v>N70L11</v>
          </cell>
          <cell r="B148" t="str">
            <v>N70LPE11</v>
          </cell>
          <cell r="C148" t="str">
            <v>N70L</v>
          </cell>
          <cell r="D148">
            <v>5</v>
          </cell>
          <cell r="E148">
            <v>6</v>
          </cell>
          <cell r="F148">
            <v>11</v>
          </cell>
          <cell r="G148">
            <v>6</v>
          </cell>
          <cell r="H148" t="str">
            <v>CG82</v>
          </cell>
          <cell r="I148" t="str">
            <v>CG87</v>
          </cell>
          <cell r="J148" t="str">
            <v>PE</v>
          </cell>
          <cell r="K148">
            <v>0</v>
          </cell>
          <cell r="L148">
            <v>0</v>
          </cell>
          <cell r="M148" t="str">
            <v>C5B R/L</v>
          </cell>
          <cell r="N148" t="str">
            <v>P7T</v>
          </cell>
          <cell r="O148">
            <v>10.9</v>
          </cell>
        </row>
        <row r="149">
          <cell r="A149" t="str">
            <v>N70T15</v>
          </cell>
          <cell r="B149" t="str">
            <v>N70TPE15</v>
          </cell>
          <cell r="C149" t="str">
            <v>N70T</v>
          </cell>
          <cell r="D149">
            <v>8</v>
          </cell>
          <cell r="E149">
            <v>7</v>
          </cell>
          <cell r="F149">
            <v>15</v>
          </cell>
          <cell r="G149">
            <v>6</v>
          </cell>
          <cell r="H149" t="str">
            <v>CG79</v>
          </cell>
          <cell r="I149" t="str">
            <v>CG84</v>
          </cell>
          <cell r="J149" t="str">
            <v>PE</v>
          </cell>
          <cell r="K149">
            <v>0</v>
          </cell>
          <cell r="L149">
            <v>0</v>
          </cell>
          <cell r="M149" t="str">
            <v>C5B R/L</v>
          </cell>
          <cell r="N149" t="str">
            <v>P7T</v>
          </cell>
          <cell r="O149">
            <v>12.4</v>
          </cell>
        </row>
        <row r="150">
          <cell r="A150" t="str">
            <v>N70Z13</v>
          </cell>
          <cell r="B150" t="str">
            <v>N70ZPE13</v>
          </cell>
          <cell r="C150" t="str">
            <v>N70Z</v>
          </cell>
          <cell r="D150">
            <v>6</v>
          </cell>
          <cell r="E150">
            <v>7</v>
          </cell>
          <cell r="F150">
            <v>13</v>
          </cell>
          <cell r="G150">
            <v>6</v>
          </cell>
          <cell r="H150" t="str">
            <v>CG82</v>
          </cell>
          <cell r="I150" t="str">
            <v>CG87</v>
          </cell>
          <cell r="J150" t="str">
            <v>PE</v>
          </cell>
          <cell r="K150">
            <v>0</v>
          </cell>
          <cell r="L150">
            <v>0</v>
          </cell>
          <cell r="M150" t="str">
            <v>C5B R/L</v>
          </cell>
          <cell r="N150" t="str">
            <v>P7T</v>
          </cell>
          <cell r="O150">
            <v>10.9</v>
          </cell>
        </row>
        <row r="151">
          <cell r="A151" t="str">
            <v>N70Z15</v>
          </cell>
          <cell r="B151" t="str">
            <v>N70ZPE15</v>
          </cell>
          <cell r="C151" t="str">
            <v>N70Z</v>
          </cell>
          <cell r="D151">
            <v>7</v>
          </cell>
          <cell r="E151">
            <v>8</v>
          </cell>
          <cell r="F151">
            <v>15</v>
          </cell>
          <cell r="G151">
            <v>6</v>
          </cell>
          <cell r="H151" t="str">
            <v>CG82</v>
          </cell>
          <cell r="I151" t="str">
            <v>CG87</v>
          </cell>
          <cell r="J151" t="str">
            <v>PE</v>
          </cell>
          <cell r="K151">
            <v>0</v>
          </cell>
          <cell r="L151">
            <v>0</v>
          </cell>
          <cell r="M151" t="str">
            <v>C5B R/L</v>
          </cell>
          <cell r="N151" t="str">
            <v>P7T</v>
          </cell>
          <cell r="O151">
            <v>12.1</v>
          </cell>
        </row>
        <row r="152">
          <cell r="A152" t="str">
            <v>N70Z15</v>
          </cell>
          <cell r="B152" t="str">
            <v>N70ZPULP15</v>
          </cell>
          <cell r="C152" t="str">
            <v>N70Z</v>
          </cell>
          <cell r="D152">
            <v>7</v>
          </cell>
          <cell r="E152">
            <v>8</v>
          </cell>
          <cell r="F152">
            <v>15</v>
          </cell>
          <cell r="G152">
            <v>6</v>
          </cell>
          <cell r="H152" t="str">
            <v>CG82</v>
          </cell>
          <cell r="I152" t="str">
            <v>CG87</v>
          </cell>
          <cell r="J152" t="str">
            <v>PULP</v>
          </cell>
          <cell r="K152">
            <v>0</v>
          </cell>
          <cell r="L152">
            <v>0</v>
          </cell>
          <cell r="M152" t="str">
            <v>C5B R/L</v>
          </cell>
          <cell r="N152" t="str">
            <v>P7T</v>
          </cell>
          <cell r="O152">
            <v>12.1</v>
          </cell>
        </row>
        <row r="153">
          <cell r="A153" t="str">
            <v>N70ZG15</v>
          </cell>
          <cell r="B153" t="str">
            <v>N70ZGPE15</v>
          </cell>
          <cell r="C153" t="str">
            <v>N70ZG</v>
          </cell>
          <cell r="D153">
            <v>7</v>
          </cell>
          <cell r="E153">
            <v>8</v>
          </cell>
          <cell r="F153">
            <v>15</v>
          </cell>
          <cell r="G153">
            <v>6</v>
          </cell>
          <cell r="H153" t="str">
            <v>CG85</v>
          </cell>
          <cell r="I153" t="str">
            <v>YG87</v>
          </cell>
          <cell r="J153" t="str">
            <v>PE</v>
          </cell>
          <cell r="K153">
            <v>0</v>
          </cell>
          <cell r="L153">
            <v>0</v>
          </cell>
          <cell r="M153" t="str">
            <v>C5B R/L</v>
          </cell>
          <cell r="N153" t="str">
            <v>P7T</v>
          </cell>
          <cell r="O153">
            <v>12.1</v>
          </cell>
        </row>
        <row r="154">
          <cell r="A154" t="str">
            <v>N70Z17</v>
          </cell>
          <cell r="B154" t="str">
            <v>N70ZPULP17</v>
          </cell>
          <cell r="C154" t="str">
            <v>N70Z</v>
          </cell>
          <cell r="D154">
            <v>8</v>
          </cell>
          <cell r="E154">
            <v>9</v>
          </cell>
          <cell r="F154">
            <v>17</v>
          </cell>
          <cell r="G154">
            <v>6</v>
          </cell>
          <cell r="H154" t="str">
            <v>CG82</v>
          </cell>
          <cell r="I154" t="str">
            <v>CG87</v>
          </cell>
          <cell r="J154" t="str">
            <v>PULP</v>
          </cell>
          <cell r="K154">
            <v>0</v>
          </cell>
          <cell r="L154">
            <v>0</v>
          </cell>
          <cell r="M154" t="str">
            <v>C5B R/L</v>
          </cell>
          <cell r="N154" t="str">
            <v>P7T</v>
          </cell>
          <cell r="O154">
            <v>12.1</v>
          </cell>
        </row>
        <row r="155">
          <cell r="A155" t="str">
            <v>N70Z-915</v>
          </cell>
          <cell r="B155" t="str">
            <v>N70Z-9PULP15</v>
          </cell>
          <cell r="C155" t="str">
            <v>N70Z-9</v>
          </cell>
          <cell r="D155">
            <v>7</v>
          </cell>
          <cell r="E155">
            <v>8</v>
          </cell>
          <cell r="F155">
            <v>15</v>
          </cell>
          <cell r="G155">
            <v>6</v>
          </cell>
          <cell r="H155" t="str">
            <v>CG80</v>
          </cell>
          <cell r="I155" t="str">
            <v>CG85</v>
          </cell>
          <cell r="J155" t="str">
            <v>PULP</v>
          </cell>
          <cell r="K155">
            <v>0</v>
          </cell>
          <cell r="L155">
            <v>0</v>
          </cell>
          <cell r="M155" t="str">
            <v>C5B R/L</v>
          </cell>
          <cell r="N155" t="str">
            <v>P7T</v>
          </cell>
          <cell r="O155">
            <v>12.1</v>
          </cell>
        </row>
        <row r="156">
          <cell r="A156" t="str">
            <v>N70ZL15</v>
          </cell>
          <cell r="B156" t="str">
            <v>N70ZLPULP15</v>
          </cell>
          <cell r="C156" t="str">
            <v>N70ZL</v>
          </cell>
          <cell r="D156">
            <v>7</v>
          </cell>
          <cell r="E156">
            <v>8</v>
          </cell>
          <cell r="F156">
            <v>15</v>
          </cell>
          <cell r="G156">
            <v>6</v>
          </cell>
          <cell r="H156" t="str">
            <v>CG82</v>
          </cell>
          <cell r="I156" t="str">
            <v>CG87</v>
          </cell>
          <cell r="J156" t="str">
            <v>PULP</v>
          </cell>
          <cell r="K156">
            <v>0</v>
          </cell>
          <cell r="L156">
            <v>0</v>
          </cell>
          <cell r="M156" t="str">
            <v>C5B R/L</v>
          </cell>
          <cell r="N156" t="str">
            <v>P7T</v>
          </cell>
          <cell r="O156">
            <v>12.1</v>
          </cell>
        </row>
        <row r="157">
          <cell r="A157" t="str">
            <v>N70ZL15</v>
          </cell>
          <cell r="B157" t="str">
            <v>N70ZLPE15</v>
          </cell>
          <cell r="C157" t="str">
            <v>N70ZL</v>
          </cell>
          <cell r="D157">
            <v>7</v>
          </cell>
          <cell r="E157">
            <v>8</v>
          </cell>
          <cell r="F157">
            <v>15</v>
          </cell>
          <cell r="G157">
            <v>6</v>
          </cell>
          <cell r="H157" t="str">
            <v>CG82</v>
          </cell>
          <cell r="I157" t="str">
            <v>CG87</v>
          </cell>
          <cell r="J157" t="str">
            <v>PE</v>
          </cell>
          <cell r="K157">
            <v>0</v>
          </cell>
          <cell r="L157">
            <v>0</v>
          </cell>
          <cell r="M157" t="str">
            <v>C5B R/L</v>
          </cell>
          <cell r="N157" t="str">
            <v>P7T</v>
          </cell>
          <cell r="O157">
            <v>12.1</v>
          </cell>
        </row>
        <row r="158">
          <cell r="A158" t="str">
            <v>N70ZL13</v>
          </cell>
          <cell r="B158" t="str">
            <v>N70ZLPE13</v>
          </cell>
          <cell r="C158" t="str">
            <v>N70ZL</v>
          </cell>
          <cell r="D158">
            <v>6</v>
          </cell>
          <cell r="E158">
            <v>7</v>
          </cell>
          <cell r="F158">
            <v>13</v>
          </cell>
          <cell r="G158">
            <v>6</v>
          </cell>
          <cell r="H158" t="str">
            <v>CG82</v>
          </cell>
          <cell r="I158" t="str">
            <v>CG87</v>
          </cell>
          <cell r="J158" t="str">
            <v>PE</v>
          </cell>
          <cell r="K158">
            <v>0</v>
          </cell>
          <cell r="L158">
            <v>0</v>
          </cell>
          <cell r="M158" t="str">
            <v>C5B R/L</v>
          </cell>
          <cell r="N158" t="str">
            <v>P7T</v>
          </cell>
          <cell r="O158">
            <v>10.9</v>
          </cell>
        </row>
        <row r="159">
          <cell r="A159" t="str">
            <v>N70Z16</v>
          </cell>
          <cell r="B159" t="str">
            <v>N70ZPE16</v>
          </cell>
          <cell r="C159" t="str">
            <v>N70Z</v>
          </cell>
          <cell r="D159">
            <v>8</v>
          </cell>
          <cell r="E159">
            <v>8</v>
          </cell>
          <cell r="F159">
            <v>16</v>
          </cell>
          <cell r="G159">
            <v>6</v>
          </cell>
          <cell r="H159" t="str">
            <v>CG82</v>
          </cell>
          <cell r="I159" t="str">
            <v>CG87</v>
          </cell>
          <cell r="J159" t="str">
            <v>PE</v>
          </cell>
          <cell r="K159">
            <v>0</v>
          </cell>
          <cell r="L159">
            <v>0</v>
          </cell>
          <cell r="M159" t="str">
            <v>C5B R/L</v>
          </cell>
          <cell r="N159" t="str">
            <v>P7T</v>
          </cell>
          <cell r="O159">
            <v>10.9</v>
          </cell>
        </row>
        <row r="160">
          <cell r="A160" t="str">
            <v>NS409</v>
          </cell>
          <cell r="B160" t="str">
            <v>NS40PE9</v>
          </cell>
          <cell r="C160" t="str">
            <v>NS40</v>
          </cell>
          <cell r="D160">
            <v>4</v>
          </cell>
          <cell r="E160">
            <v>5</v>
          </cell>
          <cell r="F160">
            <v>9</v>
          </cell>
          <cell r="G160">
            <v>6</v>
          </cell>
          <cell r="H160" t="str">
            <v>CM84</v>
          </cell>
          <cell r="I160" t="str">
            <v>CM87</v>
          </cell>
          <cell r="J160" t="str">
            <v>PE</v>
          </cell>
          <cell r="K160">
            <v>0</v>
          </cell>
          <cell r="L160">
            <v>0</v>
          </cell>
          <cell r="M160" t="str">
            <v>C4A R/L</v>
          </cell>
          <cell r="N160" t="str">
            <v>P4M</v>
          </cell>
          <cell r="O160">
            <v>5.8</v>
          </cell>
        </row>
        <row r="161">
          <cell r="A161" t="str">
            <v>NS409</v>
          </cell>
          <cell r="B161" t="str">
            <v>NS40PULP9</v>
          </cell>
          <cell r="C161" t="str">
            <v>NS40</v>
          </cell>
          <cell r="D161">
            <v>4</v>
          </cell>
          <cell r="E161">
            <v>5</v>
          </cell>
          <cell r="F161">
            <v>9</v>
          </cell>
          <cell r="G161">
            <v>6</v>
          </cell>
          <cell r="H161" t="str">
            <v>CM84</v>
          </cell>
          <cell r="I161" t="str">
            <v>CM87</v>
          </cell>
          <cell r="J161" t="str">
            <v>PULP</v>
          </cell>
          <cell r="K161">
            <v>0</v>
          </cell>
          <cell r="L161">
            <v>0</v>
          </cell>
          <cell r="M161" t="str">
            <v>C4A R/L</v>
          </cell>
          <cell r="N161" t="str">
            <v>P4M</v>
          </cell>
          <cell r="O161">
            <v>5.8</v>
          </cell>
        </row>
        <row r="162">
          <cell r="A162" t="str">
            <v>NS407</v>
          </cell>
          <cell r="B162" t="str">
            <v>NS40PE7</v>
          </cell>
          <cell r="C162" t="str">
            <v>NS40</v>
          </cell>
          <cell r="D162">
            <v>3</v>
          </cell>
          <cell r="E162">
            <v>4</v>
          </cell>
          <cell r="F162">
            <v>7</v>
          </cell>
          <cell r="G162">
            <v>6</v>
          </cell>
          <cell r="H162" t="str">
            <v>CM84</v>
          </cell>
          <cell r="I162" t="str">
            <v>CM87</v>
          </cell>
          <cell r="J162" t="str">
            <v>PE</v>
          </cell>
          <cell r="K162">
            <v>0</v>
          </cell>
          <cell r="L162">
            <v>0</v>
          </cell>
          <cell r="M162" t="str">
            <v>C4A R/L</v>
          </cell>
          <cell r="N162" t="str">
            <v>P4M</v>
          </cell>
          <cell r="O162">
            <v>5.8</v>
          </cell>
        </row>
        <row r="163">
          <cell r="A163" t="str">
            <v>NS40L9</v>
          </cell>
          <cell r="B163" t="str">
            <v>NS40LPULP9</v>
          </cell>
          <cell r="C163" t="str">
            <v>NS40L</v>
          </cell>
          <cell r="D163">
            <v>4</v>
          </cell>
          <cell r="E163">
            <v>5</v>
          </cell>
          <cell r="F163">
            <v>9</v>
          </cell>
          <cell r="G163">
            <v>6</v>
          </cell>
          <cell r="H163" t="str">
            <v>CM84</v>
          </cell>
          <cell r="I163" t="str">
            <v>CM87</v>
          </cell>
          <cell r="J163" t="str">
            <v>PULP</v>
          </cell>
          <cell r="K163">
            <v>0</v>
          </cell>
          <cell r="L163">
            <v>0</v>
          </cell>
          <cell r="M163" t="str">
            <v>C4A R/L</v>
          </cell>
          <cell r="N163" t="str">
            <v>P4M</v>
          </cell>
          <cell r="O163">
            <v>5.8</v>
          </cell>
        </row>
        <row r="164">
          <cell r="A164" t="str">
            <v>NS40L9</v>
          </cell>
          <cell r="B164" t="str">
            <v>NS40LPE9</v>
          </cell>
          <cell r="C164" t="str">
            <v>NS40L</v>
          </cell>
          <cell r="D164">
            <v>4</v>
          </cell>
          <cell r="E164">
            <v>5</v>
          </cell>
          <cell r="F164">
            <v>9</v>
          </cell>
          <cell r="G164">
            <v>6</v>
          </cell>
          <cell r="H164" t="str">
            <v>CM84</v>
          </cell>
          <cell r="I164" t="str">
            <v>CM87</v>
          </cell>
          <cell r="J164" t="str">
            <v>PE</v>
          </cell>
          <cell r="K164">
            <v>0</v>
          </cell>
          <cell r="L164">
            <v>0</v>
          </cell>
          <cell r="M164" t="str">
            <v>C4A R/L</v>
          </cell>
          <cell r="N164" t="str">
            <v>P4M</v>
          </cell>
          <cell r="O164">
            <v>5.8</v>
          </cell>
        </row>
        <row r="165">
          <cell r="A165" t="str">
            <v>NS40L7</v>
          </cell>
          <cell r="B165" t="str">
            <v>NS40LPE7</v>
          </cell>
          <cell r="C165" t="str">
            <v>NS40L</v>
          </cell>
          <cell r="D165">
            <v>3</v>
          </cell>
          <cell r="E165">
            <v>4</v>
          </cell>
          <cell r="F165">
            <v>7</v>
          </cell>
          <cell r="G165">
            <v>6</v>
          </cell>
          <cell r="H165" t="str">
            <v>CM84</v>
          </cell>
          <cell r="I165" t="str">
            <v>CM87</v>
          </cell>
          <cell r="J165" t="str">
            <v>PE</v>
          </cell>
          <cell r="K165">
            <v>0</v>
          </cell>
          <cell r="L165">
            <v>0</v>
          </cell>
          <cell r="M165" t="str">
            <v>C4A R/L</v>
          </cell>
          <cell r="N165" t="str">
            <v>P4M</v>
          </cell>
          <cell r="O165">
            <v>5.8</v>
          </cell>
        </row>
        <row r="166">
          <cell r="A166" t="str">
            <v>NS40LS9</v>
          </cell>
          <cell r="B166" t="str">
            <v>NS40LSPE9</v>
          </cell>
          <cell r="C166" t="str">
            <v>NS40LS</v>
          </cell>
          <cell r="D166">
            <v>4</v>
          </cell>
          <cell r="E166">
            <v>5</v>
          </cell>
          <cell r="F166">
            <v>9</v>
          </cell>
          <cell r="G166">
            <v>6</v>
          </cell>
          <cell r="H166" t="str">
            <v>CM84</v>
          </cell>
          <cell r="I166" t="str">
            <v>CM87</v>
          </cell>
          <cell r="J166" t="str">
            <v>PE</v>
          </cell>
          <cell r="K166">
            <v>0</v>
          </cell>
          <cell r="L166">
            <v>0</v>
          </cell>
          <cell r="M166" t="str">
            <v>C4A R/L</v>
          </cell>
          <cell r="N166" t="str">
            <v>P4M</v>
          </cell>
          <cell r="O166">
            <v>5.8</v>
          </cell>
        </row>
        <row r="167">
          <cell r="A167" t="str">
            <v>NS40LS9</v>
          </cell>
          <cell r="B167" t="str">
            <v>NS40LSPULP9</v>
          </cell>
          <cell r="C167" t="str">
            <v>NS40LS</v>
          </cell>
          <cell r="D167">
            <v>4</v>
          </cell>
          <cell r="E167">
            <v>5</v>
          </cell>
          <cell r="F167">
            <v>9</v>
          </cell>
          <cell r="G167">
            <v>6</v>
          </cell>
          <cell r="H167" t="str">
            <v>CM84</v>
          </cell>
          <cell r="I167" t="str">
            <v>CM87</v>
          </cell>
          <cell r="J167" t="str">
            <v>PULP</v>
          </cell>
          <cell r="K167">
            <v>0</v>
          </cell>
          <cell r="L167">
            <v>0</v>
          </cell>
          <cell r="M167" t="str">
            <v>C4A R/L</v>
          </cell>
          <cell r="N167" t="str">
            <v>P4M</v>
          </cell>
          <cell r="O167">
            <v>5.8</v>
          </cell>
        </row>
        <row r="168">
          <cell r="A168" t="str">
            <v>NS40LS7</v>
          </cell>
          <cell r="B168" t="str">
            <v>NS40LSPE7</v>
          </cell>
          <cell r="C168" t="str">
            <v>NS40LS</v>
          </cell>
          <cell r="D168">
            <v>3</v>
          </cell>
          <cell r="E168">
            <v>4</v>
          </cell>
          <cell r="F168">
            <v>7</v>
          </cell>
          <cell r="G168">
            <v>6</v>
          </cell>
          <cell r="H168" t="str">
            <v>CM84</v>
          </cell>
          <cell r="I168" t="str">
            <v>CM87</v>
          </cell>
          <cell r="J168" t="str">
            <v>PE</v>
          </cell>
          <cell r="K168">
            <v>0</v>
          </cell>
          <cell r="L168">
            <v>0</v>
          </cell>
          <cell r="M168" t="str">
            <v>C4A R/L</v>
          </cell>
          <cell r="N168" t="str">
            <v>P4M</v>
          </cell>
          <cell r="O168">
            <v>5.8</v>
          </cell>
        </row>
        <row r="169">
          <cell r="A169" t="str">
            <v>NS40S9</v>
          </cell>
          <cell r="B169" t="str">
            <v>NS40SPULP9</v>
          </cell>
          <cell r="C169" t="str">
            <v>NS40S</v>
          </cell>
          <cell r="D169">
            <v>4</v>
          </cell>
          <cell r="E169">
            <v>5</v>
          </cell>
          <cell r="F169">
            <v>9</v>
          </cell>
          <cell r="G169">
            <v>6</v>
          </cell>
          <cell r="H169" t="str">
            <v>CM84</v>
          </cell>
          <cell r="I169" t="str">
            <v>CM87</v>
          </cell>
          <cell r="J169" t="str">
            <v>PULP</v>
          </cell>
          <cell r="K169">
            <v>0</v>
          </cell>
          <cell r="L169">
            <v>0</v>
          </cell>
          <cell r="M169" t="str">
            <v>C4A R/L</v>
          </cell>
          <cell r="N169" t="str">
            <v>P4M</v>
          </cell>
          <cell r="O169">
            <v>5.8</v>
          </cell>
        </row>
        <row r="170">
          <cell r="A170" t="str">
            <v>NS40S9</v>
          </cell>
          <cell r="B170" t="str">
            <v>NS40SPE9</v>
          </cell>
          <cell r="C170" t="str">
            <v>NS40S</v>
          </cell>
          <cell r="D170">
            <v>4</v>
          </cell>
          <cell r="E170">
            <v>5</v>
          </cell>
          <cell r="F170">
            <v>9</v>
          </cell>
          <cell r="G170">
            <v>6</v>
          </cell>
          <cell r="H170" t="str">
            <v>CM84</v>
          </cell>
          <cell r="I170" t="str">
            <v>CM87</v>
          </cell>
          <cell r="J170" t="str">
            <v>PE</v>
          </cell>
          <cell r="K170">
            <v>0</v>
          </cell>
          <cell r="L170">
            <v>0</v>
          </cell>
          <cell r="M170" t="str">
            <v>C4A R/L</v>
          </cell>
          <cell r="N170" t="str">
            <v>P4M</v>
          </cell>
          <cell r="O170">
            <v>5.8</v>
          </cell>
        </row>
        <row r="171">
          <cell r="A171" t="str">
            <v>NS40S7</v>
          </cell>
          <cell r="B171" t="str">
            <v>NS40SPE7</v>
          </cell>
          <cell r="C171" t="str">
            <v>NS40S</v>
          </cell>
          <cell r="D171">
            <v>3</v>
          </cell>
          <cell r="E171">
            <v>4</v>
          </cell>
          <cell r="F171">
            <v>7</v>
          </cell>
          <cell r="G171">
            <v>6</v>
          </cell>
          <cell r="H171" t="str">
            <v>CM84</v>
          </cell>
          <cell r="I171" t="str">
            <v>CM87</v>
          </cell>
          <cell r="J171" t="str">
            <v>PE</v>
          </cell>
          <cell r="K171">
            <v>0</v>
          </cell>
          <cell r="L171">
            <v>0</v>
          </cell>
          <cell r="M171" t="str">
            <v>C4A R/L</v>
          </cell>
          <cell r="N171" t="str">
            <v>P4M</v>
          </cell>
          <cell r="O171">
            <v>5.8</v>
          </cell>
        </row>
        <row r="172">
          <cell r="A172" t="str">
            <v>NS40Z11</v>
          </cell>
          <cell r="B172" t="str">
            <v>NS40ZPULP11</v>
          </cell>
          <cell r="C172" t="str">
            <v>NS40Z</v>
          </cell>
          <cell r="D172">
            <v>5</v>
          </cell>
          <cell r="E172">
            <v>6</v>
          </cell>
          <cell r="F172">
            <v>11</v>
          </cell>
          <cell r="G172">
            <v>6</v>
          </cell>
          <cell r="H172" t="str">
            <v>CM84</v>
          </cell>
          <cell r="I172" t="str">
            <v>CM87</v>
          </cell>
          <cell r="J172" t="str">
            <v>PULP</v>
          </cell>
          <cell r="K172">
            <v>0</v>
          </cell>
          <cell r="L172">
            <v>0</v>
          </cell>
          <cell r="M172" t="str">
            <v>C4A R/L</v>
          </cell>
          <cell r="N172" t="str">
            <v>P4M</v>
          </cell>
          <cell r="O172">
            <v>6.7</v>
          </cell>
        </row>
        <row r="173">
          <cell r="A173" t="str">
            <v>NS40Z9</v>
          </cell>
          <cell r="B173" t="str">
            <v>NS40ZPE9</v>
          </cell>
          <cell r="C173" t="str">
            <v>NS40Z</v>
          </cell>
          <cell r="D173">
            <v>4</v>
          </cell>
          <cell r="E173">
            <v>5</v>
          </cell>
          <cell r="F173">
            <v>9</v>
          </cell>
          <cell r="G173">
            <v>6</v>
          </cell>
          <cell r="H173" t="str">
            <v>CM84</v>
          </cell>
          <cell r="I173" t="str">
            <v>CM87</v>
          </cell>
          <cell r="J173" t="str">
            <v>PE</v>
          </cell>
          <cell r="K173">
            <v>0</v>
          </cell>
          <cell r="L173">
            <v>0</v>
          </cell>
          <cell r="M173" t="str">
            <v>C4A R/L</v>
          </cell>
          <cell r="N173" t="str">
            <v>P4M</v>
          </cell>
          <cell r="O173">
            <v>6.7</v>
          </cell>
        </row>
        <row r="174">
          <cell r="A174" t="str">
            <v>NS40Z11</v>
          </cell>
          <cell r="B174" t="str">
            <v>NS40ZPE11</v>
          </cell>
          <cell r="C174" t="str">
            <v>NS40Z</v>
          </cell>
          <cell r="D174">
            <v>5</v>
          </cell>
          <cell r="E174">
            <v>6</v>
          </cell>
          <cell r="F174">
            <v>11</v>
          </cell>
          <cell r="G174">
            <v>6</v>
          </cell>
          <cell r="H174" t="str">
            <v>CM84</v>
          </cell>
          <cell r="I174" t="str">
            <v>CM87</v>
          </cell>
          <cell r="J174" t="str">
            <v>PE</v>
          </cell>
          <cell r="K174">
            <v>0</v>
          </cell>
          <cell r="L174">
            <v>0</v>
          </cell>
          <cell r="M174" t="str">
            <v>C4A R/L</v>
          </cell>
          <cell r="N174" t="str">
            <v>P4M</v>
          </cell>
          <cell r="O174">
            <v>6.7</v>
          </cell>
        </row>
        <row r="175">
          <cell r="A175" t="str">
            <v>NS40Z-911</v>
          </cell>
          <cell r="B175" t="str">
            <v>NS40Z-9PULP11</v>
          </cell>
          <cell r="C175" t="str">
            <v>NS40Z-9</v>
          </cell>
          <cell r="D175">
            <v>5</v>
          </cell>
          <cell r="E175">
            <v>6</v>
          </cell>
          <cell r="F175">
            <v>11</v>
          </cell>
          <cell r="G175">
            <v>6</v>
          </cell>
          <cell r="H175" t="str">
            <v>CM82</v>
          </cell>
          <cell r="I175" t="str">
            <v>CM87</v>
          </cell>
          <cell r="J175" t="str">
            <v>PULP</v>
          </cell>
          <cell r="K175">
            <v>0</v>
          </cell>
          <cell r="L175">
            <v>0</v>
          </cell>
          <cell r="M175" t="str">
            <v>C4A R/L</v>
          </cell>
          <cell r="N175" t="str">
            <v>P4M</v>
          </cell>
          <cell r="O175">
            <v>6.7</v>
          </cell>
        </row>
        <row r="176">
          <cell r="A176" t="str">
            <v>NS40ZL11</v>
          </cell>
          <cell r="B176" t="str">
            <v>NS40ZLPULP11</v>
          </cell>
          <cell r="C176" t="str">
            <v>NS40ZL</v>
          </cell>
          <cell r="D176">
            <v>5</v>
          </cell>
          <cell r="E176">
            <v>6</v>
          </cell>
          <cell r="F176">
            <v>11</v>
          </cell>
          <cell r="G176">
            <v>6</v>
          </cell>
          <cell r="H176" t="str">
            <v>CM84</v>
          </cell>
          <cell r="I176" t="str">
            <v>CM87</v>
          </cell>
          <cell r="J176" t="str">
            <v>PULP</v>
          </cell>
          <cell r="K176">
            <v>0</v>
          </cell>
          <cell r="L176">
            <v>0</v>
          </cell>
          <cell r="M176" t="str">
            <v>C4A R/L</v>
          </cell>
          <cell r="N176" t="str">
            <v>P4M</v>
          </cell>
          <cell r="O176">
            <v>6.7</v>
          </cell>
        </row>
        <row r="177">
          <cell r="A177" t="str">
            <v>NS40ZL9</v>
          </cell>
          <cell r="B177" t="str">
            <v>NS40ZLPULP9</v>
          </cell>
          <cell r="C177" t="str">
            <v>NS40ZL</v>
          </cell>
          <cell r="D177">
            <v>4</v>
          </cell>
          <cell r="E177">
            <v>5</v>
          </cell>
          <cell r="F177">
            <v>9</v>
          </cell>
          <cell r="G177">
            <v>6</v>
          </cell>
          <cell r="H177" t="str">
            <v>CM84</v>
          </cell>
          <cell r="I177" t="str">
            <v>CM87</v>
          </cell>
          <cell r="J177" t="str">
            <v>PULP</v>
          </cell>
          <cell r="K177">
            <v>0</v>
          </cell>
          <cell r="L177">
            <v>0</v>
          </cell>
          <cell r="M177" t="str">
            <v>C4A R/L</v>
          </cell>
          <cell r="N177" t="str">
            <v>P4M</v>
          </cell>
          <cell r="O177">
            <v>6.7</v>
          </cell>
        </row>
        <row r="178">
          <cell r="A178" t="str">
            <v>NS40ZL11</v>
          </cell>
          <cell r="B178" t="str">
            <v>NS40ZLPE11</v>
          </cell>
          <cell r="C178" t="str">
            <v>NS40ZL</v>
          </cell>
          <cell r="D178">
            <v>5</v>
          </cell>
          <cell r="E178">
            <v>6</v>
          </cell>
          <cell r="F178">
            <v>11</v>
          </cell>
          <cell r="G178">
            <v>6</v>
          </cell>
          <cell r="H178" t="str">
            <v>CM84</v>
          </cell>
          <cell r="I178" t="str">
            <v>CM87</v>
          </cell>
          <cell r="J178" t="str">
            <v>PE</v>
          </cell>
          <cell r="K178">
            <v>0</v>
          </cell>
          <cell r="L178">
            <v>0</v>
          </cell>
          <cell r="M178" t="str">
            <v>C4A R/L</v>
          </cell>
          <cell r="N178" t="str">
            <v>P4M</v>
          </cell>
          <cell r="O178">
            <v>6.7</v>
          </cell>
        </row>
        <row r="179">
          <cell r="A179" t="str">
            <v>NS40ZL-911</v>
          </cell>
          <cell r="B179" t="str">
            <v>NS40ZL-9PULP11</v>
          </cell>
          <cell r="C179" t="str">
            <v>NS40ZL-9</v>
          </cell>
          <cell r="D179">
            <v>5</v>
          </cell>
          <cell r="E179">
            <v>6</v>
          </cell>
          <cell r="F179">
            <v>11</v>
          </cell>
          <cell r="G179">
            <v>6</v>
          </cell>
          <cell r="H179" t="str">
            <v>CM82</v>
          </cell>
          <cell r="I179" t="str">
            <v>CM87</v>
          </cell>
          <cell r="J179" t="str">
            <v>PULP</v>
          </cell>
          <cell r="K179">
            <v>0</v>
          </cell>
          <cell r="L179">
            <v>0</v>
          </cell>
          <cell r="M179" t="str">
            <v>C4A R/L</v>
          </cell>
          <cell r="N179" t="str">
            <v>P4M</v>
          </cell>
          <cell r="O179">
            <v>6.7</v>
          </cell>
        </row>
        <row r="180">
          <cell r="A180" t="str">
            <v>NS40ZLS9</v>
          </cell>
          <cell r="B180" t="str">
            <v>NS40ZLSPE9</v>
          </cell>
          <cell r="C180" t="str">
            <v>NS40ZLS</v>
          </cell>
          <cell r="D180">
            <v>4</v>
          </cell>
          <cell r="E180">
            <v>5</v>
          </cell>
          <cell r="F180">
            <v>9</v>
          </cell>
          <cell r="G180">
            <v>6</v>
          </cell>
          <cell r="H180" t="str">
            <v>CM84</v>
          </cell>
          <cell r="I180" t="str">
            <v>CM87</v>
          </cell>
          <cell r="J180" t="str">
            <v>PE</v>
          </cell>
          <cell r="K180">
            <v>0</v>
          </cell>
          <cell r="L180">
            <v>0</v>
          </cell>
          <cell r="M180" t="str">
            <v>C4A R/L</v>
          </cell>
          <cell r="N180" t="str">
            <v>P4M</v>
          </cell>
          <cell r="O180">
            <v>6.7</v>
          </cell>
        </row>
        <row r="181">
          <cell r="A181" t="str">
            <v>NS40ZLS11</v>
          </cell>
          <cell r="B181" t="str">
            <v>NS40ZLSPULP11</v>
          </cell>
          <cell r="C181" t="str">
            <v>NS40ZLS</v>
          </cell>
          <cell r="D181">
            <v>5</v>
          </cell>
          <cell r="E181">
            <v>6</v>
          </cell>
          <cell r="F181">
            <v>11</v>
          </cell>
          <cell r="G181">
            <v>6</v>
          </cell>
          <cell r="H181" t="str">
            <v>CM84</v>
          </cell>
          <cell r="I181" t="str">
            <v>CM87</v>
          </cell>
          <cell r="J181" t="str">
            <v>PULP</v>
          </cell>
          <cell r="K181">
            <v>0</v>
          </cell>
          <cell r="L181">
            <v>0</v>
          </cell>
          <cell r="M181" t="str">
            <v>C4A R/L</v>
          </cell>
          <cell r="N181" t="str">
            <v>P4M</v>
          </cell>
          <cell r="O181">
            <v>6.7</v>
          </cell>
        </row>
        <row r="182">
          <cell r="A182" t="str">
            <v>NS40ZLS11</v>
          </cell>
          <cell r="B182" t="str">
            <v>NS40ZLSPE11</v>
          </cell>
          <cell r="C182" t="str">
            <v>NS40ZLS</v>
          </cell>
          <cell r="D182">
            <v>5</v>
          </cell>
          <cell r="E182">
            <v>6</v>
          </cell>
          <cell r="F182">
            <v>11</v>
          </cell>
          <cell r="G182">
            <v>6</v>
          </cell>
          <cell r="H182" t="str">
            <v>CM84</v>
          </cell>
          <cell r="I182" t="str">
            <v>CM87</v>
          </cell>
          <cell r="J182" t="str">
            <v>PE</v>
          </cell>
          <cell r="K182">
            <v>0</v>
          </cell>
          <cell r="L182">
            <v>0</v>
          </cell>
          <cell r="M182" t="str">
            <v>C4A R/L</v>
          </cell>
          <cell r="N182" t="str">
            <v>P4M</v>
          </cell>
          <cell r="O182">
            <v>6.7</v>
          </cell>
        </row>
        <row r="183">
          <cell r="A183" t="str">
            <v>NS40ZS11</v>
          </cell>
          <cell r="B183" t="str">
            <v>NS40ZSPULP11</v>
          </cell>
          <cell r="C183" t="str">
            <v>NS40ZS</v>
          </cell>
          <cell r="D183">
            <v>5</v>
          </cell>
          <cell r="E183">
            <v>6</v>
          </cell>
          <cell r="F183">
            <v>11</v>
          </cell>
          <cell r="G183">
            <v>6</v>
          </cell>
          <cell r="H183" t="str">
            <v>CM84</v>
          </cell>
          <cell r="I183" t="str">
            <v>CM87</v>
          </cell>
          <cell r="J183" t="str">
            <v>PULP</v>
          </cell>
          <cell r="K183">
            <v>0</v>
          </cell>
          <cell r="L183">
            <v>0</v>
          </cell>
          <cell r="M183" t="str">
            <v>C4A R/L</v>
          </cell>
          <cell r="N183" t="str">
            <v>P4M</v>
          </cell>
          <cell r="O183">
            <v>6.7</v>
          </cell>
        </row>
        <row r="184">
          <cell r="A184" t="str">
            <v>NS40ZS9</v>
          </cell>
          <cell r="B184" t="str">
            <v>NS40ZSPE9</v>
          </cell>
          <cell r="C184" t="str">
            <v>NS40ZS</v>
          </cell>
          <cell r="D184">
            <v>4</v>
          </cell>
          <cell r="E184">
            <v>5</v>
          </cell>
          <cell r="F184">
            <v>9</v>
          </cell>
          <cell r="G184">
            <v>6</v>
          </cell>
          <cell r="H184" t="str">
            <v>CM84</v>
          </cell>
          <cell r="I184" t="str">
            <v>CM87</v>
          </cell>
          <cell r="J184" t="str">
            <v>PE</v>
          </cell>
          <cell r="K184">
            <v>0</v>
          </cell>
          <cell r="L184">
            <v>0</v>
          </cell>
          <cell r="M184" t="str">
            <v>C4A R/L</v>
          </cell>
          <cell r="N184" t="str">
            <v>P4M</v>
          </cell>
          <cell r="O184">
            <v>6.7</v>
          </cell>
        </row>
        <row r="185">
          <cell r="A185" t="str">
            <v>NS40ZS11</v>
          </cell>
          <cell r="B185" t="str">
            <v>NS40ZSPE11</v>
          </cell>
          <cell r="C185" t="str">
            <v>NS40ZS</v>
          </cell>
          <cell r="D185">
            <v>5</v>
          </cell>
          <cell r="E185">
            <v>6</v>
          </cell>
          <cell r="F185">
            <v>11</v>
          </cell>
          <cell r="G185">
            <v>6</v>
          </cell>
          <cell r="H185" t="str">
            <v>CM84</v>
          </cell>
          <cell r="I185" t="str">
            <v>CM87</v>
          </cell>
          <cell r="J185" t="str">
            <v>PE</v>
          </cell>
          <cell r="K185">
            <v>0</v>
          </cell>
          <cell r="L185">
            <v>0</v>
          </cell>
          <cell r="M185" t="str">
            <v>C4A R/L</v>
          </cell>
          <cell r="N185" t="str">
            <v>P4M</v>
          </cell>
          <cell r="O185">
            <v>6.7</v>
          </cell>
        </row>
        <row r="186">
          <cell r="A186" t="str">
            <v>NS6013</v>
          </cell>
          <cell r="B186" t="str">
            <v>NS60PULP13</v>
          </cell>
          <cell r="C186" t="str">
            <v>NS60</v>
          </cell>
          <cell r="D186">
            <v>6</v>
          </cell>
          <cell r="E186">
            <v>7</v>
          </cell>
          <cell r="F186">
            <v>13</v>
          </cell>
          <cell r="G186">
            <v>6</v>
          </cell>
          <cell r="H186" t="str">
            <v>CM84</v>
          </cell>
          <cell r="I186" t="str">
            <v>CM87</v>
          </cell>
          <cell r="J186" t="str">
            <v>PULP</v>
          </cell>
          <cell r="K186">
            <v>0</v>
          </cell>
          <cell r="L186">
            <v>0</v>
          </cell>
          <cell r="M186" t="str">
            <v>C4A R/L</v>
          </cell>
          <cell r="N186" t="str">
            <v>P4M</v>
          </cell>
          <cell r="O186">
            <v>7.8</v>
          </cell>
        </row>
        <row r="187">
          <cell r="A187" t="str">
            <v>NS6013</v>
          </cell>
          <cell r="B187" t="str">
            <v>NS60PE13</v>
          </cell>
          <cell r="C187" t="str">
            <v>NS60</v>
          </cell>
          <cell r="D187">
            <v>6</v>
          </cell>
          <cell r="E187">
            <v>7</v>
          </cell>
          <cell r="F187">
            <v>13</v>
          </cell>
          <cell r="G187">
            <v>6</v>
          </cell>
          <cell r="H187" t="str">
            <v>CM84</v>
          </cell>
          <cell r="I187" t="str">
            <v>CM87</v>
          </cell>
          <cell r="J187" t="str">
            <v>PE</v>
          </cell>
          <cell r="K187">
            <v>0</v>
          </cell>
          <cell r="L187">
            <v>0</v>
          </cell>
          <cell r="M187" t="str">
            <v>C4A R/L</v>
          </cell>
          <cell r="N187" t="str">
            <v>P4M</v>
          </cell>
          <cell r="O187">
            <v>7.8</v>
          </cell>
        </row>
        <row r="188">
          <cell r="A188" t="str">
            <v>NS6011</v>
          </cell>
          <cell r="B188" t="str">
            <v>NS60PE11</v>
          </cell>
          <cell r="C188" t="str">
            <v>NS60</v>
          </cell>
          <cell r="D188">
            <v>5</v>
          </cell>
          <cell r="E188">
            <v>6</v>
          </cell>
          <cell r="F188">
            <v>11</v>
          </cell>
          <cell r="G188">
            <v>6</v>
          </cell>
          <cell r="H188" t="str">
            <v>CM84</v>
          </cell>
          <cell r="I188" t="str">
            <v>CM87</v>
          </cell>
          <cell r="J188" t="str">
            <v>PE</v>
          </cell>
          <cell r="K188">
            <v>0</v>
          </cell>
          <cell r="L188">
            <v>0</v>
          </cell>
          <cell r="M188" t="str">
            <v>C4A R/L</v>
          </cell>
          <cell r="N188" t="str">
            <v>P4M</v>
          </cell>
          <cell r="O188">
            <v>7.8</v>
          </cell>
        </row>
        <row r="189">
          <cell r="A189" t="str">
            <v>NS60-913</v>
          </cell>
          <cell r="B189" t="str">
            <v>NS60-9PULP13</v>
          </cell>
          <cell r="C189" t="str">
            <v>NS60-9</v>
          </cell>
          <cell r="D189">
            <v>6</v>
          </cell>
          <cell r="E189">
            <v>7</v>
          </cell>
          <cell r="F189">
            <v>13</v>
          </cell>
          <cell r="G189">
            <v>6</v>
          </cell>
          <cell r="H189" t="str">
            <v>CM82</v>
          </cell>
          <cell r="I189" t="str">
            <v>CM87</v>
          </cell>
          <cell r="J189" t="str">
            <v>PULP</v>
          </cell>
          <cell r="K189">
            <v>0</v>
          </cell>
          <cell r="L189">
            <v>0</v>
          </cell>
          <cell r="M189" t="str">
            <v>C4A R/L</v>
          </cell>
          <cell r="N189" t="str">
            <v>P4M</v>
          </cell>
          <cell r="O189">
            <v>7.8</v>
          </cell>
        </row>
        <row r="190">
          <cell r="A190" t="str">
            <v>NS60L13</v>
          </cell>
          <cell r="B190" t="str">
            <v>NS60LPULP13</v>
          </cell>
          <cell r="C190" t="str">
            <v>NS60L</v>
          </cell>
          <cell r="D190">
            <v>6</v>
          </cell>
          <cell r="E190">
            <v>7</v>
          </cell>
          <cell r="F190">
            <v>13</v>
          </cell>
          <cell r="G190">
            <v>6</v>
          </cell>
          <cell r="H190" t="str">
            <v>CM84</v>
          </cell>
          <cell r="I190" t="str">
            <v>CM87</v>
          </cell>
          <cell r="J190" t="str">
            <v>PULP</v>
          </cell>
          <cell r="K190">
            <v>0</v>
          </cell>
          <cell r="L190">
            <v>0</v>
          </cell>
          <cell r="M190" t="str">
            <v>C4A R/L</v>
          </cell>
          <cell r="N190" t="str">
            <v>P4M</v>
          </cell>
          <cell r="O190">
            <v>7.8</v>
          </cell>
        </row>
        <row r="191">
          <cell r="A191" t="str">
            <v>NS60L13</v>
          </cell>
          <cell r="B191" t="str">
            <v>NS60LPE13</v>
          </cell>
          <cell r="C191" t="str">
            <v>NS60L</v>
          </cell>
          <cell r="D191">
            <v>6</v>
          </cell>
          <cell r="E191">
            <v>7</v>
          </cell>
          <cell r="F191">
            <v>13</v>
          </cell>
          <cell r="G191">
            <v>6</v>
          </cell>
          <cell r="H191" t="str">
            <v>CM84</v>
          </cell>
          <cell r="I191" t="str">
            <v>CM87</v>
          </cell>
          <cell r="J191" t="str">
            <v>PE</v>
          </cell>
          <cell r="K191">
            <v>0</v>
          </cell>
          <cell r="L191">
            <v>0</v>
          </cell>
          <cell r="M191" t="str">
            <v>C4A R/L</v>
          </cell>
          <cell r="N191" t="str">
            <v>P4M</v>
          </cell>
          <cell r="O191">
            <v>7.8</v>
          </cell>
        </row>
        <row r="192">
          <cell r="A192" t="str">
            <v>NS60L11</v>
          </cell>
          <cell r="B192" t="str">
            <v>NS60LPE11</v>
          </cell>
          <cell r="C192" t="str">
            <v>NS60L</v>
          </cell>
          <cell r="D192">
            <v>5</v>
          </cell>
          <cell r="E192">
            <v>6</v>
          </cell>
          <cell r="F192">
            <v>11</v>
          </cell>
          <cell r="G192">
            <v>6</v>
          </cell>
          <cell r="H192" t="str">
            <v>CM84</v>
          </cell>
          <cell r="I192" t="str">
            <v>CM87</v>
          </cell>
          <cell r="J192" t="str">
            <v>PE</v>
          </cell>
          <cell r="K192">
            <v>0</v>
          </cell>
          <cell r="L192">
            <v>0</v>
          </cell>
          <cell r="M192" t="str">
            <v>C4A R/L</v>
          </cell>
          <cell r="N192" t="str">
            <v>P4M</v>
          </cell>
          <cell r="O192">
            <v>7.8</v>
          </cell>
        </row>
        <row r="193">
          <cell r="A193" t="str">
            <v>NS60L-913</v>
          </cell>
          <cell r="B193" t="str">
            <v>NS60L-9PULP13</v>
          </cell>
          <cell r="C193" t="str">
            <v>NS60L-9</v>
          </cell>
          <cell r="D193">
            <v>6</v>
          </cell>
          <cell r="E193">
            <v>7</v>
          </cell>
          <cell r="F193">
            <v>13</v>
          </cell>
          <cell r="G193">
            <v>6</v>
          </cell>
          <cell r="H193" t="str">
            <v>CM82</v>
          </cell>
          <cell r="I193" t="str">
            <v>CM87</v>
          </cell>
          <cell r="J193" t="str">
            <v>PULP</v>
          </cell>
          <cell r="K193">
            <v>0</v>
          </cell>
          <cell r="L193">
            <v>0</v>
          </cell>
          <cell r="M193" t="str">
            <v>C4A R/L</v>
          </cell>
          <cell r="N193" t="str">
            <v>P4M</v>
          </cell>
          <cell r="O193">
            <v>7.8</v>
          </cell>
        </row>
        <row r="194">
          <cell r="A194" t="str">
            <v>NS60LS11</v>
          </cell>
          <cell r="B194" t="str">
            <v>NS60LSPE11</v>
          </cell>
          <cell r="C194" t="str">
            <v>NS60LS</v>
          </cell>
          <cell r="D194">
            <v>5</v>
          </cell>
          <cell r="E194">
            <v>6</v>
          </cell>
          <cell r="F194">
            <v>11</v>
          </cell>
          <cell r="G194">
            <v>6</v>
          </cell>
          <cell r="H194" t="str">
            <v>CM84</v>
          </cell>
          <cell r="I194" t="str">
            <v>CM87</v>
          </cell>
          <cell r="J194" t="str">
            <v>PE</v>
          </cell>
          <cell r="K194">
            <v>0</v>
          </cell>
          <cell r="L194">
            <v>0</v>
          </cell>
          <cell r="M194" t="str">
            <v>C4A R/L</v>
          </cell>
          <cell r="N194" t="str">
            <v>P4M</v>
          </cell>
          <cell r="O194">
            <v>7.8</v>
          </cell>
        </row>
        <row r="195">
          <cell r="A195" t="str">
            <v>NS60LS13</v>
          </cell>
          <cell r="B195" t="str">
            <v>NS60LSPE13</v>
          </cell>
          <cell r="C195" t="str">
            <v>NS60LS</v>
          </cell>
          <cell r="D195">
            <v>6</v>
          </cell>
          <cell r="E195">
            <v>7</v>
          </cell>
          <cell r="F195">
            <v>13</v>
          </cell>
          <cell r="G195">
            <v>6</v>
          </cell>
          <cell r="H195" t="str">
            <v>CM84</v>
          </cell>
          <cell r="I195" t="str">
            <v>CM87</v>
          </cell>
          <cell r="J195" t="str">
            <v>PE</v>
          </cell>
          <cell r="K195">
            <v>0</v>
          </cell>
          <cell r="L195">
            <v>0</v>
          </cell>
          <cell r="M195" t="str">
            <v>C4A R/L</v>
          </cell>
          <cell r="N195" t="str">
            <v>P4M</v>
          </cell>
          <cell r="O195">
            <v>7.8</v>
          </cell>
        </row>
        <row r="196">
          <cell r="A196" t="str">
            <v>NS60LS13</v>
          </cell>
          <cell r="B196" t="str">
            <v>NS60LSPULP13</v>
          </cell>
          <cell r="C196" t="str">
            <v>NS60LS</v>
          </cell>
          <cell r="D196">
            <v>6</v>
          </cell>
          <cell r="E196">
            <v>7</v>
          </cell>
          <cell r="F196">
            <v>13</v>
          </cell>
          <cell r="G196">
            <v>6</v>
          </cell>
          <cell r="H196" t="str">
            <v>CM84</v>
          </cell>
          <cell r="I196" t="str">
            <v>CM87</v>
          </cell>
          <cell r="J196" t="str">
            <v>PULP</v>
          </cell>
          <cell r="K196">
            <v>0</v>
          </cell>
          <cell r="L196">
            <v>0</v>
          </cell>
          <cell r="M196" t="str">
            <v>C4A R/L</v>
          </cell>
          <cell r="N196" t="str">
            <v>P4M</v>
          </cell>
          <cell r="O196">
            <v>7.8</v>
          </cell>
        </row>
        <row r="197">
          <cell r="A197" t="str">
            <v>NS60S11</v>
          </cell>
          <cell r="B197" t="str">
            <v>NS60SPE11</v>
          </cell>
          <cell r="C197" t="str">
            <v>NS60S</v>
          </cell>
          <cell r="D197">
            <v>5</v>
          </cell>
          <cell r="E197">
            <v>6</v>
          </cell>
          <cell r="F197">
            <v>11</v>
          </cell>
          <cell r="G197">
            <v>6</v>
          </cell>
          <cell r="H197" t="str">
            <v>CM84</v>
          </cell>
          <cell r="I197" t="str">
            <v>CM87</v>
          </cell>
          <cell r="J197" t="str">
            <v>PE</v>
          </cell>
          <cell r="K197">
            <v>0</v>
          </cell>
          <cell r="L197">
            <v>0</v>
          </cell>
          <cell r="M197" t="str">
            <v>C4A R/L</v>
          </cell>
          <cell r="N197" t="str">
            <v>P4M</v>
          </cell>
          <cell r="O197">
            <v>7.8</v>
          </cell>
        </row>
        <row r="198">
          <cell r="A198" t="str">
            <v>NS60S13</v>
          </cell>
          <cell r="B198" t="str">
            <v>NS60SPE13</v>
          </cell>
          <cell r="C198" t="str">
            <v>NS60S</v>
          </cell>
          <cell r="D198">
            <v>6</v>
          </cell>
          <cell r="E198">
            <v>7</v>
          </cell>
          <cell r="F198">
            <v>13</v>
          </cell>
          <cell r="G198">
            <v>6</v>
          </cell>
          <cell r="H198" t="str">
            <v>CM84</v>
          </cell>
          <cell r="I198" t="str">
            <v>CM87</v>
          </cell>
          <cell r="J198" t="str">
            <v>PE</v>
          </cell>
          <cell r="K198">
            <v>0</v>
          </cell>
          <cell r="L198">
            <v>0</v>
          </cell>
          <cell r="M198" t="str">
            <v>C4A R/L</v>
          </cell>
          <cell r="N198" t="str">
            <v>P4M</v>
          </cell>
          <cell r="O198">
            <v>7.8</v>
          </cell>
        </row>
        <row r="199">
          <cell r="A199" t="str">
            <v>NS60S13</v>
          </cell>
          <cell r="B199" t="str">
            <v>NS60SPULP13</v>
          </cell>
          <cell r="C199" t="str">
            <v>NS60S</v>
          </cell>
          <cell r="D199">
            <v>6</v>
          </cell>
          <cell r="E199">
            <v>7</v>
          </cell>
          <cell r="F199">
            <v>13</v>
          </cell>
          <cell r="G199">
            <v>6</v>
          </cell>
          <cell r="H199" t="str">
            <v>CM84</v>
          </cell>
          <cell r="I199" t="str">
            <v>CM87</v>
          </cell>
          <cell r="J199" t="str">
            <v>PULP</v>
          </cell>
          <cell r="K199">
            <v>0</v>
          </cell>
          <cell r="L199">
            <v>0</v>
          </cell>
          <cell r="M199" t="str">
            <v>C4A R/L</v>
          </cell>
          <cell r="N199" t="str">
            <v>P4M</v>
          </cell>
          <cell r="O199">
            <v>7.8</v>
          </cell>
        </row>
        <row r="200">
          <cell r="A200" t="str">
            <v>NS7013</v>
          </cell>
          <cell r="B200" t="str">
            <v>NS70PE13</v>
          </cell>
          <cell r="C200" t="str">
            <v>NS70</v>
          </cell>
          <cell r="D200">
            <v>6</v>
          </cell>
          <cell r="E200">
            <v>7</v>
          </cell>
          <cell r="F200">
            <v>13</v>
          </cell>
          <cell r="G200">
            <v>6</v>
          </cell>
          <cell r="H200" t="str">
            <v>CG82</v>
          </cell>
          <cell r="I200" t="str">
            <v>CG87</v>
          </cell>
          <cell r="J200" t="str">
            <v>PE</v>
          </cell>
          <cell r="K200">
            <v>0</v>
          </cell>
          <cell r="L200">
            <v>0</v>
          </cell>
          <cell r="M200" t="str">
            <v>C5C R/L</v>
          </cell>
          <cell r="N200" t="str">
            <v>P7T</v>
          </cell>
          <cell r="O200">
            <v>10.199999999999999</v>
          </cell>
        </row>
        <row r="201">
          <cell r="A201" t="str">
            <v>NS7013</v>
          </cell>
          <cell r="B201" t="str">
            <v>NS70PULP13</v>
          </cell>
          <cell r="C201" t="str">
            <v>NS70</v>
          </cell>
          <cell r="D201">
            <v>6</v>
          </cell>
          <cell r="E201">
            <v>7</v>
          </cell>
          <cell r="F201">
            <v>13</v>
          </cell>
          <cell r="G201">
            <v>6</v>
          </cell>
          <cell r="H201" t="str">
            <v>CG82</v>
          </cell>
          <cell r="I201" t="str">
            <v>CG87</v>
          </cell>
          <cell r="J201" t="str">
            <v>PULP</v>
          </cell>
          <cell r="K201">
            <v>0</v>
          </cell>
          <cell r="L201">
            <v>0</v>
          </cell>
          <cell r="M201" t="str">
            <v>C5C R/L</v>
          </cell>
          <cell r="N201" t="str">
            <v>P7T</v>
          </cell>
          <cell r="O201">
            <v>10.199999999999999</v>
          </cell>
        </row>
        <row r="202">
          <cell r="A202" t="str">
            <v>NS7011</v>
          </cell>
          <cell r="B202" t="str">
            <v>NS70PE11</v>
          </cell>
          <cell r="C202" t="str">
            <v>NS70</v>
          </cell>
          <cell r="D202">
            <v>5</v>
          </cell>
          <cell r="E202">
            <v>6</v>
          </cell>
          <cell r="F202">
            <v>11</v>
          </cell>
          <cell r="G202">
            <v>6</v>
          </cell>
          <cell r="H202" t="str">
            <v>CG82</v>
          </cell>
          <cell r="I202" t="str">
            <v>CG87</v>
          </cell>
          <cell r="J202" t="str">
            <v>PE</v>
          </cell>
          <cell r="K202">
            <v>0</v>
          </cell>
          <cell r="L202">
            <v>0</v>
          </cell>
          <cell r="M202" t="str">
            <v>C5C R/L</v>
          </cell>
          <cell r="N202" t="str">
            <v>P7T</v>
          </cell>
          <cell r="O202">
            <v>10.199999999999999</v>
          </cell>
        </row>
        <row r="203">
          <cell r="A203" t="str">
            <v>NS70-913</v>
          </cell>
          <cell r="B203" t="str">
            <v>NS70-9PE13</v>
          </cell>
          <cell r="C203" t="str">
            <v>NS70-9</v>
          </cell>
          <cell r="D203">
            <v>6</v>
          </cell>
          <cell r="E203">
            <v>7</v>
          </cell>
          <cell r="F203">
            <v>13</v>
          </cell>
          <cell r="G203">
            <v>6</v>
          </cell>
          <cell r="H203" t="str">
            <v>CG80</v>
          </cell>
          <cell r="I203" t="str">
            <v>CG85</v>
          </cell>
          <cell r="J203" t="str">
            <v>PE</v>
          </cell>
          <cell r="K203">
            <v>0</v>
          </cell>
          <cell r="L203">
            <v>0</v>
          </cell>
          <cell r="M203" t="str">
            <v>C5C R/L</v>
          </cell>
          <cell r="N203" t="str">
            <v>P7T</v>
          </cell>
          <cell r="O203">
            <v>10.199999999999999</v>
          </cell>
        </row>
        <row r="204">
          <cell r="A204" t="str">
            <v>NS70L13</v>
          </cell>
          <cell r="B204" t="str">
            <v>NS70LPE13</v>
          </cell>
          <cell r="C204" t="str">
            <v>NS70L</v>
          </cell>
          <cell r="D204">
            <v>6</v>
          </cell>
          <cell r="E204">
            <v>7</v>
          </cell>
          <cell r="F204">
            <v>13</v>
          </cell>
          <cell r="G204">
            <v>6</v>
          </cell>
          <cell r="H204" t="str">
            <v>CG82</v>
          </cell>
          <cell r="I204" t="str">
            <v>CG87</v>
          </cell>
          <cell r="J204" t="str">
            <v>PE</v>
          </cell>
          <cell r="K204">
            <v>0</v>
          </cell>
          <cell r="L204">
            <v>0</v>
          </cell>
          <cell r="M204" t="str">
            <v>C5C R/L</v>
          </cell>
          <cell r="N204" t="str">
            <v>P7T</v>
          </cell>
          <cell r="O204">
            <v>10.199999999999999</v>
          </cell>
        </row>
        <row r="205">
          <cell r="A205" t="str">
            <v>NS70L14</v>
          </cell>
          <cell r="B205" t="str">
            <v>NS70LPE14</v>
          </cell>
          <cell r="C205" t="str">
            <v>NS70L</v>
          </cell>
          <cell r="D205">
            <v>7</v>
          </cell>
          <cell r="E205">
            <v>7</v>
          </cell>
          <cell r="F205">
            <v>14</v>
          </cell>
          <cell r="G205">
            <v>6</v>
          </cell>
          <cell r="H205" t="str">
            <v>CG82</v>
          </cell>
          <cell r="I205" t="str">
            <v>CG87</v>
          </cell>
          <cell r="J205" t="str">
            <v>PE</v>
          </cell>
          <cell r="K205">
            <v>0</v>
          </cell>
          <cell r="L205">
            <v>0</v>
          </cell>
          <cell r="M205" t="str">
            <v>C5C R/L</v>
          </cell>
          <cell r="N205" t="str">
            <v>P7T</v>
          </cell>
          <cell r="O205">
            <v>10.199999999999999</v>
          </cell>
        </row>
        <row r="206">
          <cell r="A206" t="str">
            <v>NS70L11</v>
          </cell>
          <cell r="B206" t="str">
            <v>NS70LPE11</v>
          </cell>
          <cell r="C206" t="str">
            <v>NS70L</v>
          </cell>
          <cell r="D206">
            <v>5</v>
          </cell>
          <cell r="E206">
            <v>6</v>
          </cell>
          <cell r="F206">
            <v>11</v>
          </cell>
          <cell r="G206">
            <v>6</v>
          </cell>
          <cell r="H206" t="str">
            <v>CG82</v>
          </cell>
          <cell r="I206" t="str">
            <v>CG87</v>
          </cell>
          <cell r="J206" t="str">
            <v>PE</v>
          </cell>
          <cell r="K206">
            <v>0</v>
          </cell>
          <cell r="L206">
            <v>0</v>
          </cell>
          <cell r="M206" t="str">
            <v>C5C R/L</v>
          </cell>
          <cell r="N206" t="str">
            <v>P7T</v>
          </cell>
          <cell r="O206">
            <v>10.199999999999999</v>
          </cell>
        </row>
        <row r="207">
          <cell r="A207" t="str">
            <v>NS70L13</v>
          </cell>
          <cell r="B207" t="str">
            <v>NS70LPULP13</v>
          </cell>
          <cell r="C207" t="str">
            <v>NS70L</v>
          </cell>
          <cell r="D207">
            <v>6</v>
          </cell>
          <cell r="E207">
            <v>7</v>
          </cell>
          <cell r="F207">
            <v>13</v>
          </cell>
          <cell r="G207">
            <v>6</v>
          </cell>
          <cell r="H207" t="str">
            <v>CG82</v>
          </cell>
          <cell r="I207" t="str">
            <v>CG87</v>
          </cell>
          <cell r="J207" t="str">
            <v>PULP</v>
          </cell>
          <cell r="K207">
            <v>0</v>
          </cell>
          <cell r="L207">
            <v>0</v>
          </cell>
          <cell r="M207" t="str">
            <v>C5C R/L</v>
          </cell>
          <cell r="N207" t="str">
            <v>P7T</v>
          </cell>
          <cell r="O207">
            <v>10.199999999999999</v>
          </cell>
        </row>
        <row r="208">
          <cell r="A208" t="str">
            <v>NX120-717</v>
          </cell>
          <cell r="B208" t="str">
            <v>NX120-7PE17</v>
          </cell>
          <cell r="C208" t="str">
            <v>NX120-7</v>
          </cell>
          <cell r="D208">
            <v>9</v>
          </cell>
          <cell r="E208">
            <v>8</v>
          </cell>
          <cell r="F208">
            <v>17</v>
          </cell>
          <cell r="G208">
            <v>6</v>
          </cell>
          <cell r="H208" t="str">
            <v>CG85</v>
          </cell>
          <cell r="I208" t="str">
            <v>CG85</v>
          </cell>
          <cell r="J208" t="str">
            <v>PE</v>
          </cell>
          <cell r="K208">
            <v>0</v>
          </cell>
          <cell r="L208">
            <v>0</v>
          </cell>
          <cell r="M208" t="str">
            <v>C5B R/L</v>
          </cell>
          <cell r="N208" t="str">
            <v>P7T</v>
          </cell>
          <cell r="O208">
            <v>13.8</v>
          </cell>
        </row>
        <row r="209">
          <cell r="A209" t="str">
            <v>NX120-715</v>
          </cell>
          <cell r="B209" t="str">
            <v>NX120-7PE15</v>
          </cell>
          <cell r="C209" t="str">
            <v>NX120-7</v>
          </cell>
          <cell r="D209">
            <v>8</v>
          </cell>
          <cell r="E209">
            <v>7</v>
          </cell>
          <cell r="F209">
            <v>15</v>
          </cell>
          <cell r="G209">
            <v>6</v>
          </cell>
          <cell r="H209" t="str">
            <v>CG85</v>
          </cell>
          <cell r="I209" t="str">
            <v>CG85</v>
          </cell>
          <cell r="J209" t="str">
            <v>PE</v>
          </cell>
          <cell r="K209">
            <v>0</v>
          </cell>
          <cell r="L209">
            <v>0</v>
          </cell>
          <cell r="M209" t="str">
            <v>C5B R/L</v>
          </cell>
          <cell r="N209" t="str">
            <v>P7T</v>
          </cell>
          <cell r="O209">
            <v>13.8</v>
          </cell>
        </row>
        <row r="210">
          <cell r="A210" t="str">
            <v>NX120-7L17</v>
          </cell>
          <cell r="B210" t="str">
            <v>NX120-7LPE17</v>
          </cell>
          <cell r="C210" t="str">
            <v>NX120-7L</v>
          </cell>
          <cell r="D210">
            <v>9</v>
          </cell>
          <cell r="E210">
            <v>8</v>
          </cell>
          <cell r="F210">
            <v>17</v>
          </cell>
          <cell r="G210">
            <v>6</v>
          </cell>
          <cell r="H210" t="str">
            <v>CG85</v>
          </cell>
          <cell r="I210" t="str">
            <v>CG85</v>
          </cell>
          <cell r="J210" t="str">
            <v>PE</v>
          </cell>
          <cell r="K210">
            <v>0</v>
          </cell>
          <cell r="L210">
            <v>0</v>
          </cell>
          <cell r="M210" t="str">
            <v>C5B R/L</v>
          </cell>
          <cell r="N210" t="str">
            <v>P7T</v>
          </cell>
          <cell r="O210">
            <v>13.8</v>
          </cell>
        </row>
        <row r="211">
          <cell r="A211" t="str">
            <v>NX120-7L15</v>
          </cell>
          <cell r="B211" t="str">
            <v>NX120-7LPE15</v>
          </cell>
          <cell r="C211" t="str">
            <v>NX120-7L</v>
          </cell>
          <cell r="D211">
            <v>8</v>
          </cell>
          <cell r="E211">
            <v>7</v>
          </cell>
          <cell r="F211">
            <v>15</v>
          </cell>
          <cell r="G211">
            <v>6</v>
          </cell>
          <cell r="H211" t="str">
            <v>CG85</v>
          </cell>
          <cell r="I211" t="str">
            <v>CG85</v>
          </cell>
          <cell r="J211" t="str">
            <v>PE</v>
          </cell>
          <cell r="K211">
            <v>0</v>
          </cell>
          <cell r="L211">
            <v>0</v>
          </cell>
          <cell r="M211" t="str">
            <v>C5B R/L</v>
          </cell>
          <cell r="N211" t="str">
            <v>P7T</v>
          </cell>
          <cell r="O211">
            <v>13.8</v>
          </cell>
        </row>
        <row r="212">
          <cell r="A212" t="str">
            <v>N100-920</v>
          </cell>
          <cell r="B212" t="str">
            <v>N100-9PULP20</v>
          </cell>
          <cell r="C212" t="str">
            <v>N100-9</v>
          </cell>
          <cell r="D212">
            <v>10</v>
          </cell>
          <cell r="E212">
            <v>10</v>
          </cell>
          <cell r="F212">
            <v>20</v>
          </cell>
          <cell r="G212">
            <v>6</v>
          </cell>
          <cell r="H212" t="str">
            <v>CG80</v>
          </cell>
          <cell r="I212" t="str">
            <v>CG87</v>
          </cell>
          <cell r="J212" t="str">
            <v>PULP</v>
          </cell>
          <cell r="K212">
            <v>0</v>
          </cell>
          <cell r="L212">
            <v>0</v>
          </cell>
          <cell r="M212" t="str">
            <v>C1227 R/L</v>
          </cell>
          <cell r="N212" t="str">
            <v>P7T</v>
          </cell>
          <cell r="O212">
            <v>14.9</v>
          </cell>
        </row>
        <row r="213">
          <cell r="A213" t="str">
            <v>NS70-914</v>
          </cell>
          <cell r="B213" t="str">
            <v>NS70-9PE14</v>
          </cell>
          <cell r="C213" t="str">
            <v>NS70-9</v>
          </cell>
          <cell r="D213">
            <v>7</v>
          </cell>
          <cell r="E213">
            <v>7</v>
          </cell>
          <cell r="F213">
            <v>14</v>
          </cell>
          <cell r="G213">
            <v>6</v>
          </cell>
          <cell r="H213" t="str">
            <v>CG80</v>
          </cell>
          <cell r="I213" t="str">
            <v>CG85</v>
          </cell>
          <cell r="J213" t="str">
            <v>PE</v>
          </cell>
          <cell r="K213">
            <v>0</v>
          </cell>
          <cell r="L213">
            <v>0</v>
          </cell>
          <cell r="M213" t="str">
            <v>C5C R/L</v>
          </cell>
          <cell r="N213" t="str">
            <v>P7T</v>
          </cell>
          <cell r="O213">
            <v>10.4</v>
          </cell>
        </row>
        <row r="214">
          <cell r="A214" t="str">
            <v>N70-915</v>
          </cell>
          <cell r="B214" t="str">
            <v>N70-9PE15</v>
          </cell>
          <cell r="C214" t="str">
            <v>N70-9</v>
          </cell>
          <cell r="D214">
            <v>8</v>
          </cell>
          <cell r="E214">
            <v>7</v>
          </cell>
          <cell r="F214">
            <v>15</v>
          </cell>
          <cell r="G214">
            <v>6</v>
          </cell>
          <cell r="H214" t="str">
            <v>CG80</v>
          </cell>
          <cell r="I214" t="str">
            <v>CG85</v>
          </cell>
          <cell r="J214" t="str">
            <v>PE</v>
          </cell>
          <cell r="K214">
            <v>0</v>
          </cell>
          <cell r="L214">
            <v>0</v>
          </cell>
          <cell r="M214" t="str">
            <v>C5B R/L</v>
          </cell>
          <cell r="N214" t="str">
            <v>P7T</v>
          </cell>
          <cell r="O214">
            <v>12.1</v>
          </cell>
        </row>
        <row r="215">
          <cell r="A215" t="str">
            <v>NX120-717</v>
          </cell>
          <cell r="B215" t="str">
            <v>NX120-7PULP17</v>
          </cell>
          <cell r="C215" t="str">
            <v>NX120-7</v>
          </cell>
          <cell r="D215">
            <v>9</v>
          </cell>
          <cell r="E215">
            <v>8</v>
          </cell>
          <cell r="F215">
            <v>17</v>
          </cell>
          <cell r="G215">
            <v>6</v>
          </cell>
          <cell r="H215" t="str">
            <v>CG85</v>
          </cell>
          <cell r="I215" t="str">
            <v>CG85</v>
          </cell>
          <cell r="J215" t="str">
            <v>PULP</v>
          </cell>
          <cell r="K215">
            <v>0</v>
          </cell>
          <cell r="L215">
            <v>0</v>
          </cell>
          <cell r="M215" t="str">
            <v>C5B R/L</v>
          </cell>
          <cell r="N215" t="str">
            <v>P7T</v>
          </cell>
          <cell r="O215">
            <v>13.8</v>
          </cell>
        </row>
        <row r="216">
          <cell r="A216" t="str">
            <v>105D3118</v>
          </cell>
          <cell r="B216" t="str">
            <v>105D31PE18</v>
          </cell>
          <cell r="C216" t="str">
            <v>105D31</v>
          </cell>
          <cell r="D216">
            <v>9</v>
          </cell>
          <cell r="E216">
            <v>9</v>
          </cell>
          <cell r="F216">
            <v>18</v>
          </cell>
          <cell r="G216">
            <v>6</v>
          </cell>
          <cell r="H216" t="str">
            <v>CG85</v>
          </cell>
          <cell r="I216" t="str">
            <v>CG85</v>
          </cell>
          <cell r="J216" t="str">
            <v>PE</v>
          </cell>
          <cell r="K216">
            <v>0</v>
          </cell>
          <cell r="L216">
            <v>0</v>
          </cell>
          <cell r="M216" t="str">
            <v>C5B R/L</v>
          </cell>
          <cell r="N216" t="str">
            <v>P7T</v>
          </cell>
          <cell r="O216">
            <v>13.8</v>
          </cell>
        </row>
        <row r="217">
          <cell r="A217" t="str">
            <v>N0315</v>
          </cell>
          <cell r="B217" t="str">
            <v>N03PE15</v>
          </cell>
          <cell r="C217" t="str">
            <v>N03</v>
          </cell>
          <cell r="D217">
            <v>8</v>
          </cell>
          <cell r="E217">
            <v>7</v>
          </cell>
          <cell r="F217">
            <v>15</v>
          </cell>
          <cell r="G217">
            <v>3</v>
          </cell>
          <cell r="H217" t="str">
            <v>CR82</v>
          </cell>
          <cell r="I217" t="str">
            <v>CR87</v>
          </cell>
          <cell r="J217" t="str">
            <v>PE</v>
          </cell>
          <cell r="K217">
            <v>0</v>
          </cell>
          <cell r="L217">
            <v>0</v>
          </cell>
          <cell r="M217" t="str">
            <v>C8R/L</v>
          </cell>
          <cell r="N217" t="str">
            <v>P0973</v>
          </cell>
          <cell r="O217">
            <v>0</v>
          </cell>
        </row>
        <row r="218">
          <cell r="A218" t="str">
            <v>MF32511</v>
          </cell>
          <cell r="B218" t="str">
            <v>MF325PE11</v>
          </cell>
          <cell r="C218" t="str">
            <v>MF325</v>
          </cell>
          <cell r="D218">
            <v>6</v>
          </cell>
          <cell r="E218">
            <v>5</v>
          </cell>
          <cell r="F218">
            <v>11</v>
          </cell>
          <cell r="G218">
            <v>6</v>
          </cell>
          <cell r="H218" t="str">
            <v>YM84</v>
          </cell>
          <cell r="I218" t="str">
            <v>YM84</v>
          </cell>
          <cell r="J218" t="str">
            <v>PE</v>
          </cell>
          <cell r="K218">
            <v>0</v>
          </cell>
          <cell r="L218">
            <v>0</v>
          </cell>
          <cell r="M218" t="str">
            <v>C5DL/R</v>
          </cell>
          <cell r="N218" t="str">
            <v>P7T</v>
          </cell>
          <cell r="O218">
            <v>0</v>
          </cell>
        </row>
        <row r="219">
          <cell r="A219" t="str">
            <v>N12D19</v>
          </cell>
          <cell r="B219" t="str">
            <v>N12DPE19</v>
          </cell>
          <cell r="C219" t="str">
            <v>N12D</v>
          </cell>
          <cell r="D219">
            <v>10</v>
          </cell>
          <cell r="E219">
            <v>9</v>
          </cell>
          <cell r="F219">
            <v>19</v>
          </cell>
          <cell r="G219">
            <v>3</v>
          </cell>
          <cell r="H219" t="str">
            <v>CG80</v>
          </cell>
          <cell r="I219" t="str">
            <v>CG85</v>
          </cell>
          <cell r="J219" t="str">
            <v>PE</v>
          </cell>
          <cell r="K219">
            <v>0</v>
          </cell>
          <cell r="L219">
            <v>0</v>
          </cell>
          <cell r="M219" t="str">
            <v>C5B R/L</v>
          </cell>
          <cell r="N219" t="str">
            <v>P0968</v>
          </cell>
          <cell r="O219">
            <v>0</v>
          </cell>
        </row>
        <row r="220">
          <cell r="A220" t="str">
            <v>NS40A8</v>
          </cell>
          <cell r="B220" t="str">
            <v>NS40APE8</v>
          </cell>
          <cell r="C220" t="str">
            <v>NS40A</v>
          </cell>
          <cell r="D220">
            <v>4</v>
          </cell>
          <cell r="E220">
            <v>4</v>
          </cell>
          <cell r="F220">
            <v>8</v>
          </cell>
          <cell r="G220">
            <v>6</v>
          </cell>
          <cell r="H220" t="str">
            <v>CM84</v>
          </cell>
          <cell r="I220" t="str">
            <v>YM84</v>
          </cell>
          <cell r="J220" t="str">
            <v>PE</v>
          </cell>
          <cell r="K220">
            <v>0</v>
          </cell>
          <cell r="L220">
            <v>0</v>
          </cell>
          <cell r="M220" t="str">
            <v>C4A R/L</v>
          </cell>
          <cell r="N220" t="str">
            <v>P4M</v>
          </cell>
          <cell r="O220">
            <v>0</v>
          </cell>
        </row>
        <row r="221">
          <cell r="A221" t="str">
            <v>NS70G13</v>
          </cell>
          <cell r="B221" t="str">
            <v>NS70GPE13</v>
          </cell>
          <cell r="C221" t="str">
            <v>NS70G</v>
          </cell>
          <cell r="D221">
            <v>6</v>
          </cell>
          <cell r="E221">
            <v>7</v>
          </cell>
          <cell r="F221">
            <v>13</v>
          </cell>
          <cell r="G221">
            <v>6</v>
          </cell>
          <cell r="H221" t="str">
            <v>CG85</v>
          </cell>
          <cell r="I221" t="str">
            <v>YG87</v>
          </cell>
          <cell r="J221" t="str">
            <v>PE</v>
          </cell>
          <cell r="K221">
            <v>0</v>
          </cell>
          <cell r="L221">
            <v>0</v>
          </cell>
          <cell r="M221" t="str">
            <v>C5C R/L</v>
          </cell>
          <cell r="N221" t="str">
            <v>P7T</v>
          </cell>
          <cell r="O221">
            <v>0</v>
          </cell>
        </row>
        <row r="222">
          <cell r="A222" t="str">
            <v>N50G9</v>
          </cell>
          <cell r="B222" t="str">
            <v>N50GPE9</v>
          </cell>
          <cell r="C222" t="str">
            <v>N50G</v>
          </cell>
          <cell r="D222">
            <v>5</v>
          </cell>
          <cell r="E222">
            <v>4</v>
          </cell>
          <cell r="F222">
            <v>9</v>
          </cell>
          <cell r="G222">
            <v>6</v>
          </cell>
          <cell r="H222" t="str">
            <v>CG85</v>
          </cell>
          <cell r="I222" t="str">
            <v>YG87</v>
          </cell>
          <cell r="J222" t="str">
            <v>PE</v>
          </cell>
          <cell r="K222">
            <v>0</v>
          </cell>
          <cell r="L222">
            <v>0</v>
          </cell>
          <cell r="M222" t="str">
            <v>C5C R/L</v>
          </cell>
          <cell r="N222" t="str">
            <v>P7T</v>
          </cell>
          <cell r="O222">
            <v>0</v>
          </cell>
        </row>
        <row r="223">
          <cell r="A223" t="str">
            <v>MF6003818</v>
          </cell>
          <cell r="B223" t="str">
            <v>MF60038PE18</v>
          </cell>
          <cell r="C223" t="str">
            <v>MF60038</v>
          </cell>
          <cell r="D223">
            <v>9</v>
          </cell>
          <cell r="E223">
            <v>9</v>
          </cell>
          <cell r="F223">
            <v>18</v>
          </cell>
          <cell r="G223">
            <v>6</v>
          </cell>
          <cell r="H223" t="str">
            <v>YG82HD</v>
          </cell>
          <cell r="I223" t="str">
            <v>YG85</v>
          </cell>
          <cell r="J223" t="str">
            <v>PE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A224" t="str">
            <v>MF6003820</v>
          </cell>
          <cell r="B224" t="str">
            <v>MF60038PE20</v>
          </cell>
          <cell r="C224" t="str">
            <v>MF60038</v>
          </cell>
          <cell r="D224">
            <v>10</v>
          </cell>
          <cell r="E224">
            <v>10</v>
          </cell>
          <cell r="F224">
            <v>20</v>
          </cell>
          <cell r="G224">
            <v>6</v>
          </cell>
          <cell r="H224" t="str">
            <v>YG80</v>
          </cell>
          <cell r="I224" t="str">
            <v>YG85</v>
          </cell>
          <cell r="J224" t="str">
            <v>PE</v>
          </cell>
          <cell r="K224">
            <v>0</v>
          </cell>
          <cell r="L224">
            <v>0</v>
          </cell>
          <cell r="M224" t="str">
            <v>C5DL/R</v>
          </cell>
          <cell r="N224" t="str">
            <v>P8G2</v>
          </cell>
          <cell r="O224">
            <v>0</v>
          </cell>
        </row>
        <row r="225">
          <cell r="A225" t="str">
            <v>MF580-2414</v>
          </cell>
          <cell r="B225" t="str">
            <v>MF580-24PE14</v>
          </cell>
          <cell r="C225" t="str">
            <v>MF580-24</v>
          </cell>
          <cell r="D225">
            <v>7</v>
          </cell>
          <cell r="E225">
            <v>7</v>
          </cell>
          <cell r="F225">
            <v>14</v>
          </cell>
          <cell r="G225">
            <v>6</v>
          </cell>
          <cell r="H225" t="str">
            <v>YG80</v>
          </cell>
          <cell r="I225" t="str">
            <v>YG85</v>
          </cell>
          <cell r="J225" t="str">
            <v>PE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A226" t="str">
            <v>34B20L11</v>
          </cell>
          <cell r="B226" t="str">
            <v>34B20LPE11</v>
          </cell>
          <cell r="C226" t="str">
            <v>34B20L</v>
          </cell>
          <cell r="D226">
            <v>5</v>
          </cell>
          <cell r="E226">
            <v>6</v>
          </cell>
          <cell r="F226">
            <v>11</v>
          </cell>
          <cell r="G226">
            <v>6</v>
          </cell>
          <cell r="H226" t="str">
            <v>YM84</v>
          </cell>
          <cell r="I226" t="str">
            <v>CM84</v>
          </cell>
          <cell r="J226" t="str">
            <v>PE</v>
          </cell>
          <cell r="K226">
            <v>0</v>
          </cell>
          <cell r="L226">
            <v>0</v>
          </cell>
          <cell r="M226" t="str">
            <v>C4A R/L</v>
          </cell>
          <cell r="N226" t="str">
            <v>P4M</v>
          </cell>
          <cell r="O226">
            <v>0</v>
          </cell>
        </row>
        <row r="227">
          <cell r="A227" t="str">
            <v>NS70LG13</v>
          </cell>
          <cell r="B227" t="str">
            <v>NS70LGPE13</v>
          </cell>
          <cell r="C227" t="str">
            <v>NS70LG</v>
          </cell>
          <cell r="D227">
            <v>6</v>
          </cell>
          <cell r="E227">
            <v>7</v>
          </cell>
          <cell r="F227">
            <v>13</v>
          </cell>
          <cell r="G227">
            <v>6</v>
          </cell>
          <cell r="H227" t="str">
            <v>CG85</v>
          </cell>
          <cell r="I227" t="str">
            <v>YG87</v>
          </cell>
          <cell r="J227" t="str">
            <v>PE</v>
          </cell>
          <cell r="K227">
            <v>0</v>
          </cell>
          <cell r="L227">
            <v>0</v>
          </cell>
          <cell r="M227" t="str">
            <v>C5C R/L</v>
          </cell>
          <cell r="N227" t="str">
            <v>P7T</v>
          </cell>
          <cell r="O227">
            <v>0</v>
          </cell>
        </row>
        <row r="228">
          <cell r="A228" t="str">
            <v>N50ZG11</v>
          </cell>
          <cell r="B228" t="str">
            <v>N50ZGPE11</v>
          </cell>
          <cell r="C228" t="str">
            <v>N50ZG</v>
          </cell>
          <cell r="D228">
            <v>5</v>
          </cell>
          <cell r="E228">
            <v>6</v>
          </cell>
          <cell r="F228">
            <v>11</v>
          </cell>
          <cell r="G228">
            <v>6</v>
          </cell>
          <cell r="H228" t="str">
            <v>CG85</v>
          </cell>
          <cell r="I228" t="str">
            <v>YG87</v>
          </cell>
          <cell r="J228" t="str">
            <v>PE</v>
          </cell>
          <cell r="K228">
            <v>0</v>
          </cell>
          <cell r="L228">
            <v>0</v>
          </cell>
          <cell r="M228" t="str">
            <v>C5C R/L</v>
          </cell>
          <cell r="N228" t="str">
            <v>P7T</v>
          </cell>
          <cell r="O228">
            <v>0</v>
          </cell>
        </row>
        <row r="229">
          <cell r="A229" t="str">
            <v>MF60018</v>
          </cell>
          <cell r="B229" t="str">
            <v>MF600PE18</v>
          </cell>
          <cell r="C229" t="str">
            <v>MF600</v>
          </cell>
          <cell r="D229">
            <v>9</v>
          </cell>
          <cell r="E229">
            <v>9</v>
          </cell>
          <cell r="F229">
            <v>18</v>
          </cell>
          <cell r="G229">
            <v>9</v>
          </cell>
          <cell r="H229" t="str">
            <v>YG82HD</v>
          </cell>
          <cell r="I229" t="str">
            <v>YG85</v>
          </cell>
          <cell r="J229" t="str">
            <v>PE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A230" t="str">
            <v>MF38215</v>
          </cell>
          <cell r="B230" t="str">
            <v>MF382PE15</v>
          </cell>
          <cell r="C230" t="str">
            <v>MF382</v>
          </cell>
          <cell r="D230">
            <v>8</v>
          </cell>
          <cell r="E230">
            <v>7</v>
          </cell>
          <cell r="F230">
            <v>15</v>
          </cell>
          <cell r="G230">
            <v>6</v>
          </cell>
          <cell r="H230" t="str">
            <v>YG82HD</v>
          </cell>
          <cell r="I230" t="str">
            <v>YG85</v>
          </cell>
          <cell r="J230" t="str">
            <v>PE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A231" t="str">
            <v>MF32312</v>
          </cell>
          <cell r="B231" t="str">
            <v>MF323PE12</v>
          </cell>
          <cell r="C231" t="str">
            <v>MF323</v>
          </cell>
          <cell r="D231">
            <v>6</v>
          </cell>
          <cell r="E231">
            <v>6</v>
          </cell>
          <cell r="F231">
            <v>12</v>
          </cell>
          <cell r="G231">
            <v>6</v>
          </cell>
          <cell r="H231" t="str">
            <v>YG82HD</v>
          </cell>
          <cell r="I231" t="str">
            <v>YG85</v>
          </cell>
          <cell r="J231" t="str">
            <v>PE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A232" t="str">
            <v>MF38518</v>
          </cell>
          <cell r="B232" t="str">
            <v>MF385PE18</v>
          </cell>
          <cell r="C232" t="str">
            <v>MF385</v>
          </cell>
          <cell r="D232">
            <v>9</v>
          </cell>
          <cell r="E232">
            <v>9</v>
          </cell>
          <cell r="F232">
            <v>18</v>
          </cell>
          <cell r="G232">
            <v>9</v>
          </cell>
          <cell r="H232" t="str">
            <v>YG82HD</v>
          </cell>
          <cell r="I232" t="str">
            <v>YG85</v>
          </cell>
          <cell r="J232" t="str">
            <v>PE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A233" t="str">
            <v>NS6012</v>
          </cell>
          <cell r="B233" t="str">
            <v>NS60PE12</v>
          </cell>
          <cell r="C233" t="str">
            <v>NS60</v>
          </cell>
          <cell r="D233">
            <v>6</v>
          </cell>
          <cell r="E233">
            <v>6</v>
          </cell>
          <cell r="F233">
            <v>12</v>
          </cell>
          <cell r="G233">
            <v>6</v>
          </cell>
          <cell r="H233" t="str">
            <v>CM84</v>
          </cell>
          <cell r="I233" t="str">
            <v>YM84C</v>
          </cell>
          <cell r="J233" t="str">
            <v>PE</v>
          </cell>
          <cell r="K233">
            <v>0</v>
          </cell>
          <cell r="L233">
            <v>0</v>
          </cell>
          <cell r="M233" t="str">
            <v>C4CL/R</v>
          </cell>
          <cell r="N233" t="str">
            <v>P4M</v>
          </cell>
          <cell r="O233">
            <v>0</v>
          </cell>
        </row>
        <row r="234">
          <cell r="A234" t="str">
            <v>MF75D2314</v>
          </cell>
          <cell r="B234" t="str">
            <v>MF75D23PE14</v>
          </cell>
          <cell r="C234" t="str">
            <v>MF75D23</v>
          </cell>
          <cell r="D234">
            <v>7</v>
          </cell>
          <cell r="E234">
            <v>7</v>
          </cell>
          <cell r="F234">
            <v>14</v>
          </cell>
          <cell r="G234">
            <v>6</v>
          </cell>
          <cell r="H234" t="str">
            <v>YG80</v>
          </cell>
          <cell r="I234" t="str">
            <v>YG85</v>
          </cell>
          <cell r="J234" t="str">
            <v>PE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A235" t="str">
            <v>MF105D3118</v>
          </cell>
          <cell r="B235" t="str">
            <v>MF105D31PE18</v>
          </cell>
          <cell r="C235" t="str">
            <v>MF105D31</v>
          </cell>
          <cell r="D235">
            <v>9</v>
          </cell>
          <cell r="E235">
            <v>9</v>
          </cell>
          <cell r="F235">
            <v>18</v>
          </cell>
          <cell r="G235">
            <v>6</v>
          </cell>
          <cell r="H235" t="str">
            <v>YG82</v>
          </cell>
          <cell r="I235" t="str">
            <v>YG87</v>
          </cell>
          <cell r="J235" t="str">
            <v>PE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A236" t="str">
            <v>GTZ4V7</v>
          </cell>
          <cell r="B236" t="str">
            <v>GTZ4VPE7</v>
          </cell>
          <cell r="C236" t="str">
            <v>GTZ4V</v>
          </cell>
          <cell r="D236">
            <v>3</v>
          </cell>
          <cell r="E236">
            <v>4</v>
          </cell>
          <cell r="F236">
            <v>7</v>
          </cell>
          <cell r="G236">
            <v>6</v>
          </cell>
          <cell r="H236" t="str">
            <v>M82</v>
          </cell>
          <cell r="I236" t="str">
            <v>M86</v>
          </cell>
          <cell r="J236" t="str">
            <v>PE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A237" t="str">
            <v>MFN12021</v>
          </cell>
          <cell r="B237" t="str">
            <v>MFN120PE21</v>
          </cell>
          <cell r="C237" t="str">
            <v>MFN120</v>
          </cell>
          <cell r="D237">
            <v>10</v>
          </cell>
          <cell r="E237">
            <v>11</v>
          </cell>
          <cell r="F237">
            <v>21</v>
          </cell>
          <cell r="G237">
            <v>6</v>
          </cell>
          <cell r="H237" t="str">
            <v>YG80</v>
          </cell>
          <cell r="I237" t="str">
            <v>YG85</v>
          </cell>
          <cell r="J237" t="str">
            <v>PE</v>
          </cell>
          <cell r="K237">
            <v>0</v>
          </cell>
          <cell r="L237">
            <v>0</v>
          </cell>
          <cell r="M237" t="str">
            <v>C12G2R/L</v>
          </cell>
          <cell r="N237" t="str">
            <v>P12G2</v>
          </cell>
          <cell r="O237">
            <v>0</v>
          </cell>
        </row>
        <row r="238">
          <cell r="A238" t="str">
            <v>MFN15027</v>
          </cell>
          <cell r="B238" t="str">
            <v>MFN150PE27</v>
          </cell>
          <cell r="C238" t="str">
            <v>MFN150</v>
          </cell>
          <cell r="D238">
            <v>13</v>
          </cell>
          <cell r="E238">
            <v>14</v>
          </cell>
          <cell r="F238">
            <v>27</v>
          </cell>
          <cell r="G238">
            <v>6</v>
          </cell>
          <cell r="H238" t="str">
            <v>YG80</v>
          </cell>
          <cell r="I238" t="str">
            <v>YG85</v>
          </cell>
          <cell r="J238" t="str">
            <v>PE</v>
          </cell>
          <cell r="K238">
            <v>0</v>
          </cell>
          <cell r="L238">
            <v>0</v>
          </cell>
          <cell r="M238" t="str">
            <v>C15G2R/L</v>
          </cell>
          <cell r="N238" t="str">
            <v>P1683</v>
          </cell>
          <cell r="O238">
            <v>0</v>
          </cell>
        </row>
        <row r="239">
          <cell r="A239" t="str">
            <v>MF5741214</v>
          </cell>
          <cell r="B239" t="str">
            <v>MF57412PE14</v>
          </cell>
          <cell r="C239" t="str">
            <v>MF57412</v>
          </cell>
          <cell r="D239">
            <v>7</v>
          </cell>
          <cell r="E239">
            <v>7</v>
          </cell>
          <cell r="F239">
            <v>14</v>
          </cell>
          <cell r="G239">
            <v>6</v>
          </cell>
          <cell r="H239" t="str">
            <v>YG79HD</v>
          </cell>
          <cell r="I239" t="str">
            <v>YG85</v>
          </cell>
          <cell r="J239" t="str">
            <v>PE</v>
          </cell>
          <cell r="K239">
            <v>0</v>
          </cell>
          <cell r="L239">
            <v>0</v>
          </cell>
          <cell r="M239" t="str">
            <v>C5D R/L</v>
          </cell>
          <cell r="N239" t="str">
            <v>P8G2</v>
          </cell>
          <cell r="O239">
            <v>0</v>
          </cell>
        </row>
        <row r="240">
          <cell r="A240" t="str">
            <v>MFN15031</v>
          </cell>
          <cell r="B240" t="str">
            <v>MFN150PE31</v>
          </cell>
          <cell r="C240" t="str">
            <v>MFN150</v>
          </cell>
          <cell r="D240">
            <v>16</v>
          </cell>
          <cell r="E240">
            <v>15</v>
          </cell>
          <cell r="F240">
            <v>31</v>
          </cell>
          <cell r="G240">
            <v>6</v>
          </cell>
          <cell r="H240" t="str">
            <v>YG79HD</v>
          </cell>
          <cell r="I240" t="str">
            <v>YG85</v>
          </cell>
          <cell r="J240" t="str">
            <v>PE</v>
          </cell>
          <cell r="K240">
            <v>0</v>
          </cell>
          <cell r="L240">
            <v>0</v>
          </cell>
          <cell r="M240" t="str">
            <v>C15G2R/L</v>
          </cell>
          <cell r="N240" t="str">
            <v>P1683</v>
          </cell>
          <cell r="O240">
            <v>0</v>
          </cell>
        </row>
        <row r="241">
          <cell r="A241" t="str">
            <v>MF560-7311</v>
          </cell>
          <cell r="B241" t="str">
            <v>MF560-73PE11</v>
          </cell>
          <cell r="C241" t="str">
            <v>MF560-73</v>
          </cell>
          <cell r="D241">
            <v>5</v>
          </cell>
          <cell r="E241">
            <v>6</v>
          </cell>
          <cell r="F241">
            <v>11</v>
          </cell>
          <cell r="G241">
            <v>6</v>
          </cell>
          <cell r="H241" t="str">
            <v>YG80</v>
          </cell>
          <cell r="I241" t="str">
            <v>YG85</v>
          </cell>
          <cell r="J241" t="str">
            <v>PE</v>
          </cell>
          <cell r="K241">
            <v>0</v>
          </cell>
          <cell r="L241">
            <v>0</v>
          </cell>
          <cell r="M241" t="str">
            <v>C5D R/L</v>
          </cell>
          <cell r="N241" t="str">
            <v>P8G2</v>
          </cell>
          <cell r="O241">
            <v>0</v>
          </cell>
        </row>
        <row r="242">
          <cell r="A242" t="str">
            <v>NS60AL12</v>
          </cell>
          <cell r="B242" t="str">
            <v>NS60ALPE12</v>
          </cell>
          <cell r="C242" t="str">
            <v>NS60AL</v>
          </cell>
          <cell r="D242">
            <v>6</v>
          </cell>
          <cell r="E242">
            <v>6</v>
          </cell>
          <cell r="F242">
            <v>12</v>
          </cell>
          <cell r="G242">
            <v>6</v>
          </cell>
          <cell r="H242" t="str">
            <v>CM84</v>
          </cell>
          <cell r="I242" t="str">
            <v>YM84C</v>
          </cell>
          <cell r="J242" t="str">
            <v>PE</v>
          </cell>
          <cell r="K242">
            <v>0</v>
          </cell>
          <cell r="L242">
            <v>0</v>
          </cell>
          <cell r="M242" t="str">
            <v>C4AL/R</v>
          </cell>
          <cell r="N242" t="str">
            <v>P4M</v>
          </cell>
          <cell r="O242">
            <v>0</v>
          </cell>
        </row>
        <row r="243">
          <cell r="A243" t="str">
            <v>NS60ALS12</v>
          </cell>
          <cell r="B243" t="str">
            <v>NS60ALSPE12</v>
          </cell>
          <cell r="C243" t="str">
            <v>NS60ALS</v>
          </cell>
          <cell r="D243">
            <v>6</v>
          </cell>
          <cell r="E243">
            <v>6</v>
          </cell>
          <cell r="F243">
            <v>12</v>
          </cell>
          <cell r="G243">
            <v>6</v>
          </cell>
          <cell r="H243" t="str">
            <v>CM84</v>
          </cell>
          <cell r="I243" t="str">
            <v>YM84C</v>
          </cell>
          <cell r="J243" t="str">
            <v>PE</v>
          </cell>
          <cell r="K243">
            <v>0</v>
          </cell>
          <cell r="L243">
            <v>0</v>
          </cell>
          <cell r="M243" t="str">
            <v>C4AL/R</v>
          </cell>
          <cell r="N243" t="str">
            <v>P4M</v>
          </cell>
          <cell r="O243">
            <v>0</v>
          </cell>
        </row>
        <row r="244">
          <cell r="A244" t="str">
            <v>MFN200H40</v>
          </cell>
          <cell r="B244" t="str">
            <v>MFN200HPE40</v>
          </cell>
          <cell r="C244" t="str">
            <v>MFN200H</v>
          </cell>
          <cell r="D244">
            <v>20</v>
          </cell>
          <cell r="E244">
            <v>20</v>
          </cell>
          <cell r="F244">
            <v>40</v>
          </cell>
          <cell r="G244">
            <v>6</v>
          </cell>
          <cell r="H244" t="str">
            <v>YG79HD</v>
          </cell>
          <cell r="I244" t="str">
            <v>YG85</v>
          </cell>
          <cell r="J244" t="str">
            <v>PE</v>
          </cell>
          <cell r="K244">
            <v>0</v>
          </cell>
          <cell r="L244">
            <v>0</v>
          </cell>
          <cell r="M244" t="str">
            <v>C15G2R/L</v>
          </cell>
          <cell r="N244" t="str">
            <v>P18865</v>
          </cell>
          <cell r="O244">
            <v>0</v>
          </cell>
        </row>
        <row r="245">
          <cell r="A245" t="str">
            <v>6701835</v>
          </cell>
          <cell r="B245" t="str">
            <v>67018PULP35</v>
          </cell>
          <cell r="C245">
            <v>67018</v>
          </cell>
          <cell r="D245">
            <v>18</v>
          </cell>
          <cell r="E245">
            <v>17</v>
          </cell>
          <cell r="F245">
            <v>35</v>
          </cell>
          <cell r="G245">
            <v>6</v>
          </cell>
          <cell r="H245" t="str">
            <v>CG80</v>
          </cell>
          <cell r="I245" t="str">
            <v>CG85</v>
          </cell>
          <cell r="J245" t="str">
            <v>PULP</v>
          </cell>
          <cell r="K245">
            <v>0</v>
          </cell>
          <cell r="L245">
            <v>0</v>
          </cell>
          <cell r="M245" t="str">
            <v>C15BR/L</v>
          </cell>
          <cell r="N245" t="str">
            <v>P14569</v>
          </cell>
          <cell r="O245">
            <v>0</v>
          </cell>
        </row>
        <row r="246">
          <cell r="A246" t="str">
            <v>6701835</v>
          </cell>
          <cell r="B246" t="str">
            <v>67018PE35</v>
          </cell>
          <cell r="C246">
            <v>67018</v>
          </cell>
          <cell r="D246">
            <v>18</v>
          </cell>
          <cell r="E246">
            <v>17</v>
          </cell>
          <cell r="F246">
            <v>35</v>
          </cell>
          <cell r="G246">
            <v>6</v>
          </cell>
          <cell r="H246" t="str">
            <v>CG80</v>
          </cell>
          <cell r="I246" t="str">
            <v>CG85</v>
          </cell>
          <cell r="J246" t="str">
            <v>PE</v>
          </cell>
          <cell r="K246">
            <v>0</v>
          </cell>
          <cell r="L246">
            <v>0</v>
          </cell>
          <cell r="M246" t="str">
            <v>C15BR/L</v>
          </cell>
          <cell r="N246" t="str">
            <v>P14569</v>
          </cell>
          <cell r="O246">
            <v>0</v>
          </cell>
        </row>
        <row r="247">
          <cell r="A247" t="str">
            <v>DINB31</v>
          </cell>
          <cell r="B247" t="str">
            <v>DINBPULP31</v>
          </cell>
          <cell r="C247" t="str">
            <v>DINB</v>
          </cell>
          <cell r="D247">
            <v>15</v>
          </cell>
          <cell r="E247">
            <v>16</v>
          </cell>
          <cell r="F247">
            <v>31</v>
          </cell>
          <cell r="G247">
            <v>6</v>
          </cell>
          <cell r="H247" t="str">
            <v>CG80</v>
          </cell>
          <cell r="I247" t="str">
            <v>CG85</v>
          </cell>
          <cell r="J247" t="str">
            <v>PULP</v>
          </cell>
          <cell r="K247">
            <v>0</v>
          </cell>
          <cell r="L247">
            <v>0</v>
          </cell>
          <cell r="M247" t="str">
            <v>C15BR/L</v>
          </cell>
          <cell r="N247" t="str">
            <v>P14569</v>
          </cell>
          <cell r="O247">
            <v>0</v>
          </cell>
        </row>
        <row r="248">
          <cell r="A248" t="str">
            <v/>
          </cell>
          <cell r="B248" t="str">
            <v/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A249" t="str">
            <v/>
          </cell>
          <cell r="B249" t="str">
            <v/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A250" t="str">
            <v/>
          </cell>
          <cell r="B250" t="str">
            <v/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A251" t="str">
            <v/>
          </cell>
          <cell r="B251" t="str">
            <v/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 t="str">
            <v/>
          </cell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A253" t="str">
            <v/>
          </cell>
          <cell r="B253" t="str">
            <v/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A254" t="str">
            <v/>
          </cell>
          <cell r="B254" t="str">
            <v/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A255" t="str">
            <v/>
          </cell>
          <cell r="B255" t="str">
            <v/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A256" t="str">
            <v/>
          </cell>
          <cell r="B256" t="str">
            <v/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A257" t="str">
            <v/>
          </cell>
          <cell r="B257" t="str">
            <v/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A258" t="str">
            <v/>
          </cell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A259" t="str">
            <v/>
          </cell>
          <cell r="B259" t="str">
            <v/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A260" t="str">
            <v/>
          </cell>
          <cell r="B260" t="str">
            <v/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A261" t="str">
            <v/>
          </cell>
          <cell r="B261" t="str">
            <v/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A262" t="str">
            <v/>
          </cell>
          <cell r="B262" t="str">
            <v/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A263" t="str">
            <v/>
          </cell>
          <cell r="B263" t="str">
            <v/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A264" t="str">
            <v/>
          </cell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A265" t="str">
            <v/>
          </cell>
          <cell r="B265" t="str">
            <v/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A266" t="str">
            <v/>
          </cell>
          <cell r="B266" t="str">
            <v/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A267" t="str">
            <v/>
          </cell>
          <cell r="B267" t="str">
            <v/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A268" t="str">
            <v/>
          </cell>
          <cell r="B268" t="str">
            <v/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A269" t="str">
            <v/>
          </cell>
          <cell r="B269" t="str">
            <v/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 t="str">
            <v/>
          </cell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A271" t="str">
            <v/>
          </cell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A272" t="str">
            <v/>
          </cell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/>
          </cell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/>
          </cell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/>
          </cell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A276" t="str">
            <v/>
          </cell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A277" t="str">
            <v/>
          </cell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A278" t="str">
            <v/>
          </cell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A279" t="str">
            <v/>
          </cell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A280" t="str">
            <v/>
          </cell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A281" t="str">
            <v/>
          </cell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A282" t="str">
            <v/>
          </cell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A283" t="str">
            <v/>
          </cell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A284" t="str">
            <v/>
          </cell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A285" t="str">
            <v/>
          </cell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A286" t="str">
            <v/>
          </cell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 t="str">
            <v/>
          </cell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 t="str">
            <v/>
          </cell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A289" t="str">
            <v/>
          </cell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A290" t="str">
            <v/>
          </cell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A291" t="str">
            <v/>
          </cell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A292" t="str">
            <v/>
          </cell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/>
          </cell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A294" t="str">
            <v/>
          </cell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A295" t="str">
            <v/>
          </cell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A296" t="str">
            <v/>
          </cell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A297" t="str">
            <v/>
          </cell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A298" t="str">
            <v/>
          </cell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A299" t="str">
            <v/>
          </cell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A300" t="str">
            <v/>
          </cell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A301" t="str">
            <v/>
          </cell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A302" t="str">
            <v/>
          </cell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 t="str">
            <v/>
          </cell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/>
          </cell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A305" t="str">
            <v/>
          </cell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A306" t="str">
            <v/>
          </cell>
          <cell r="B306" t="str">
            <v/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A307" t="str">
            <v/>
          </cell>
          <cell r="B307" t="str">
            <v/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A308" t="str">
            <v/>
          </cell>
          <cell r="B308" t="str">
            <v/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A309" t="str">
            <v/>
          </cell>
          <cell r="B309" t="str">
            <v/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A310" t="str">
            <v/>
          </cell>
          <cell r="B310" t="str">
            <v/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A311" t="str">
            <v/>
          </cell>
          <cell r="B311" t="str">
            <v/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A312" t="str">
            <v/>
          </cell>
          <cell r="B312" t="str">
            <v/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A313" t="str">
            <v/>
          </cell>
          <cell r="B313" t="str">
            <v/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A314" t="str">
            <v/>
          </cell>
          <cell r="B314" t="str">
            <v/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A315" t="str">
            <v/>
          </cell>
          <cell r="B315" t="str">
            <v/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A316" t="str">
            <v/>
          </cell>
          <cell r="B316" t="str">
            <v/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A317" t="str">
            <v/>
          </cell>
          <cell r="B317" t="str">
            <v/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A318" t="str">
            <v/>
          </cell>
          <cell r="B318" t="str">
            <v/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A319" t="str">
            <v/>
          </cell>
          <cell r="B319" t="str">
            <v/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A320" t="str">
            <v/>
          </cell>
          <cell r="B320" t="str">
            <v/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A321" t="str">
            <v/>
          </cell>
          <cell r="B321" t="str">
            <v/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A322" t="str">
            <v/>
          </cell>
          <cell r="B322" t="str">
            <v/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A323" t="str">
            <v/>
          </cell>
          <cell r="B323" t="str">
            <v/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A324" t="str">
            <v/>
          </cell>
          <cell r="B324" t="str">
            <v/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A325" t="str">
            <v/>
          </cell>
          <cell r="B325" t="str">
            <v/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A326" t="str">
            <v/>
          </cell>
          <cell r="B326" t="str">
            <v/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A327" t="str">
            <v/>
          </cell>
          <cell r="B327" t="str">
            <v/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A328" t="str">
            <v/>
          </cell>
          <cell r="B328" t="str">
            <v/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A329" t="str">
            <v/>
          </cell>
          <cell r="B329" t="str">
            <v/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A330" t="str">
            <v/>
          </cell>
          <cell r="B330" t="str">
            <v/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A331" t="str">
            <v/>
          </cell>
          <cell r="B331" t="str">
            <v/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A332" t="str">
            <v/>
          </cell>
          <cell r="B332" t="str">
            <v/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 t="str">
            <v/>
          </cell>
          <cell r="B333" t="str">
            <v/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 t="str">
            <v/>
          </cell>
          <cell r="B334" t="str">
            <v/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A335" t="str">
            <v/>
          </cell>
          <cell r="B335" t="str">
            <v/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A336" t="str">
            <v/>
          </cell>
          <cell r="B336" t="str">
            <v/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A337" t="str">
            <v/>
          </cell>
          <cell r="B337" t="str">
            <v/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A338" t="str">
            <v/>
          </cell>
          <cell r="B338" t="str">
            <v/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A339" t="str">
            <v/>
          </cell>
          <cell r="B339" t="str">
            <v/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A340" t="str">
            <v/>
          </cell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A341" t="str">
            <v/>
          </cell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A342" t="str">
            <v/>
          </cell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A343" t="str">
            <v/>
          </cell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A344" t="str">
            <v/>
          </cell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A345" t="str">
            <v/>
          </cell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A346" t="str">
            <v/>
          </cell>
          <cell r="B346" t="str">
            <v/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A347" t="str">
            <v/>
          </cell>
          <cell r="B347" t="str">
            <v/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A348" t="str">
            <v/>
          </cell>
          <cell r="B348" t="str">
            <v/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A349" t="str">
            <v/>
          </cell>
          <cell r="B349" t="str">
            <v/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A350" t="str">
            <v/>
          </cell>
          <cell r="B350" t="str">
            <v/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A351" t="str">
            <v/>
          </cell>
          <cell r="B351" t="str">
            <v/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A352" t="str">
            <v/>
          </cell>
          <cell r="B352" t="str">
            <v/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A353" t="str">
            <v/>
          </cell>
          <cell r="B353" t="str">
            <v/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A354" t="str">
            <v/>
          </cell>
          <cell r="B354" t="str">
            <v/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A355" t="str">
            <v/>
          </cell>
          <cell r="B355" t="str">
            <v/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A356" t="str">
            <v/>
          </cell>
          <cell r="B356" t="str">
            <v/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A357" t="str">
            <v/>
          </cell>
          <cell r="B357" t="str">
            <v/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A358" t="str">
            <v/>
          </cell>
          <cell r="B358" t="str">
            <v/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A359" t="str">
            <v/>
          </cell>
          <cell r="B359" t="str">
            <v/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A360" t="str">
            <v/>
          </cell>
          <cell r="B360" t="str">
            <v/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A361" t="str">
            <v/>
          </cell>
          <cell r="B361" t="str">
            <v/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A362" t="str">
            <v/>
          </cell>
          <cell r="B362" t="str">
            <v/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</row>
        <row r="363">
          <cell r="A363" t="str">
            <v/>
          </cell>
          <cell r="B363" t="str">
            <v/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A364" t="str">
            <v/>
          </cell>
          <cell r="B364" t="str">
            <v/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A365" t="str">
            <v/>
          </cell>
          <cell r="B365" t="str">
            <v/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A366" t="str">
            <v/>
          </cell>
          <cell r="B366" t="str">
            <v/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A367" t="str">
            <v/>
          </cell>
          <cell r="B367" t="str">
            <v/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A368" t="str">
            <v/>
          </cell>
          <cell r="B368" t="str">
            <v/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A369" t="str">
            <v/>
          </cell>
          <cell r="B369" t="str">
            <v/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A370" t="str">
            <v/>
          </cell>
          <cell r="B370" t="str">
            <v/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A371" t="str">
            <v/>
          </cell>
          <cell r="B371" t="str">
            <v/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A372" t="str">
            <v/>
          </cell>
          <cell r="B372" t="str">
            <v/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A373" t="str">
            <v/>
          </cell>
          <cell r="B373" t="str">
            <v/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A374" t="str">
            <v/>
          </cell>
          <cell r="B374" t="str">
            <v/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A375" t="str">
            <v/>
          </cell>
          <cell r="B375" t="str">
            <v/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A376" t="str">
            <v/>
          </cell>
          <cell r="B376" t="str">
            <v/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A377" t="str">
            <v/>
          </cell>
          <cell r="B377" t="str">
            <v/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A378" t="str">
            <v/>
          </cell>
          <cell r="B378" t="str">
            <v/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A379" t="str">
            <v/>
          </cell>
          <cell r="B379" t="str">
            <v/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A380" t="str">
            <v/>
          </cell>
          <cell r="B380" t="str">
            <v/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A381" t="str">
            <v/>
          </cell>
          <cell r="B381" t="str">
            <v/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A382" t="str">
            <v/>
          </cell>
          <cell r="B382" t="str">
            <v/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A383" t="str">
            <v/>
          </cell>
          <cell r="B383" t="str">
            <v/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A384" t="str">
            <v/>
          </cell>
          <cell r="B384" t="str">
            <v/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 t="str">
            <v/>
          </cell>
          <cell r="B385" t="str">
            <v/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 t="str">
            <v/>
          </cell>
          <cell r="B386" t="str">
            <v/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A387" t="str">
            <v/>
          </cell>
          <cell r="B387" t="str">
            <v/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A388" t="str">
            <v/>
          </cell>
          <cell r="B388" t="str">
            <v/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A389" t="str">
            <v/>
          </cell>
          <cell r="B389" t="str">
            <v/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A390" t="str">
            <v/>
          </cell>
          <cell r="B390" t="str">
            <v/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A391" t="str">
            <v/>
          </cell>
          <cell r="B391" t="str">
            <v/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A392" t="str">
            <v/>
          </cell>
          <cell r="B392" t="str">
            <v/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A393" t="str">
            <v/>
          </cell>
          <cell r="B393" t="str">
            <v/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A394" t="str">
            <v/>
          </cell>
          <cell r="B394" t="str">
            <v/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A395" t="str">
            <v/>
          </cell>
          <cell r="B395" t="str">
            <v/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A396" t="str">
            <v/>
          </cell>
          <cell r="B396" t="str">
            <v/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A397" t="str">
            <v/>
          </cell>
          <cell r="B397" t="str">
            <v/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A398" t="str">
            <v/>
          </cell>
          <cell r="B398" t="str">
            <v/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A399" t="str">
            <v/>
          </cell>
          <cell r="B399" t="str">
            <v/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A400" t="str">
            <v/>
          </cell>
          <cell r="B400" t="str">
            <v/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A401" t="str">
            <v/>
          </cell>
          <cell r="B401" t="str">
            <v/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A402" t="str">
            <v/>
          </cell>
          <cell r="B402" t="str">
            <v/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A403" t="str">
            <v/>
          </cell>
          <cell r="B403" t="str">
            <v/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A404" t="str">
            <v/>
          </cell>
          <cell r="B404" t="str">
            <v/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A405" t="str">
            <v/>
          </cell>
          <cell r="B405" t="str">
            <v/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6">
          <cell r="A406" t="str">
            <v/>
          </cell>
          <cell r="B406" t="str">
            <v/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A407" t="str">
            <v/>
          </cell>
          <cell r="B407" t="str">
            <v/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A408" t="str">
            <v/>
          </cell>
          <cell r="B408" t="str">
            <v/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A409" t="str">
            <v/>
          </cell>
          <cell r="B409" t="str">
            <v/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A410" t="str">
            <v/>
          </cell>
          <cell r="B410" t="str">
            <v/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A411" t="str">
            <v/>
          </cell>
          <cell r="B411" t="str">
            <v/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A412" t="str">
            <v/>
          </cell>
          <cell r="B412" t="str">
            <v/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A413" t="str">
            <v/>
          </cell>
          <cell r="B413" t="str">
            <v/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14">
          <cell r="A414" t="str">
            <v/>
          </cell>
          <cell r="B414" t="str">
            <v/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A415" t="str">
            <v/>
          </cell>
          <cell r="B415" t="str">
            <v/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A416" t="str">
            <v/>
          </cell>
          <cell r="B416" t="str">
            <v/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A417" t="str">
            <v/>
          </cell>
          <cell r="B417" t="str">
            <v/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A418" t="str">
            <v/>
          </cell>
          <cell r="B418" t="str">
            <v/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A419" t="str">
            <v/>
          </cell>
          <cell r="B419" t="str">
            <v/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A420" t="str">
            <v/>
          </cell>
          <cell r="B420" t="str">
            <v/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A421" t="str">
            <v/>
          </cell>
          <cell r="B421" t="str">
            <v/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A422" t="str">
            <v/>
          </cell>
          <cell r="B422" t="str">
            <v/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A423" t="str">
            <v/>
          </cell>
          <cell r="B423" t="str">
            <v/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A424" t="str">
            <v/>
          </cell>
          <cell r="B424" t="str">
            <v/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A425" t="str">
            <v/>
          </cell>
          <cell r="B425" t="str">
            <v/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A426" t="str">
            <v/>
          </cell>
          <cell r="B426" t="str">
            <v/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A427" t="str">
            <v/>
          </cell>
          <cell r="B427" t="str">
            <v/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A428" t="str">
            <v/>
          </cell>
          <cell r="B428" t="str">
            <v/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A429" t="str">
            <v/>
          </cell>
          <cell r="B429" t="str">
            <v/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A430" t="str">
            <v/>
          </cell>
          <cell r="B430" t="str">
            <v/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A431" t="str">
            <v/>
          </cell>
          <cell r="B431" t="str">
            <v/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A432" t="str">
            <v/>
          </cell>
          <cell r="B432" t="str">
            <v/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A433" t="str">
            <v/>
          </cell>
          <cell r="B433" t="str">
            <v/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A434" t="str">
            <v/>
          </cell>
          <cell r="B434" t="str">
            <v/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A435" t="str">
            <v/>
          </cell>
          <cell r="B435" t="str">
            <v/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A436" t="str">
            <v/>
          </cell>
          <cell r="B436" t="str">
            <v/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A437" t="str">
            <v/>
          </cell>
          <cell r="B437" t="str">
            <v/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</row>
        <row r="438">
          <cell r="A438" t="str">
            <v/>
          </cell>
          <cell r="B438" t="str">
            <v/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A439" t="str">
            <v/>
          </cell>
          <cell r="B439" t="str">
            <v/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A440" t="str">
            <v/>
          </cell>
          <cell r="B440" t="str">
            <v/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A441" t="str">
            <v/>
          </cell>
          <cell r="B441" t="str">
            <v/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A442" t="str">
            <v/>
          </cell>
          <cell r="B442" t="str">
            <v/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A443" t="str">
            <v/>
          </cell>
          <cell r="B443" t="str">
            <v/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A444" t="str">
            <v/>
          </cell>
          <cell r="B444" t="str">
            <v/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A445" t="str">
            <v/>
          </cell>
          <cell r="B445" t="str">
            <v/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A446" t="str">
            <v/>
          </cell>
          <cell r="B446" t="str">
            <v/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A447" t="str">
            <v/>
          </cell>
          <cell r="B447" t="str">
            <v/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A448" t="str">
            <v/>
          </cell>
          <cell r="B448" t="str">
            <v/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A449" t="str">
            <v/>
          </cell>
          <cell r="B449" t="str">
            <v/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A450" t="str">
            <v/>
          </cell>
          <cell r="B450" t="str">
            <v/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A451" t="str">
            <v/>
          </cell>
          <cell r="B451" t="str">
            <v/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A452" t="str">
            <v/>
          </cell>
          <cell r="B452" t="str">
            <v/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A453" t="str">
            <v/>
          </cell>
          <cell r="B453" t="str">
            <v/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A454" t="str">
            <v/>
          </cell>
          <cell r="B454" t="str">
            <v/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A455" t="str">
            <v/>
          </cell>
          <cell r="B455" t="str">
            <v/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A456" t="str">
            <v/>
          </cell>
          <cell r="B456" t="str">
            <v/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A457" t="str">
            <v/>
          </cell>
          <cell r="B457" t="str">
            <v/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A458" t="str">
            <v/>
          </cell>
          <cell r="B458" t="str">
            <v/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A459" t="str">
            <v/>
          </cell>
          <cell r="B459" t="str">
            <v/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A460" t="str">
            <v/>
          </cell>
          <cell r="B460" t="str">
            <v/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A461" t="str">
            <v/>
          </cell>
          <cell r="B461" t="str">
            <v/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A462" t="str">
            <v/>
          </cell>
          <cell r="B462" t="str">
            <v/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A463" t="str">
            <v/>
          </cell>
          <cell r="B463" t="str">
            <v/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A464" t="str">
            <v/>
          </cell>
          <cell r="B464" t="str">
            <v/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A465" t="str">
            <v/>
          </cell>
          <cell r="B465" t="str">
            <v/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A466" t="str">
            <v/>
          </cell>
          <cell r="B466" t="str">
            <v/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A467" t="str">
            <v/>
          </cell>
          <cell r="B467" t="str">
            <v/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A468" t="str">
            <v/>
          </cell>
          <cell r="B468" t="str">
            <v/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A469" t="str">
            <v/>
          </cell>
          <cell r="B469" t="str">
            <v/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A470" t="str">
            <v/>
          </cell>
          <cell r="B470" t="str">
            <v/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A471" t="str">
            <v/>
          </cell>
          <cell r="B471" t="str">
            <v/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A472" t="str">
            <v/>
          </cell>
          <cell r="B472" t="str">
            <v/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A473" t="str">
            <v/>
          </cell>
          <cell r="B473" t="str">
            <v/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A474" t="str">
            <v/>
          </cell>
          <cell r="B474" t="str">
            <v/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A475" t="str">
            <v/>
          </cell>
          <cell r="B475" t="str">
            <v/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6">
          <cell r="A476" t="str">
            <v/>
          </cell>
          <cell r="B476" t="str">
            <v/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A477" t="str">
            <v/>
          </cell>
          <cell r="B477" t="str">
            <v/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A478" t="str">
            <v/>
          </cell>
          <cell r="B478" t="str">
            <v/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  <row r="479">
          <cell r="A479" t="str">
            <v/>
          </cell>
          <cell r="B479" t="str">
            <v/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</row>
        <row r="480">
          <cell r="A480" t="str">
            <v/>
          </cell>
          <cell r="B480" t="str">
            <v/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</row>
        <row r="481">
          <cell r="A481" t="str">
            <v/>
          </cell>
          <cell r="B481" t="str">
            <v/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</row>
        <row r="482">
          <cell r="A482" t="str">
            <v/>
          </cell>
          <cell r="B482" t="str">
            <v/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A483" t="str">
            <v/>
          </cell>
          <cell r="B483" t="str">
            <v/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</row>
        <row r="484">
          <cell r="A484" t="str">
            <v/>
          </cell>
          <cell r="B484" t="str">
            <v/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A485" t="str">
            <v/>
          </cell>
          <cell r="B485" t="str">
            <v/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A486" t="str">
            <v/>
          </cell>
          <cell r="B486" t="str">
            <v/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A487" t="str">
            <v/>
          </cell>
          <cell r="B487" t="str">
            <v/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A488" t="str">
            <v/>
          </cell>
          <cell r="B488" t="str">
            <v/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A489" t="str">
            <v/>
          </cell>
          <cell r="B489" t="str">
            <v/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A490" t="str">
            <v/>
          </cell>
          <cell r="B490" t="str">
            <v/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A491" t="str">
            <v/>
          </cell>
          <cell r="B491" t="str">
            <v/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A492" t="str">
            <v/>
          </cell>
          <cell r="B492" t="str">
            <v/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A493" t="str">
            <v/>
          </cell>
          <cell r="B493" t="str">
            <v/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A494" t="str">
            <v/>
          </cell>
          <cell r="B494" t="str">
            <v/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A495" t="str">
            <v/>
          </cell>
          <cell r="B495" t="str">
            <v/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A496" t="str">
            <v/>
          </cell>
          <cell r="B496" t="str">
            <v/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A497" t="str">
            <v/>
          </cell>
          <cell r="B497" t="str">
            <v/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</row>
        <row r="498">
          <cell r="A498" t="str">
            <v/>
          </cell>
          <cell r="B498" t="str">
            <v/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A499" t="str">
            <v/>
          </cell>
          <cell r="B499" t="str">
            <v/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</row>
        <row r="500">
          <cell r="A500" t="str">
            <v/>
          </cell>
          <cell r="B500" t="str">
            <v/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A501" t="str">
            <v/>
          </cell>
          <cell r="B501" t="str">
            <v/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A502" t="str">
            <v/>
          </cell>
          <cell r="B502" t="str">
            <v/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</row>
        <row r="503">
          <cell r="A503" t="str">
            <v/>
          </cell>
          <cell r="B503" t="str">
            <v/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A504" t="str">
            <v/>
          </cell>
          <cell r="B504" t="str">
            <v/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A505" t="str">
            <v/>
          </cell>
          <cell r="B505" t="str">
            <v/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A506" t="str">
            <v/>
          </cell>
          <cell r="B506" t="str">
            <v/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A507" t="str">
            <v/>
          </cell>
          <cell r="B507" t="str">
            <v/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A508" t="str">
            <v/>
          </cell>
          <cell r="B508" t="str">
            <v/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A509" t="str">
            <v/>
          </cell>
          <cell r="B509" t="str">
            <v/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A510" t="str">
            <v/>
          </cell>
          <cell r="B510" t="str">
            <v/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A511" t="str">
            <v/>
          </cell>
          <cell r="B511" t="str">
            <v/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</row>
        <row r="512">
          <cell r="A512" t="str">
            <v/>
          </cell>
          <cell r="B512" t="str">
            <v/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A513" t="str">
            <v/>
          </cell>
          <cell r="B513" t="str">
            <v/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</row>
        <row r="514">
          <cell r="A514" t="str">
            <v/>
          </cell>
          <cell r="B514" t="str">
            <v/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A515" t="str">
            <v/>
          </cell>
          <cell r="B515" t="str">
            <v/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</row>
        <row r="516">
          <cell r="A516" t="str">
            <v/>
          </cell>
          <cell r="B516" t="str">
            <v/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</row>
        <row r="517">
          <cell r="A517" t="str">
            <v/>
          </cell>
          <cell r="B517" t="str">
            <v/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</row>
        <row r="518">
          <cell r="A518" t="str">
            <v/>
          </cell>
          <cell r="B518" t="str">
            <v/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</row>
        <row r="519">
          <cell r="A519" t="str">
            <v/>
          </cell>
          <cell r="B519" t="str">
            <v/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</row>
        <row r="520">
          <cell r="A520" t="str">
            <v/>
          </cell>
          <cell r="B520" t="str">
            <v/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</row>
        <row r="521">
          <cell r="A521" t="str">
            <v/>
          </cell>
          <cell r="B521" t="str">
            <v/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A522" t="str">
            <v/>
          </cell>
          <cell r="B522" t="str">
            <v/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A523" t="str">
            <v/>
          </cell>
          <cell r="B523" t="str">
            <v/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A524" t="str">
            <v/>
          </cell>
          <cell r="B524" t="str">
            <v/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A525" t="str">
            <v/>
          </cell>
          <cell r="B525" t="str">
            <v/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A526" t="str">
            <v/>
          </cell>
          <cell r="B526" t="str">
            <v/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A527" t="str">
            <v/>
          </cell>
          <cell r="B527" t="str">
            <v/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A528" t="str">
            <v/>
          </cell>
          <cell r="B528" t="str">
            <v/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</row>
        <row r="529">
          <cell r="A529" t="str">
            <v/>
          </cell>
          <cell r="B529" t="str">
            <v/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A530" t="str">
            <v/>
          </cell>
          <cell r="B530" t="str">
            <v/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</row>
        <row r="531">
          <cell r="A531" t="str">
            <v/>
          </cell>
          <cell r="B531" t="str">
            <v/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</row>
        <row r="532">
          <cell r="A532" t="str">
            <v/>
          </cell>
          <cell r="B532" t="str">
            <v/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</row>
        <row r="533">
          <cell r="A533" t="str">
            <v/>
          </cell>
          <cell r="B533" t="str">
            <v/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A534" t="str">
            <v/>
          </cell>
          <cell r="B534" t="str">
            <v/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A535" t="str">
            <v/>
          </cell>
          <cell r="B535" t="str">
            <v/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A536" t="str">
            <v/>
          </cell>
          <cell r="B536" t="str">
            <v/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A537" t="str">
            <v/>
          </cell>
          <cell r="B537" t="str">
            <v/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A538" t="str">
            <v/>
          </cell>
          <cell r="B538" t="str">
            <v/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A539" t="str">
            <v/>
          </cell>
          <cell r="B539" t="str">
            <v/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A540" t="str">
            <v/>
          </cell>
          <cell r="B540" t="str">
            <v/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A541" t="str">
            <v/>
          </cell>
          <cell r="B541" t="str">
            <v/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A542" t="str">
            <v/>
          </cell>
          <cell r="B542" t="str">
            <v/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A543" t="str">
            <v/>
          </cell>
          <cell r="B543" t="str">
            <v/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A544" t="str">
            <v/>
          </cell>
          <cell r="B544" t="str">
            <v/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A545" t="str">
            <v/>
          </cell>
          <cell r="B545" t="str">
            <v/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A546" t="str">
            <v/>
          </cell>
          <cell r="B546" t="str">
            <v/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A547" t="str">
            <v/>
          </cell>
          <cell r="B547" t="str">
            <v/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</row>
        <row r="548">
          <cell r="A548" t="str">
            <v/>
          </cell>
          <cell r="B548" t="str">
            <v/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A549" t="str">
            <v/>
          </cell>
          <cell r="B549" t="str">
            <v/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</row>
        <row r="550">
          <cell r="A550" t="str">
            <v/>
          </cell>
          <cell r="B550" t="str">
            <v/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A551" t="str">
            <v/>
          </cell>
          <cell r="B551" t="str">
            <v/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</row>
        <row r="552">
          <cell r="A552" t="str">
            <v/>
          </cell>
          <cell r="B552" t="str">
            <v/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</row>
        <row r="553">
          <cell r="A553" t="str">
            <v/>
          </cell>
          <cell r="B553" t="str">
            <v/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</row>
        <row r="554">
          <cell r="A554" t="str">
            <v/>
          </cell>
          <cell r="B554" t="str">
            <v/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</row>
        <row r="555">
          <cell r="A555" t="str">
            <v/>
          </cell>
          <cell r="B555" t="str">
            <v/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</row>
        <row r="556">
          <cell r="A556" t="str">
            <v/>
          </cell>
          <cell r="B556" t="str">
            <v/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A557" t="str">
            <v/>
          </cell>
          <cell r="B557" t="str">
            <v/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</row>
        <row r="558">
          <cell r="A558" t="str">
            <v/>
          </cell>
          <cell r="B558" t="str">
            <v/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A559" t="str">
            <v/>
          </cell>
          <cell r="B559" t="str">
            <v/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</row>
        <row r="560">
          <cell r="A560" t="str">
            <v/>
          </cell>
          <cell r="B560" t="str">
            <v/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</row>
        <row r="561">
          <cell r="A561" t="str">
            <v/>
          </cell>
          <cell r="B561" t="str">
            <v/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A562" t="str">
            <v/>
          </cell>
          <cell r="B562" t="str">
            <v/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</row>
        <row r="563">
          <cell r="A563" t="str">
            <v/>
          </cell>
          <cell r="B563" t="str">
            <v/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A564" t="str">
            <v/>
          </cell>
          <cell r="B564" t="str">
            <v/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A565" t="str">
            <v/>
          </cell>
          <cell r="B565" t="str">
            <v/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A566" t="str">
            <v/>
          </cell>
          <cell r="B566" t="str">
            <v/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A567" t="str">
            <v/>
          </cell>
          <cell r="B567" t="str">
            <v/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A568" t="str">
            <v/>
          </cell>
          <cell r="B568" t="str">
            <v/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A569" t="str">
            <v/>
          </cell>
          <cell r="B569" t="str">
            <v/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</row>
        <row r="570">
          <cell r="A570" t="str">
            <v/>
          </cell>
          <cell r="B570" t="str">
            <v/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A571" t="str">
            <v/>
          </cell>
          <cell r="B571" t="str">
            <v/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</row>
        <row r="572">
          <cell r="A572" t="str">
            <v/>
          </cell>
          <cell r="B572" t="str">
            <v/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A573" t="str">
            <v/>
          </cell>
          <cell r="B573" t="str">
            <v/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</row>
        <row r="574">
          <cell r="A574" t="str">
            <v/>
          </cell>
          <cell r="B574" t="str">
            <v/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A575" t="str">
            <v/>
          </cell>
          <cell r="B575" t="str">
            <v/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</row>
        <row r="576">
          <cell r="A576" t="str">
            <v/>
          </cell>
          <cell r="B576" t="str">
            <v/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A577" t="str">
            <v/>
          </cell>
          <cell r="B577" t="str">
            <v/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A578" t="str">
            <v/>
          </cell>
          <cell r="B578" t="str">
            <v/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A579" t="str">
            <v/>
          </cell>
          <cell r="B579" t="str">
            <v/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A580" t="str">
            <v/>
          </cell>
          <cell r="B580" t="str">
            <v/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</row>
        <row r="581">
          <cell r="A581" t="str">
            <v/>
          </cell>
          <cell r="B581" t="str">
            <v/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</row>
        <row r="582">
          <cell r="A582" t="str">
            <v/>
          </cell>
          <cell r="B582" t="str">
            <v/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A583" t="str">
            <v/>
          </cell>
          <cell r="B583" t="str">
            <v/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</row>
        <row r="584">
          <cell r="A584" t="str">
            <v/>
          </cell>
          <cell r="B584" t="str">
            <v/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A585" t="str">
            <v/>
          </cell>
          <cell r="B585" t="str">
            <v/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</row>
        <row r="586">
          <cell r="A586" t="str">
            <v/>
          </cell>
          <cell r="B586" t="str">
            <v/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A587" t="str">
            <v/>
          </cell>
          <cell r="B587" t="str">
            <v/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</row>
        <row r="588">
          <cell r="A588" t="str">
            <v/>
          </cell>
          <cell r="B588" t="str">
            <v/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A589" t="str">
            <v/>
          </cell>
          <cell r="B589" t="str">
            <v/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</row>
        <row r="590">
          <cell r="A590" t="str">
            <v/>
          </cell>
          <cell r="B590" t="str">
            <v/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</row>
        <row r="591">
          <cell r="A591" t="str">
            <v/>
          </cell>
          <cell r="B591" t="str">
            <v/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</row>
        <row r="592">
          <cell r="A592" t="str">
            <v/>
          </cell>
          <cell r="B592" t="str">
            <v/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</row>
        <row r="593">
          <cell r="A593" t="str">
            <v/>
          </cell>
          <cell r="B593" t="str">
            <v/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A594" t="str">
            <v/>
          </cell>
          <cell r="B594" t="str">
            <v/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</row>
        <row r="595">
          <cell r="A595" t="str">
            <v/>
          </cell>
          <cell r="B595" t="str">
            <v/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A596" t="str">
            <v/>
          </cell>
          <cell r="B596" t="str">
            <v/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</row>
        <row r="597">
          <cell r="A597" t="str">
            <v/>
          </cell>
          <cell r="B597" t="str">
            <v/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A598" t="str">
            <v/>
          </cell>
          <cell r="B598" t="str">
            <v/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A599" t="str">
            <v/>
          </cell>
          <cell r="B599" t="str">
            <v/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</row>
        <row r="600">
          <cell r="A600" t="str">
            <v/>
          </cell>
          <cell r="B600" t="str">
            <v/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A601" t="str">
            <v/>
          </cell>
          <cell r="B601" t="str">
            <v/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</row>
        <row r="602">
          <cell r="A602" t="str">
            <v/>
          </cell>
          <cell r="B602" t="str">
            <v/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A603" t="str">
            <v/>
          </cell>
          <cell r="B603" t="str">
            <v/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A604" t="str">
            <v/>
          </cell>
          <cell r="B604" t="str">
            <v/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A605" t="str">
            <v/>
          </cell>
          <cell r="B605" t="str">
            <v/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A606" t="str">
            <v/>
          </cell>
          <cell r="B606" t="str">
            <v/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A607" t="str">
            <v/>
          </cell>
          <cell r="B607" t="str">
            <v/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A608" t="str">
            <v/>
          </cell>
          <cell r="B608" t="str">
            <v/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A609" t="str">
            <v/>
          </cell>
          <cell r="B609" t="str">
            <v/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A610" t="str">
            <v/>
          </cell>
          <cell r="B610" t="str">
            <v/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A611" t="str">
            <v/>
          </cell>
          <cell r="B611" t="str">
            <v/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A612" t="str">
            <v/>
          </cell>
          <cell r="B612" t="str">
            <v/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</row>
        <row r="613">
          <cell r="A613" t="str">
            <v/>
          </cell>
          <cell r="B613" t="str">
            <v/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</row>
        <row r="614">
          <cell r="A614" t="str">
            <v/>
          </cell>
          <cell r="B614" t="str">
            <v/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T"/>
      <sheetName val="KalenderKerja"/>
      <sheetName val="LeadNeedAndPpNaT"/>
      <sheetName val="MasterPPnat"/>
      <sheetName val="MasterMRP-PlateProcess"/>
      <sheetName val="MasterMRP-PlateProcessByBOM"/>
      <sheetName val="OnHandActual"/>
      <sheetName val="LoadAwalByPesimis"/>
      <sheetName val="MasterParameter"/>
      <sheetName val="Master-BeF0"/>
      <sheetName val="Master-Bef0.1"/>
      <sheetName val="TBT-2P"/>
      <sheetName val="TBT-2L"/>
      <sheetName val="MatrikSimpleMPS"/>
      <sheetName val="SmallOrBigResume"/>
      <sheetName val="Load_Per_Line"/>
      <sheetName val="MatrikLineKIM2018"/>
      <sheetName val="PivotOfMaster"/>
      <sheetName val="Master4PivoT"/>
      <sheetName val="Master"/>
      <sheetName val="MasterSimpel.N-1"/>
      <sheetName val="MasterResumeForDailyMonitor"/>
      <sheetName val="MasterOrder"/>
      <sheetName val="MasterOrderResume"/>
      <sheetName val="MasterResume"/>
      <sheetName val="Master-PlanLoadBySegment"/>
      <sheetName val="DayPerDayMPS"/>
      <sheetName val="DayPerDayMPSResumeByShift"/>
      <sheetName val="DayPerDayResumeByShiftGantiPart"/>
      <sheetName val="PlanningAssyCKGKIM-FORMAT"/>
      <sheetName val="PlanningAssyCKGKIM-TEMP"/>
      <sheetName val="PlanningAssyCKGKIM"/>
      <sheetName val="SS-UPDATE &amp; PROGRES BY CUSTOMER"/>
      <sheetName val="Line MPS N-1"/>
      <sheetName val="Line MPS N-2"/>
      <sheetName val="Default Line"/>
      <sheetName val="5.0 Non Export"/>
      <sheetName val="Prod by Line"/>
      <sheetName val="List Burner 2013"/>
    </sheetNames>
    <sheetDataSet>
      <sheetData sheetId="0">
        <row r="6">
          <cell r="B6" t="str">
            <v>JIS/NS40</v>
          </cell>
        </row>
        <row r="7">
          <cell r="B7" t="str">
            <v>JIS/NS40Z</v>
          </cell>
        </row>
        <row r="8">
          <cell r="B8" t="str">
            <v>JIS/N40</v>
          </cell>
        </row>
        <row r="9">
          <cell r="B9" t="str">
            <v>JIS/NS60</v>
          </cell>
        </row>
        <row r="10">
          <cell r="B10" t="str">
            <v>JIS/55D23</v>
          </cell>
        </row>
        <row r="11">
          <cell r="B11" t="str">
            <v>JIS/N50</v>
          </cell>
        </row>
        <row r="12">
          <cell r="B12" t="str">
            <v>JIS/N50Z</v>
          </cell>
        </row>
        <row r="13">
          <cell r="B13" t="str">
            <v>JIS/NS70</v>
          </cell>
        </row>
        <row r="14">
          <cell r="B14" t="str">
            <v>JIS/80D26( 13 PALET )</v>
          </cell>
        </row>
        <row r="15">
          <cell r="B15" t="str">
            <v>JIS/80D26( 14 PALET )</v>
          </cell>
        </row>
        <row r="16">
          <cell r="B16" t="str">
            <v>JIS/N70</v>
          </cell>
        </row>
        <row r="17">
          <cell r="B17" t="str">
            <v>JIS/N70Z</v>
          </cell>
        </row>
        <row r="18">
          <cell r="B18" t="str">
            <v>JIS/NX120-7 (15 PALET )</v>
          </cell>
        </row>
        <row r="19">
          <cell r="B19" t="str">
            <v>JIS/NX120-7 (17 PALET )</v>
          </cell>
        </row>
        <row r="20">
          <cell r="B20" t="str">
            <v>JIS/N100</v>
          </cell>
        </row>
        <row r="21">
          <cell r="B21" t="str">
            <v>JIS/N120</v>
          </cell>
        </row>
        <row r="22">
          <cell r="B22" t="str">
            <v>JIS/N150</v>
          </cell>
        </row>
        <row r="23">
          <cell r="B23" t="str">
            <v>JIS/N200</v>
          </cell>
        </row>
        <row r="26">
          <cell r="B26" t="str">
            <v>Unique Id</v>
          </cell>
        </row>
        <row r="27">
          <cell r="B27" t="str">
            <v>MF/NS40</v>
          </cell>
        </row>
        <row r="28">
          <cell r="B28" t="str">
            <v>MF/NS40Z</v>
          </cell>
        </row>
        <row r="29">
          <cell r="B29" t="str">
            <v>MF/N40</v>
          </cell>
        </row>
        <row r="30">
          <cell r="B30" t="str">
            <v>MF/NS60</v>
          </cell>
        </row>
        <row r="31">
          <cell r="B31" t="str">
            <v>MF/55D23/NS50</v>
          </cell>
        </row>
        <row r="32">
          <cell r="B32" t="str">
            <v>MF/N50</v>
          </cell>
        </row>
        <row r="33">
          <cell r="B33" t="str">
            <v>MF/N50Z</v>
          </cell>
        </row>
        <row r="34">
          <cell r="B34" t="str">
            <v>MF/NS70</v>
          </cell>
        </row>
        <row r="35">
          <cell r="B35" t="str">
            <v>MF/N70 (13)</v>
          </cell>
        </row>
        <row r="36">
          <cell r="B36" t="str">
            <v>MF/N70Z/NX120-7(15)</v>
          </cell>
        </row>
        <row r="37">
          <cell r="B37" t="str">
            <v>MF/NX120-7(17 PLATE)</v>
          </cell>
        </row>
        <row r="38">
          <cell r="B38" t="str">
            <v>MF/N70ZZ (18 PLATE)</v>
          </cell>
        </row>
        <row r="39">
          <cell r="B39" t="str">
            <v>MF/544</v>
          </cell>
        </row>
        <row r="40">
          <cell r="B40" t="str">
            <v>MF/545</v>
          </cell>
        </row>
        <row r="41">
          <cell r="B41" t="str">
            <v>MF/555</v>
          </cell>
        </row>
        <row r="42">
          <cell r="B42" t="str">
            <v>MF/566-38/580-24</v>
          </cell>
        </row>
        <row r="43">
          <cell r="B43" t="str">
            <v>MF/588-27/600-38</v>
          </cell>
        </row>
        <row r="44">
          <cell r="B44" t="str">
            <v>MF/N100</v>
          </cell>
        </row>
        <row r="45">
          <cell r="B45" t="str">
            <v>MF/N120</v>
          </cell>
        </row>
        <row r="46">
          <cell r="B46" t="str">
            <v>MF/N150</v>
          </cell>
        </row>
        <row r="47">
          <cell r="B47" t="str">
            <v>MF/N200</v>
          </cell>
        </row>
        <row r="49">
          <cell r="B49" t="str">
            <v>Unique Id</v>
          </cell>
        </row>
        <row r="50">
          <cell r="B50" t="str">
            <v>DIN/12N24</v>
          </cell>
        </row>
        <row r="51">
          <cell r="B51" t="str">
            <v>DIN/544-59/64</v>
          </cell>
        </row>
        <row r="52">
          <cell r="B52" t="str">
            <v>DIN/545-19</v>
          </cell>
        </row>
        <row r="53">
          <cell r="B53" t="str">
            <v>DIN/555-59/65/30</v>
          </cell>
        </row>
        <row r="54">
          <cell r="B54" t="str">
            <v>DIN/566-38</v>
          </cell>
        </row>
        <row r="55">
          <cell r="B55" t="str">
            <v>DIN/574-12/580-24</v>
          </cell>
        </row>
        <row r="56">
          <cell r="B56" t="str">
            <v>DIN/584-24</v>
          </cell>
        </row>
        <row r="57">
          <cell r="B57" t="str">
            <v>DIN/588-27</v>
          </cell>
        </row>
        <row r="58">
          <cell r="B58" t="str">
            <v>DIN/600-38</v>
          </cell>
        </row>
        <row r="59">
          <cell r="B59" t="str">
            <v>6D135SH</v>
          </cell>
        </row>
        <row r="60">
          <cell r="B60" t="str">
            <v>8D90</v>
          </cell>
        </row>
        <row r="61">
          <cell r="B61" t="str">
            <v>DIN/562</v>
          </cell>
        </row>
        <row r="64">
          <cell r="B64" t="str">
            <v>Unique Id</v>
          </cell>
        </row>
        <row r="65">
          <cell r="B65" t="str">
            <v>DEEP/N70T</v>
          </cell>
        </row>
        <row r="66">
          <cell r="B66" t="str">
            <v>DEEP/N100T</v>
          </cell>
        </row>
        <row r="67">
          <cell r="B67" t="str">
            <v>DEEP/N120T</v>
          </cell>
        </row>
        <row r="68">
          <cell r="B68" t="str">
            <v>DEEP/N150T</v>
          </cell>
        </row>
        <row r="69">
          <cell r="B69" t="str">
            <v>DEEP/N200T</v>
          </cell>
        </row>
        <row r="73">
          <cell r="B73" t="str">
            <v>Unique Id</v>
          </cell>
        </row>
        <row r="74">
          <cell r="B74" t="str">
            <v>AUS/N03</v>
          </cell>
        </row>
        <row r="75">
          <cell r="B75" t="str">
            <v>AUS/N12D</v>
          </cell>
        </row>
        <row r="76">
          <cell r="B76" t="str">
            <v>AUS/N86/87</v>
          </cell>
        </row>
        <row r="77">
          <cell r="B77" t="str">
            <v>AUS/N89/90</v>
          </cell>
        </row>
        <row r="78">
          <cell r="B78" t="str">
            <v>AUS/N46/47</v>
          </cell>
        </row>
        <row r="79">
          <cell r="B79" t="str">
            <v>AUS/N48/49</v>
          </cell>
        </row>
        <row r="80">
          <cell r="B80" t="str">
            <v>AUS/N51/52/66</v>
          </cell>
        </row>
        <row r="81">
          <cell r="B81" t="str">
            <v>AUS/N53/50MZ</v>
          </cell>
        </row>
        <row r="82">
          <cell r="B82" t="str">
            <v>AUS/N94</v>
          </cell>
        </row>
        <row r="85">
          <cell r="B85" t="str">
            <v>*</v>
          </cell>
        </row>
      </sheetData>
      <sheetData sheetId="1">
        <row r="2">
          <cell r="A2" t="str">
            <v>Kalender kerja CBI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V5">
            <v>2088.5864578091464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enums"/>
    </sheetNames>
    <sheetDataSet>
      <sheetData sheetId="0" refreshError="1"/>
      <sheetData sheetId="1">
        <row r="3">
          <cell r="B3" t="str">
            <v>Purchased</v>
          </cell>
          <cell r="D3" t="str">
            <v>Not Applicable</v>
          </cell>
          <cell r="F3" t="str">
            <v>Yes</v>
          </cell>
        </row>
        <row r="4">
          <cell r="B4" t="str">
            <v>Manufactured</v>
          </cell>
          <cell r="D4" t="str">
            <v>Job Shop</v>
          </cell>
          <cell r="F4" t="str">
            <v>No</v>
          </cell>
        </row>
        <row r="5">
          <cell r="B5" t="str">
            <v>Generic</v>
          </cell>
          <cell r="D5" t="str">
            <v>Repetitive</v>
          </cell>
        </row>
        <row r="6">
          <cell r="B6" t="str">
            <v>Cost</v>
          </cell>
          <cell r="D6" t="str">
            <v>Assembly</v>
          </cell>
        </row>
        <row r="7">
          <cell r="B7" t="str">
            <v>Service</v>
          </cell>
          <cell r="D7" t="str">
            <v>Purchase</v>
          </cell>
        </row>
        <row r="8">
          <cell r="B8" t="str">
            <v>Subcontracted Service</v>
          </cell>
          <cell r="D8" t="str">
            <v>Subcontract</v>
          </cell>
        </row>
        <row r="9">
          <cell r="B9" t="str">
            <v>List</v>
          </cell>
        </row>
        <row r="10">
          <cell r="B10" t="str">
            <v>Tool</v>
          </cell>
        </row>
        <row r="11">
          <cell r="B11" t="str">
            <v>Equipment</v>
          </cell>
        </row>
        <row r="12">
          <cell r="B12" t="str">
            <v>Engineering Module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A48C-1B35-4A39-A17E-8722A3214ABB}">
  <dimension ref="A1:T530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2" max="2" width="12.36328125" customWidth="1"/>
    <col min="3" max="3" width="30.453125" bestFit="1" customWidth="1"/>
    <col min="4" max="4" width="13.6328125" bestFit="1" customWidth="1"/>
    <col min="5" max="5" width="11.6328125" bestFit="1" customWidth="1"/>
    <col min="6" max="11" width="11.6328125" customWidth="1"/>
    <col min="12" max="12" width="19.7265625" bestFit="1" customWidth="1"/>
    <col min="13" max="13" width="29" bestFit="1" customWidth="1"/>
    <col min="14" max="14" width="23.7265625" bestFit="1" customWidth="1"/>
    <col min="15" max="15" width="18.453125" bestFit="1" customWidth="1"/>
    <col min="16" max="16" width="22.54296875" bestFit="1" customWidth="1"/>
    <col min="17" max="17" width="29.54296875" bestFit="1" customWidth="1"/>
    <col min="18" max="18" width="24.54296875" bestFit="1" customWidth="1"/>
    <col min="19" max="19" width="19.26953125" bestFit="1" customWidth="1"/>
    <col min="20" max="20" width="23.36328125" bestFit="1" customWidth="1"/>
  </cols>
  <sheetData>
    <row r="1" spans="1:20" x14ac:dyDescent="0.35">
      <c r="A1" t="s">
        <v>401</v>
      </c>
      <c r="B1" t="s">
        <v>400</v>
      </c>
      <c r="C1" s="1" t="s">
        <v>399</v>
      </c>
      <c r="D1" s="1" t="s">
        <v>0</v>
      </c>
      <c r="E1" t="s">
        <v>389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s="2" t="s">
        <v>390</v>
      </c>
      <c r="M1" s="2" t="s">
        <v>391</v>
      </c>
      <c r="N1" s="1" t="s">
        <v>395</v>
      </c>
      <c r="O1" s="2" t="s">
        <v>392</v>
      </c>
      <c r="P1" s="2" t="s">
        <v>397</v>
      </c>
      <c r="Q1" s="2" t="s">
        <v>393</v>
      </c>
      <c r="R1" s="1" t="s">
        <v>394</v>
      </c>
      <c r="S1" s="2" t="s">
        <v>398</v>
      </c>
      <c r="T1" s="2" t="s">
        <v>396</v>
      </c>
    </row>
    <row r="2" spans="1:20" x14ac:dyDescent="0.35">
      <c r="C2" s="1" t="s">
        <v>1</v>
      </c>
      <c r="D2">
        <v>1588</v>
      </c>
      <c r="E2" s="3" t="str">
        <f>MID(C2,5,1)</f>
        <v>W</v>
      </c>
      <c r="F2" s="3"/>
      <c r="G2" s="3"/>
      <c r="H2" s="3"/>
      <c r="I2" s="3"/>
      <c r="J2" s="3"/>
      <c r="K2" s="3"/>
      <c r="L2" s="1" t="str">
        <f>MID(C2,3,17)</f>
        <v>AHWP-34B20LX-B0C3</v>
      </c>
      <c r="M2" s="1" t="str">
        <f>VLOOKUP(L2,'[1]Plate Infor'!$B:$C,2,FALSE)</f>
        <v>W-UNPL-CM84APX-L870-02-7S00</v>
      </c>
      <c r="N2" s="1" t="str">
        <f>VLOOKUP(MID(M2,8,4),'[1]Tipe Plate'!$C:$D,2,FALSE)</f>
        <v>Grid Casting</v>
      </c>
      <c r="O2" s="4">
        <f>VLOOKUP(L2,'[1]Plate Infor'!$B:$D,3,FALSE)*D2</f>
        <v>23820</v>
      </c>
      <c r="P2" s="4">
        <f>IFERROR(VLOOKUP(IF(MID(M2,3,1)="F","W-UNPL-"&amp;RIGHT(M2,20),M2),'[1]Data Pule'!$C:$E,3,FALSE),0)*O2</f>
        <v>2136.654</v>
      </c>
      <c r="Q2" s="1" t="str">
        <f>VLOOKUP(L2,'[1]Plate Infor'!$B:$E,4,FALSE)</f>
        <v>W-UNPL-YM84NXX-T3A0-02-7S00</v>
      </c>
      <c r="R2" s="1" t="str">
        <f>VLOOKUP(MID(Q2,8,4),'[1]Tipe Plate'!$C:$D,2,FALSE)</f>
        <v>Grid Casting</v>
      </c>
      <c r="S2" s="4">
        <f>VLOOKUP(L2,'[1]Plate Infor'!$B:$F,5,FALSE)*D2</f>
        <v>23820</v>
      </c>
      <c r="T2" s="4">
        <f>IFERROR(VLOOKUP(IF(MID(Q2,3,1)="F","W-UNPL-"&amp;RIGHT(Q2,20),Q2),'[1]Data Pule'!$C:$E,3,FALSE),0)*S2</f>
        <v>2462.9880000000003</v>
      </c>
    </row>
    <row r="3" spans="1:20" x14ac:dyDescent="0.35">
      <c r="C3" s="1" t="s">
        <v>2</v>
      </c>
      <c r="D3">
        <v>120</v>
      </c>
      <c r="E3" s="3" t="str">
        <f>MID(C3,5,1)</f>
        <v>D</v>
      </c>
      <c r="F3" s="3"/>
      <c r="G3" s="3"/>
      <c r="H3" s="3"/>
      <c r="I3" s="3"/>
      <c r="J3" s="3"/>
      <c r="K3" s="3"/>
      <c r="L3" s="1" t="str">
        <f>MID(C3,3,17)</f>
        <v>ACDP-65D26RX-B2C3</v>
      </c>
      <c r="M3" s="1" t="str">
        <f>VLOOKUP(L3,'[1]Plate Infor'!$B:$C,2,FALSE)</f>
        <v>W-FOPL-CG82PXX-L870-02-7S00</v>
      </c>
      <c r="N3" s="1" t="str">
        <f>VLOOKUP(MID(M3,8,4),'[1]Tipe Plate'!$C:$D,2,FALSE)</f>
        <v>Grid Casting</v>
      </c>
      <c r="O3" s="4">
        <f>VLOOKUP(L3,'[1]Plate Infor'!$B:$D,3,FALSE)*D3</f>
        <v>2160</v>
      </c>
      <c r="P3" s="4">
        <f>IFERROR(VLOOKUP(IF(MID(M3,3,1)="F","W-UNPL-"&amp;RIGHT(M3,20),M3),'[1]Data Pule'!$C:$E,3,FALSE),0)*O3</f>
        <v>277.55999999999995</v>
      </c>
      <c r="Q3" s="1" t="str">
        <f>VLOOKUP(L3,'[1]Plate Infor'!$B:$E,4,FALSE)</f>
        <v>W-FOPL-CG87NXX-T3L0-02-7S00</v>
      </c>
      <c r="R3" s="1" t="str">
        <f>VLOOKUP(MID(Q3,8,4),'[1]Tipe Plate'!$C:$D,2,FALSE)</f>
        <v>Grid Casting</v>
      </c>
      <c r="S3" s="4">
        <f>VLOOKUP(L3,'[1]Plate Infor'!$B:$F,5,FALSE)*D3</f>
        <v>2160</v>
      </c>
      <c r="T3" s="4">
        <f>IFERROR(VLOOKUP(IF(MID(Q3,3,1)="F","W-UNPL-"&amp;RIGHT(Q3,20),Q3),'[1]Data Pule'!$C:$E,3,FALSE),0)*S3</f>
        <v>248.4</v>
      </c>
    </row>
    <row r="4" spans="1:20" x14ac:dyDescent="0.35">
      <c r="C4" s="1" t="s">
        <v>2</v>
      </c>
      <c r="D4">
        <v>140</v>
      </c>
      <c r="E4" s="3" t="str">
        <f>MID(C4,5,1)</f>
        <v>D</v>
      </c>
      <c r="F4" s="3"/>
      <c r="G4" s="3"/>
      <c r="H4" s="3"/>
      <c r="I4" s="3"/>
      <c r="J4" s="3"/>
      <c r="K4" s="3"/>
      <c r="L4" s="1" t="str">
        <f>MID(C4,3,17)</f>
        <v>ACDP-65D26RX-B2C3</v>
      </c>
      <c r="M4" s="1" t="str">
        <f>VLOOKUP(L4,'[1]Plate Infor'!$B:$C,2,FALSE)</f>
        <v>W-FOPL-CG82PXX-L870-02-7S00</v>
      </c>
      <c r="N4" s="1" t="str">
        <f>VLOOKUP(MID(M4,8,4),'[1]Tipe Plate'!$C:$D,2,FALSE)</f>
        <v>Grid Casting</v>
      </c>
      <c r="O4" s="4">
        <f>VLOOKUP(L4,'[1]Plate Infor'!$B:$D,3,FALSE)*D4</f>
        <v>2520</v>
      </c>
      <c r="P4" s="4">
        <f>IFERROR(VLOOKUP(IF(MID(M4,3,1)="F","W-UNPL-"&amp;RIGHT(M4,20),M4),'[1]Data Pule'!$C:$E,3,FALSE),0)*O4</f>
        <v>323.81999999999994</v>
      </c>
      <c r="Q4" s="1" t="str">
        <f>VLOOKUP(L4,'[1]Plate Infor'!$B:$E,4,FALSE)</f>
        <v>W-FOPL-CG87NXX-T3L0-02-7S00</v>
      </c>
      <c r="R4" s="1" t="str">
        <f>VLOOKUP(MID(Q4,8,4),'[1]Tipe Plate'!$C:$D,2,FALSE)</f>
        <v>Grid Casting</v>
      </c>
      <c r="S4" s="4">
        <f>VLOOKUP(L4,'[1]Plate Infor'!$B:$F,5,FALSE)*D4</f>
        <v>2520</v>
      </c>
      <c r="T4" s="4">
        <f>IFERROR(VLOOKUP(IF(MID(Q4,3,1)="F","W-UNPL-"&amp;RIGHT(Q4,20),Q4),'[1]Data Pule'!$C:$E,3,FALSE),0)*S4</f>
        <v>289.8</v>
      </c>
    </row>
    <row r="5" spans="1:20" x14ac:dyDescent="0.35">
      <c r="C5" s="1" t="s">
        <v>3</v>
      </c>
      <c r="D5">
        <v>15</v>
      </c>
      <c r="E5" s="3" t="str">
        <f>MID(C5,5,1)</f>
        <v>W</v>
      </c>
      <c r="F5" s="3"/>
      <c r="G5" s="3"/>
      <c r="H5" s="3"/>
      <c r="I5" s="3"/>
      <c r="J5" s="3"/>
      <c r="K5" s="3"/>
      <c r="L5" s="1" t="str">
        <f>MID(C5,3,17)</f>
        <v>AMWP-115D31R-B8P3</v>
      </c>
      <c r="M5" s="1" t="str">
        <f>VLOOKUP(L5,'[1]Plate Infor'!$B:$C,2,FALSE)</f>
        <v>W-UNPL-WG83PXX-L65F-00-7C00</v>
      </c>
      <c r="N5" s="1" t="str">
        <f>VLOOKUP(MID(M5,8,4),'[1]Tipe Plate'!$C:$D,2,FALSE)</f>
        <v>Grid Punching</v>
      </c>
      <c r="O5" s="4">
        <f>VLOOKUP(L5,'[1]Plate Infor'!$B:$D,3,FALSE)*D5</f>
        <v>405</v>
      </c>
      <c r="P5" s="4">
        <f>IFERROR(VLOOKUP(IF(MID(M5,3,1)="F","W-UNPL-"&amp;RIGHT(M5,20),M5),'[1]Data Pule'!$C:$E,3,FALSE),0)*O5</f>
        <v>68.566499999999991</v>
      </c>
      <c r="Q5" s="1" t="str">
        <f>VLOOKUP(L5,'[1]Plate Infor'!$B:$E,4,FALSE)</f>
        <v>W-UNPL-WG87NXX-T3AF-00-7C00</v>
      </c>
      <c r="R5" s="1" t="str">
        <f>VLOOKUP(MID(Q5,8,4),'[1]Tipe Plate'!$C:$D,2,FALSE)</f>
        <v>Grid Punching</v>
      </c>
      <c r="S5" s="4">
        <f>VLOOKUP(L5,'[1]Plate Infor'!$B:$F,5,FALSE)*D5</f>
        <v>405</v>
      </c>
      <c r="T5" s="4">
        <f>IFERROR(VLOOKUP(IF(MID(Q5,3,1)="F","W-UNPL-"&amp;RIGHT(Q5,20),Q5),'[1]Data Pule'!$C:$E,3,FALSE),0)*S5</f>
        <v>52.933499999999995</v>
      </c>
    </row>
    <row r="6" spans="1:20" x14ac:dyDescent="0.35">
      <c r="C6" s="1" t="s">
        <v>4</v>
      </c>
      <c r="D6">
        <v>5</v>
      </c>
      <c r="E6" s="3" t="str">
        <f>MID(C6,5,1)</f>
        <v>W</v>
      </c>
      <c r="F6" s="3"/>
      <c r="G6" s="3"/>
      <c r="H6" s="3"/>
      <c r="I6" s="3"/>
      <c r="J6" s="3"/>
      <c r="K6" s="3"/>
      <c r="L6" s="1" t="str">
        <f>MID(C6,3,17)</f>
        <v>AMWP-4D170RX-D7C3</v>
      </c>
      <c r="M6" s="1" t="str">
        <f>VLOOKUP(L6,'[1]Plate Infor'!$B:$C,2,FALSE)</f>
        <v>W-UNPL-YG79HDP-L650-02-7S00</v>
      </c>
      <c r="N6" s="1" t="str">
        <f>VLOOKUP(MID(M6,8,4),'[1]Tipe Plate'!$C:$D,2,FALSE)</f>
        <v>Grid Casting</v>
      </c>
      <c r="O6" s="4">
        <f>VLOOKUP(L6,'[1]Plate Infor'!$B:$D,3,FALSE)*D6</f>
        <v>270</v>
      </c>
      <c r="P6" s="4">
        <f>IFERROR(VLOOKUP(IF(MID(M6,3,1)="F","W-UNPL-"&amp;RIGHT(M6,20),M6),'[1]Data Pule'!$C:$E,3,FALSE),0)*O6</f>
        <v>38.960999999999999</v>
      </c>
      <c r="Q6" s="1" t="str">
        <f>VLOOKUP(L6,'[1]Plate Infor'!$B:$E,4,FALSE)</f>
        <v>W-UNPL-YG85NXX-T3A0-02-7S00</v>
      </c>
      <c r="R6" s="1" t="str">
        <f>VLOOKUP(MID(Q6,8,4),'[1]Tipe Plate'!$C:$D,2,FALSE)</f>
        <v>Grid Casting</v>
      </c>
      <c r="S6" s="4">
        <f>VLOOKUP(L6,'[1]Plate Infor'!$B:$F,5,FALSE)*D6</f>
        <v>285</v>
      </c>
      <c r="T6" s="4">
        <f>IFERROR(VLOOKUP(IF(MID(Q6,3,1)="F","W-UNPL-"&amp;RIGHT(Q6,20),Q6),'[1]Data Pule'!$C:$E,3,FALSE),0)*S6</f>
        <v>37.249499999999998</v>
      </c>
    </row>
    <row r="7" spans="1:20" x14ac:dyDescent="0.35">
      <c r="C7" s="1" t="s">
        <v>5</v>
      </c>
      <c r="D7">
        <v>64</v>
      </c>
      <c r="E7" s="3" t="str">
        <f>MID(C7,5,1)</f>
        <v>W</v>
      </c>
      <c r="F7" s="3"/>
      <c r="G7" s="3"/>
      <c r="H7" s="3"/>
      <c r="I7" s="3"/>
      <c r="J7" s="3"/>
      <c r="K7" s="3"/>
      <c r="L7" s="1" t="str">
        <f>MID(C7,3,17)</f>
        <v>AMWP-72018LX-E3C3</v>
      </c>
      <c r="M7" s="1" t="str">
        <f>VLOOKUP(L7,'[1]Plate Infor'!$B:$C,2,FALSE)</f>
        <v>W-UNPL-YG8079P-L650-02-7S00</v>
      </c>
      <c r="N7" s="1" t="str">
        <f>VLOOKUP(MID(M7,8,4),'[1]Tipe Plate'!$C:$D,2,FALSE)</f>
        <v>Grid Casting</v>
      </c>
      <c r="O7" s="4">
        <f>VLOOKUP(L7,'[1]Plate Infor'!$B:$D,3,FALSE)*D7</f>
        <v>4032</v>
      </c>
      <c r="P7" s="4">
        <f>IFERROR(VLOOKUP(IF(MID(M7,3,1)="F","W-UNPL-"&amp;RIGHT(M7,20),M7),'[1]Data Pule'!$C:$E,3,FALSE),0)*O7</f>
        <v>637.05600000000004</v>
      </c>
      <c r="Q7" s="1" t="str">
        <f>VLOOKUP(L7,'[1]Plate Infor'!$B:$E,4,FALSE)</f>
        <v>W-UNPL-YG85NXX-T3A0-02-7S00</v>
      </c>
      <c r="R7" s="1" t="str">
        <f>VLOOKUP(MID(Q7,8,4),'[1]Tipe Plate'!$C:$D,2,FALSE)</f>
        <v>Grid Casting</v>
      </c>
      <c r="S7" s="4">
        <f>VLOOKUP(L7,'[1]Plate Infor'!$B:$F,5,FALSE)*D7</f>
        <v>4224</v>
      </c>
      <c r="T7" s="4">
        <f>IFERROR(VLOOKUP(IF(MID(Q7,3,1)="F","W-UNPL-"&amp;RIGHT(Q7,20),Q7),'[1]Data Pule'!$C:$E,3,FALSE),0)*S7</f>
        <v>552.07679999999993</v>
      </c>
    </row>
    <row r="8" spans="1:20" x14ac:dyDescent="0.35">
      <c r="C8" s="1" t="s">
        <v>6</v>
      </c>
      <c r="D8">
        <v>8</v>
      </c>
      <c r="E8" s="3" t="str">
        <f>MID(C8,5,1)</f>
        <v>W</v>
      </c>
      <c r="F8" s="3"/>
      <c r="G8" s="3"/>
      <c r="H8" s="3"/>
      <c r="I8" s="3"/>
      <c r="J8" s="3"/>
      <c r="K8" s="3"/>
      <c r="L8" s="1" t="str">
        <f>MID(C8,3,17)</f>
        <v>AMWP-115D31R-B8P3</v>
      </c>
      <c r="M8" s="1" t="str">
        <f>VLOOKUP(L8,'[1]Plate Infor'!$B:$C,2,FALSE)</f>
        <v>W-UNPL-WG83PXX-L65F-00-7C00</v>
      </c>
      <c r="N8" s="1" t="str">
        <f>VLOOKUP(MID(M8,8,4),'[1]Tipe Plate'!$C:$D,2,FALSE)</f>
        <v>Grid Punching</v>
      </c>
      <c r="O8" s="4">
        <f>VLOOKUP(L8,'[1]Plate Infor'!$B:$D,3,FALSE)*D8</f>
        <v>216</v>
      </c>
      <c r="P8" s="4">
        <f>IFERROR(VLOOKUP(IF(MID(M8,3,1)="F","W-UNPL-"&amp;RIGHT(M8,20),M8),'[1]Data Pule'!$C:$E,3,FALSE),0)*O8</f>
        <v>36.568799999999996</v>
      </c>
      <c r="Q8" s="1" t="str">
        <f>VLOOKUP(L8,'[1]Plate Infor'!$B:$E,4,FALSE)</f>
        <v>W-UNPL-WG87NXX-T3AF-00-7C00</v>
      </c>
      <c r="R8" s="1" t="str">
        <f>VLOOKUP(MID(Q8,8,4),'[1]Tipe Plate'!$C:$D,2,FALSE)</f>
        <v>Grid Punching</v>
      </c>
      <c r="S8" s="4">
        <f>VLOOKUP(L8,'[1]Plate Infor'!$B:$F,5,FALSE)*D8</f>
        <v>216</v>
      </c>
      <c r="T8" s="4">
        <f>IFERROR(VLOOKUP(IF(MID(Q8,3,1)="F","W-UNPL-"&amp;RIGHT(Q8,20),Q8),'[1]Data Pule'!$C:$E,3,FALSE),0)*S8</f>
        <v>28.231199999999998</v>
      </c>
    </row>
    <row r="9" spans="1:20" x14ac:dyDescent="0.35">
      <c r="C9" s="1" t="s">
        <v>4</v>
      </c>
      <c r="D9">
        <v>61</v>
      </c>
      <c r="E9" s="3" t="str">
        <f>MID(C9,5,1)</f>
        <v>W</v>
      </c>
      <c r="F9" s="3"/>
      <c r="G9" s="3"/>
      <c r="H9" s="3"/>
      <c r="I9" s="3"/>
      <c r="J9" s="3"/>
      <c r="K9" s="3"/>
      <c r="L9" s="1" t="str">
        <f>MID(C9,3,17)</f>
        <v>AMWP-4D170RX-D7C3</v>
      </c>
      <c r="M9" s="1" t="str">
        <f>VLOOKUP(L9,'[1]Plate Infor'!$B:$C,2,FALSE)</f>
        <v>W-UNPL-YG79HDP-L650-02-7S00</v>
      </c>
      <c r="N9" s="1" t="str">
        <f>VLOOKUP(MID(M9,8,4),'[1]Tipe Plate'!$C:$D,2,FALSE)</f>
        <v>Grid Casting</v>
      </c>
      <c r="O9" s="4">
        <f>VLOOKUP(L9,'[1]Plate Infor'!$B:$D,3,FALSE)*D9</f>
        <v>3294</v>
      </c>
      <c r="P9" s="4">
        <f>IFERROR(VLOOKUP(IF(MID(M9,3,1)="F","W-UNPL-"&amp;RIGHT(M9,20),M9),'[1]Data Pule'!$C:$E,3,FALSE),0)*O9</f>
        <v>475.32419999999996</v>
      </c>
      <c r="Q9" s="1" t="str">
        <f>VLOOKUP(L9,'[1]Plate Infor'!$B:$E,4,FALSE)</f>
        <v>W-UNPL-YG85NXX-T3A0-02-7S00</v>
      </c>
      <c r="R9" s="1" t="str">
        <f>VLOOKUP(MID(Q9,8,4),'[1]Tipe Plate'!$C:$D,2,FALSE)</f>
        <v>Grid Casting</v>
      </c>
      <c r="S9" s="4">
        <f>VLOOKUP(L9,'[1]Plate Infor'!$B:$F,5,FALSE)*D9</f>
        <v>3477</v>
      </c>
      <c r="T9" s="4">
        <f>IFERROR(VLOOKUP(IF(MID(Q9,3,1)="F","W-UNPL-"&amp;RIGHT(Q9,20),Q9),'[1]Data Pule'!$C:$E,3,FALSE),0)*S9</f>
        <v>454.44389999999993</v>
      </c>
    </row>
    <row r="10" spans="1:20" x14ac:dyDescent="0.35">
      <c r="C10" s="1" t="s">
        <v>7</v>
      </c>
      <c r="D10">
        <v>109</v>
      </c>
      <c r="E10" s="3" t="str">
        <f>MID(C10,5,1)</f>
        <v>W</v>
      </c>
      <c r="F10" s="3"/>
      <c r="G10" s="3"/>
      <c r="H10" s="3"/>
      <c r="I10" s="3"/>
      <c r="J10" s="3"/>
      <c r="K10" s="3"/>
      <c r="L10" s="1" t="str">
        <f>MID(C10,3,17)</f>
        <v>AMWP-95E41RX-B7C3</v>
      </c>
      <c r="M10" s="1" t="str">
        <f>VLOOKUP(L10,'[1]Plate Infor'!$B:$C,2,FALSE)</f>
        <v>W-UNPL-YG8079P-L650-02-7S00</v>
      </c>
      <c r="N10" s="1" t="str">
        <f>VLOOKUP(MID(M10,8,4),'[1]Tipe Plate'!$C:$D,2,FALSE)</f>
        <v>Grid Casting</v>
      </c>
      <c r="O10" s="4">
        <f>VLOOKUP(L10,'[1]Plate Infor'!$B:$D,3,FALSE)*D10</f>
        <v>2616</v>
      </c>
      <c r="P10" s="4">
        <f>IFERROR(VLOOKUP(IF(MID(M10,3,1)="F","W-UNPL-"&amp;RIGHT(M10,20),M10),'[1]Data Pule'!$C:$E,3,FALSE),0)*O10</f>
        <v>413.32800000000003</v>
      </c>
      <c r="Q10" s="1" t="str">
        <f>VLOOKUP(L10,'[1]Plate Infor'!$B:$E,4,FALSE)</f>
        <v>W-UNPL-YG85NXX-T3A0-02-7S00</v>
      </c>
      <c r="R10" s="1" t="str">
        <f>VLOOKUP(MID(Q10,8,4),'[1]Tipe Plate'!$C:$D,2,FALSE)</f>
        <v>Grid Casting</v>
      </c>
      <c r="S10" s="4">
        <f>VLOOKUP(L10,'[1]Plate Infor'!$B:$F,5,FALSE)*D10</f>
        <v>2943</v>
      </c>
      <c r="T10" s="4">
        <f>IFERROR(VLOOKUP(IF(MID(Q10,3,1)="F","W-UNPL-"&amp;RIGHT(Q10,20),Q10),'[1]Data Pule'!$C:$E,3,FALSE),0)*S10</f>
        <v>384.65009999999995</v>
      </c>
    </row>
    <row r="11" spans="1:20" x14ac:dyDescent="0.35">
      <c r="C11" s="1" t="s">
        <v>8</v>
      </c>
      <c r="D11">
        <v>37</v>
      </c>
      <c r="E11" s="3" t="str">
        <f>MID(C11,5,1)</f>
        <v>W</v>
      </c>
      <c r="F11" s="3"/>
      <c r="G11" s="3"/>
      <c r="H11" s="3"/>
      <c r="I11" s="3"/>
      <c r="J11" s="3"/>
      <c r="K11" s="3"/>
      <c r="L11" s="1" t="str">
        <f>MID(C11,3,17)</f>
        <v>AMWP-145G51X-C7C3</v>
      </c>
      <c r="M11" s="1" t="str">
        <f>VLOOKUP(L11,'[1]Plate Infor'!$B:$C,2,FALSE)</f>
        <v>W-UNPL-YG82PXX-L650-02-7S00</v>
      </c>
      <c r="N11" s="1" t="str">
        <f>VLOOKUP(MID(M11,8,4),'[1]Tipe Plate'!$C:$D,2,FALSE)</f>
        <v>Grid Casting</v>
      </c>
      <c r="O11" s="4">
        <f>VLOOKUP(L11,'[1]Plate Infor'!$B:$D,3,FALSE)*D11</f>
        <v>1554</v>
      </c>
      <c r="P11" s="4">
        <f>IFERROR(VLOOKUP(IF(MID(M11,3,1)="F","W-UNPL-"&amp;RIGHT(M11,20),M11),'[1]Data Pule'!$C:$E,3,FALSE),0)*O11</f>
        <v>213.67499999999998</v>
      </c>
      <c r="Q11" s="1" t="str">
        <f>VLOOKUP(L11,'[1]Plate Infor'!$B:$E,4,FALSE)</f>
        <v>W-UNPL-YG85NXX-T3A0-02-7S00</v>
      </c>
      <c r="R11" s="1" t="str">
        <f>VLOOKUP(MID(Q11,8,4),'[1]Tipe Plate'!$C:$D,2,FALSE)</f>
        <v>Grid Casting</v>
      </c>
      <c r="S11" s="4">
        <f>VLOOKUP(L11,'[1]Plate Infor'!$B:$F,5,FALSE)*D11</f>
        <v>1443</v>
      </c>
      <c r="T11" s="4">
        <f>IFERROR(VLOOKUP(IF(MID(Q11,3,1)="F","W-UNPL-"&amp;RIGHT(Q11,20),Q11),'[1]Data Pule'!$C:$E,3,FALSE),0)*S11</f>
        <v>188.60009999999997</v>
      </c>
    </row>
    <row r="12" spans="1:20" x14ac:dyDescent="0.35">
      <c r="C12" s="1" t="s">
        <v>9</v>
      </c>
      <c r="D12">
        <v>46</v>
      </c>
      <c r="E12" s="3" t="str">
        <f>MID(C12,5,1)</f>
        <v>W</v>
      </c>
      <c r="F12" s="3"/>
      <c r="G12" s="3"/>
      <c r="H12" s="3"/>
      <c r="I12" s="3"/>
      <c r="J12" s="3"/>
      <c r="K12" s="3"/>
      <c r="L12" s="1" t="str">
        <f>MID(C12,3,17)</f>
        <v>AMWP-180G51X-D1C1</v>
      </c>
      <c r="M12" s="1" t="str">
        <f>VLOOKUP(L12,'[1]Plate Infor'!$B:$C,2,FALSE)</f>
        <v>W-UNPL-YG79HDP-L650-02-7S00</v>
      </c>
      <c r="N12" s="1" t="str">
        <f>VLOOKUP(MID(M12,8,4),'[1]Tipe Plate'!$C:$D,2,FALSE)</f>
        <v>Grid Casting</v>
      </c>
      <c r="O12" s="4">
        <f>VLOOKUP(L12,'[1]Plate Infor'!$B:$D,3,FALSE)*D12</f>
        <v>2070</v>
      </c>
      <c r="P12" s="4">
        <f>IFERROR(VLOOKUP(IF(MID(M12,3,1)="F","W-UNPL-"&amp;RIGHT(M12,20),M12),'[1]Data Pule'!$C:$E,3,FALSE),0)*O12</f>
        <v>298.70099999999996</v>
      </c>
      <c r="Q12" s="1" t="str">
        <f>VLOOKUP(L12,'[1]Plate Infor'!$B:$E,4,FALSE)</f>
        <v>W-UNPL-YG85NXX-T3A0-02-7S00</v>
      </c>
      <c r="R12" s="1" t="str">
        <f>VLOOKUP(MID(Q12,8,4),'[1]Tipe Plate'!$C:$D,2,FALSE)</f>
        <v>Grid Casting</v>
      </c>
      <c r="S12" s="4">
        <f>VLOOKUP(L12,'[1]Plate Infor'!$B:$F,5,FALSE)*D12</f>
        <v>2208</v>
      </c>
      <c r="T12" s="4">
        <f>IFERROR(VLOOKUP(IF(MID(Q12,3,1)="F","W-UNPL-"&amp;RIGHT(Q12,20),Q12),'[1]Data Pule'!$C:$E,3,FALSE),0)*S12</f>
        <v>288.58559999999994</v>
      </c>
    </row>
    <row r="13" spans="1:20" x14ac:dyDescent="0.35">
      <c r="C13" s="1" t="s">
        <v>10</v>
      </c>
      <c r="D13">
        <v>1021</v>
      </c>
      <c r="E13" s="3" t="str">
        <f>MID(C13,5,1)</f>
        <v>W</v>
      </c>
      <c r="F13" s="3"/>
      <c r="G13" s="3"/>
      <c r="H13" s="3"/>
      <c r="I13" s="3"/>
      <c r="J13" s="3"/>
      <c r="K13" s="3"/>
      <c r="L13" s="1" t="str">
        <f>MID(C13,3,17)</f>
        <v>AMWP-210H52X-E0C1</v>
      </c>
      <c r="M13" s="1" t="str">
        <f>VLOOKUP(L13,'[1]Plate Infor'!$B:$C,2,FALSE)</f>
        <v>W-UNPL-YG79HDP-L650-02-7S00</v>
      </c>
      <c r="N13" s="1" t="str">
        <f>VLOOKUP(MID(M13,8,4),'[1]Tipe Plate'!$C:$D,2,FALSE)</f>
        <v>Grid Casting</v>
      </c>
      <c r="O13" s="4">
        <f>VLOOKUP(L13,'[1]Plate Infor'!$B:$D,3,FALSE)*D13</f>
        <v>61260</v>
      </c>
      <c r="P13" s="4">
        <f>IFERROR(VLOOKUP(IF(MID(M13,3,1)="F","W-UNPL-"&amp;RIGHT(M13,20),M13),'[1]Data Pule'!$C:$E,3,FALSE),0)*O13</f>
        <v>8839.8179999999993</v>
      </c>
      <c r="Q13" s="1" t="str">
        <f>VLOOKUP(L13,'[1]Plate Infor'!$B:$E,4,FALSE)</f>
        <v>W-UNPL-YG85NXX-T3A0-02-7S00</v>
      </c>
      <c r="R13" s="1" t="str">
        <f>VLOOKUP(MID(Q13,8,4),'[1]Tipe Plate'!$C:$D,2,FALSE)</f>
        <v>Grid Casting</v>
      </c>
      <c r="S13" s="4">
        <f>VLOOKUP(L13,'[1]Plate Infor'!$B:$F,5,FALSE)*D13</f>
        <v>61260</v>
      </c>
      <c r="T13" s="4">
        <f>IFERROR(VLOOKUP(IF(MID(Q13,3,1)="F","W-UNPL-"&amp;RIGHT(Q13,20),Q13),'[1]Data Pule'!$C:$E,3,FALSE),0)*S13</f>
        <v>8006.6819999999989</v>
      </c>
    </row>
    <row r="14" spans="1:20" x14ac:dyDescent="0.35">
      <c r="C14" s="1" t="s">
        <v>11</v>
      </c>
      <c r="D14">
        <v>7</v>
      </c>
      <c r="E14" s="3" t="str">
        <f>MID(C14,5,1)</f>
        <v>W</v>
      </c>
      <c r="F14" s="3"/>
      <c r="G14" s="3"/>
      <c r="H14" s="3"/>
      <c r="I14" s="3"/>
      <c r="J14" s="3"/>
      <c r="K14" s="3"/>
      <c r="L14" s="1" t="str">
        <f>MID(C14,3,17)</f>
        <v>AMWP-48D26RX-A8P3</v>
      </c>
      <c r="M14" s="1" t="str">
        <f>VLOOKUP(L14,'[1]Plate Infor'!$B:$C,2,FALSE)</f>
        <v>W-UNPL-WG83PXX-L65F-00-7C00</v>
      </c>
      <c r="N14" s="1" t="str">
        <f>VLOOKUP(MID(M14,8,4),'[1]Tipe Plate'!$C:$D,2,FALSE)</f>
        <v>Grid Punching</v>
      </c>
      <c r="O14" s="4">
        <f>VLOOKUP(L14,'[1]Plate Infor'!$B:$D,3,FALSE)*D14</f>
        <v>84</v>
      </c>
      <c r="P14" s="4">
        <f>IFERROR(VLOOKUP(IF(MID(M14,3,1)="F","W-UNPL-"&amp;RIGHT(M14,20),M14),'[1]Data Pule'!$C:$E,3,FALSE),0)*O14</f>
        <v>14.221199999999998</v>
      </c>
      <c r="Q14" s="1" t="str">
        <f>VLOOKUP(L14,'[1]Plate Infor'!$B:$E,4,FALSE)</f>
        <v>W-UNPL-WG87NXX-T3AF-00-7C00</v>
      </c>
      <c r="R14" s="1" t="str">
        <f>VLOOKUP(MID(Q14,8,4),'[1]Tipe Plate'!$C:$D,2,FALSE)</f>
        <v>Grid Punching</v>
      </c>
      <c r="S14" s="4">
        <f>VLOOKUP(L14,'[1]Plate Infor'!$B:$F,5,FALSE)*D14</f>
        <v>84</v>
      </c>
      <c r="T14" s="4">
        <f>IFERROR(VLOOKUP(IF(MID(Q14,3,1)="F","W-UNPL-"&amp;RIGHT(Q14,20),Q14),'[1]Data Pule'!$C:$E,3,FALSE),0)*S14</f>
        <v>10.978799999999998</v>
      </c>
    </row>
    <row r="15" spans="1:20" x14ac:dyDescent="0.35">
      <c r="C15" s="1" t="s">
        <v>12</v>
      </c>
      <c r="D15">
        <v>67</v>
      </c>
      <c r="E15" s="3" t="str">
        <f>MID(C15,5,1)</f>
        <v>W</v>
      </c>
      <c r="F15" s="3"/>
      <c r="G15" s="3"/>
      <c r="H15" s="3"/>
      <c r="I15" s="3"/>
      <c r="J15" s="3"/>
      <c r="K15" s="3"/>
      <c r="L15" s="1" t="str">
        <f>MID(C15,3,17)</f>
        <v>AMWP-65D31RX-B2P3</v>
      </c>
      <c r="M15" s="1" t="str">
        <f>VLOOKUP(L15,'[1]Plate Infor'!$B:$C,2,FALSE)</f>
        <v>W-UNPL-WG83PXX-L65F-00-7C00</v>
      </c>
      <c r="N15" s="1" t="str">
        <f>VLOOKUP(MID(M15,8,4),'[1]Tipe Plate'!$C:$D,2,FALSE)</f>
        <v>Grid Punching</v>
      </c>
      <c r="O15" s="4">
        <f>VLOOKUP(L15,'[1]Plate Infor'!$B:$D,3,FALSE)*D15</f>
        <v>1206</v>
      </c>
      <c r="P15" s="4">
        <f>IFERROR(VLOOKUP(IF(MID(M15,3,1)="F","W-UNPL-"&amp;RIGHT(M15,20),M15),'[1]Data Pule'!$C:$E,3,FALSE),0)*O15</f>
        <v>204.17579999999998</v>
      </c>
      <c r="Q15" s="1" t="str">
        <f>VLOOKUP(L15,'[1]Plate Infor'!$B:$E,4,FALSE)</f>
        <v>W-UNPL-WG87NXX-T3AF-00-7C00</v>
      </c>
      <c r="R15" s="1" t="str">
        <f>VLOOKUP(MID(Q15,8,4),'[1]Tipe Plate'!$C:$D,2,FALSE)</f>
        <v>Grid Punching</v>
      </c>
      <c r="S15" s="4">
        <f>VLOOKUP(L15,'[1]Plate Infor'!$B:$F,5,FALSE)*D15</f>
        <v>1206</v>
      </c>
      <c r="T15" s="4">
        <f>IFERROR(VLOOKUP(IF(MID(Q15,3,1)="F","W-UNPL-"&amp;RIGHT(Q15,20),Q15),'[1]Data Pule'!$C:$E,3,FALSE),0)*S15</f>
        <v>157.62419999999997</v>
      </c>
    </row>
    <row r="16" spans="1:20" x14ac:dyDescent="0.35">
      <c r="C16" s="1" t="s">
        <v>13</v>
      </c>
      <c r="D16">
        <v>134</v>
      </c>
      <c r="E16" s="3" t="str">
        <f>MID(C16,5,1)</f>
        <v>D</v>
      </c>
      <c r="F16" s="3"/>
      <c r="G16" s="3"/>
      <c r="H16" s="3"/>
      <c r="I16" s="3"/>
      <c r="J16" s="3"/>
      <c r="K16" s="3"/>
      <c r="L16" s="1" t="str">
        <f>MID(C16,3,17)</f>
        <v>ACDP-95E41RX-C1C1</v>
      </c>
      <c r="M16" s="1" t="str">
        <f>VLOOKUP(L16,'[1]Plate Infor'!$B:$C,2,FALSE)</f>
        <v>W-FOPL-CG80PXX-L870-02-7S00</v>
      </c>
      <c r="N16" s="1" t="str">
        <f>VLOOKUP(MID(M16,8,4),'[1]Tipe Plate'!$C:$D,2,FALSE)</f>
        <v>Grid Casting</v>
      </c>
      <c r="O16" s="4">
        <f>VLOOKUP(L16,'[1]Plate Infor'!$B:$D,3,FALSE)*D16</f>
        <v>4422</v>
      </c>
      <c r="P16" s="4">
        <f>IFERROR(VLOOKUP(IF(MID(M16,3,1)="F","W-UNPL-"&amp;RIGHT(M16,20),M16),'[1]Data Pule'!$C:$E,3,FALSE),0)*O16</f>
        <v>668.16419999999994</v>
      </c>
      <c r="Q16" s="1" t="str">
        <f>VLOOKUP(L16,'[1]Plate Infor'!$B:$E,4,FALSE)</f>
        <v>W-FOPL-CG85NXX-T3L0-02-7S00</v>
      </c>
      <c r="R16" s="1" t="str">
        <f>VLOOKUP(MID(Q16,8,4),'[1]Tipe Plate'!$C:$D,2,FALSE)</f>
        <v>Grid Casting</v>
      </c>
      <c r="S16" s="4">
        <f>VLOOKUP(L16,'[1]Plate Infor'!$B:$F,5,FALSE)*D16</f>
        <v>4020</v>
      </c>
      <c r="T16" s="4">
        <f>IFERROR(VLOOKUP(IF(MID(Q16,3,1)="F","W-UNPL-"&amp;RIGHT(Q16,20),Q16),'[1]Data Pule'!$C:$E,3,FALSE),0)*S16</f>
        <v>525.41399999999999</v>
      </c>
    </row>
    <row r="17" spans="3:20" x14ac:dyDescent="0.35">
      <c r="C17" s="1" t="s">
        <v>14</v>
      </c>
      <c r="D17">
        <v>61</v>
      </c>
      <c r="E17" s="3" t="str">
        <f>MID(C17,5,1)</f>
        <v>D</v>
      </c>
      <c r="F17" s="3"/>
      <c r="G17" s="3"/>
      <c r="H17" s="3"/>
      <c r="I17" s="3"/>
      <c r="J17" s="3"/>
      <c r="K17" s="3"/>
      <c r="L17" s="1" t="str">
        <f>MID(C17,3,17)</f>
        <v>ACDP-115F51X-C5C1</v>
      </c>
      <c r="M17" s="1" t="str">
        <f>VLOOKUP(L17,'[1]Plate Infor'!$B:$C,2,FALSE)</f>
        <v>W-FOPL-CG80PXX-L870-02-7S00</v>
      </c>
      <c r="N17" s="1" t="str">
        <f>VLOOKUP(MID(M17,8,4),'[1]Tipe Plate'!$C:$D,2,FALSE)</f>
        <v>Grid Casting</v>
      </c>
      <c r="O17" s="4">
        <f>VLOOKUP(L17,'[1]Plate Infor'!$B:$D,3,FALSE)*D17</f>
        <v>2379</v>
      </c>
      <c r="P17" s="4">
        <f>IFERROR(VLOOKUP(IF(MID(M17,3,1)="F","W-UNPL-"&amp;RIGHT(M17,20),M17),'[1]Data Pule'!$C:$E,3,FALSE),0)*O17</f>
        <v>359.46689999999995</v>
      </c>
      <c r="Q17" s="1" t="str">
        <f>VLOOKUP(L17,'[1]Plate Infor'!$B:$E,4,FALSE)</f>
        <v>W-FOPL-CG85NXX-T3L0-02-7S00</v>
      </c>
      <c r="R17" s="1" t="str">
        <f>VLOOKUP(MID(Q17,8,4),'[1]Tipe Plate'!$C:$D,2,FALSE)</f>
        <v>Grid Casting</v>
      </c>
      <c r="S17" s="4">
        <f>VLOOKUP(L17,'[1]Plate Infor'!$B:$F,5,FALSE)*D17</f>
        <v>2196</v>
      </c>
      <c r="T17" s="4">
        <f>IFERROR(VLOOKUP(IF(MID(Q17,3,1)="F","W-UNPL-"&amp;RIGHT(Q17,20),Q17),'[1]Data Pule'!$C:$E,3,FALSE),0)*S17</f>
        <v>287.01719999999995</v>
      </c>
    </row>
    <row r="18" spans="3:20" x14ac:dyDescent="0.35">
      <c r="C18" s="1" t="s">
        <v>15</v>
      </c>
      <c r="D18">
        <v>131</v>
      </c>
      <c r="E18" s="3" t="str">
        <f>MID(C18,5,1)</f>
        <v>D</v>
      </c>
      <c r="F18" s="3"/>
      <c r="G18" s="3"/>
      <c r="H18" s="3"/>
      <c r="I18" s="3"/>
      <c r="J18" s="3"/>
      <c r="K18" s="3"/>
      <c r="L18" s="1" t="str">
        <f>MID(C18,3,17)</f>
        <v>ACDP-145G51X-D1C1</v>
      </c>
      <c r="M18" s="1" t="str">
        <f>VLOOKUP(L18,'[1]Plate Infor'!$B:$C,2,FALSE)</f>
        <v>W-FOPL-CG80PXX-L870-02-7S00</v>
      </c>
      <c r="N18" s="1" t="str">
        <f>VLOOKUP(MID(M18,8,4),'[1]Tipe Plate'!$C:$D,2,FALSE)</f>
        <v>Grid Casting</v>
      </c>
      <c r="O18" s="4">
        <f>VLOOKUP(L18,'[1]Plate Infor'!$B:$D,3,FALSE)*D18</f>
        <v>6288</v>
      </c>
      <c r="P18" s="4">
        <f>IFERROR(VLOOKUP(IF(MID(M18,3,1)="F","W-UNPL-"&amp;RIGHT(M18,20),M18),'[1]Data Pule'!$C:$E,3,FALSE),0)*O18</f>
        <v>950.1167999999999</v>
      </c>
      <c r="Q18" s="1" t="str">
        <f>VLOOKUP(L18,'[1]Plate Infor'!$B:$E,4,FALSE)</f>
        <v>W-FOPL-CG85NXX-T3L0-02-7S00</v>
      </c>
      <c r="R18" s="1" t="str">
        <f>VLOOKUP(MID(Q18,8,4),'[1]Tipe Plate'!$C:$D,2,FALSE)</f>
        <v>Grid Casting</v>
      </c>
      <c r="S18" s="4">
        <f>VLOOKUP(L18,'[1]Plate Infor'!$B:$F,5,FALSE)*D18</f>
        <v>5895</v>
      </c>
      <c r="T18" s="4">
        <f>IFERROR(VLOOKUP(IF(MID(Q18,3,1)="F","W-UNPL-"&amp;RIGHT(Q18,20),Q18),'[1]Data Pule'!$C:$E,3,FALSE),0)*S18</f>
        <v>770.47649999999987</v>
      </c>
    </row>
    <row r="19" spans="3:20" x14ac:dyDescent="0.35">
      <c r="C19" s="1" t="s">
        <v>16</v>
      </c>
      <c r="D19">
        <v>14</v>
      </c>
      <c r="E19" s="3" t="str">
        <f>MID(C19,5,1)</f>
        <v>D</v>
      </c>
      <c r="F19" s="3"/>
      <c r="G19" s="3"/>
      <c r="H19" s="3"/>
      <c r="I19" s="3"/>
      <c r="J19" s="3"/>
      <c r="K19" s="3"/>
      <c r="L19" s="1" t="str">
        <f>MID(C19,3,17)</f>
        <v>ACDP-145G51X-C7C3</v>
      </c>
      <c r="M19" s="1" t="str">
        <f>VLOOKUP(L19,'[1]Plate Infor'!$B:$C,2,FALSE)</f>
        <v>W-FOPL-CG82PXX-L870-02-7S00</v>
      </c>
      <c r="N19" s="1" t="str">
        <f>VLOOKUP(MID(M19,8,4),'[1]Tipe Plate'!$C:$D,2,FALSE)</f>
        <v>Grid Casting</v>
      </c>
      <c r="O19" s="4">
        <f>VLOOKUP(L19,'[1]Plate Infor'!$B:$D,3,FALSE)*D19</f>
        <v>546</v>
      </c>
      <c r="P19" s="4">
        <f>IFERROR(VLOOKUP(IF(MID(M19,3,1)="F","W-UNPL-"&amp;RIGHT(M19,20),M19),'[1]Data Pule'!$C:$E,3,FALSE),0)*O19</f>
        <v>70.160999999999987</v>
      </c>
      <c r="Q19" s="1" t="str">
        <f>VLOOKUP(L19,'[1]Plate Infor'!$B:$E,4,FALSE)</f>
        <v>W-FOPL-CG87NXX-T3L0-02-7S00</v>
      </c>
      <c r="R19" s="1" t="str">
        <f>VLOOKUP(MID(Q19,8,4),'[1]Tipe Plate'!$C:$D,2,FALSE)</f>
        <v>Grid Casting</v>
      </c>
      <c r="S19" s="4">
        <f>VLOOKUP(L19,'[1]Plate Infor'!$B:$F,5,FALSE)*D19</f>
        <v>588</v>
      </c>
      <c r="T19" s="4">
        <f>IFERROR(VLOOKUP(IF(MID(Q19,3,1)="F","W-UNPL-"&amp;RIGHT(Q19,20),Q19),'[1]Data Pule'!$C:$E,3,FALSE),0)*S19</f>
        <v>67.62</v>
      </c>
    </row>
    <row r="20" spans="3:20" x14ac:dyDescent="0.35">
      <c r="C20" s="1" t="s">
        <v>17</v>
      </c>
      <c r="D20">
        <v>114</v>
      </c>
      <c r="E20" s="3" t="str">
        <f>MID(C20,5,1)</f>
        <v>D</v>
      </c>
      <c r="F20" s="3"/>
      <c r="G20" s="3"/>
      <c r="H20" s="3"/>
      <c r="I20" s="3"/>
      <c r="J20" s="3"/>
      <c r="K20" s="3"/>
      <c r="L20" s="1" t="str">
        <f>MID(C20,3,17)</f>
        <v>ACDP-190H52X-E1C1</v>
      </c>
      <c r="M20" s="1" t="str">
        <f>VLOOKUP(L20,'[1]Plate Infor'!$B:$C,2,FALSE)</f>
        <v>W-FOPL-CG80PXX-L870-02-7S00</v>
      </c>
      <c r="N20" s="1" t="str">
        <f>VLOOKUP(MID(M20,8,4),'[1]Tipe Plate'!$C:$D,2,FALSE)</f>
        <v>Grid Casting</v>
      </c>
      <c r="O20" s="4">
        <f>VLOOKUP(L20,'[1]Plate Infor'!$B:$D,3,FALSE)*D20</f>
        <v>7182</v>
      </c>
      <c r="P20" s="4">
        <f>IFERROR(VLOOKUP(IF(MID(M20,3,1)="F","W-UNPL-"&amp;RIGHT(M20,20),M20),'[1]Data Pule'!$C:$E,3,FALSE),0)*O20</f>
        <v>1085.2002</v>
      </c>
      <c r="Q20" s="1" t="str">
        <f>VLOOKUP(L20,'[1]Plate Infor'!$B:$E,4,FALSE)</f>
        <v>W-FOPL-CG85NXX-T3L0-02-7S00</v>
      </c>
      <c r="R20" s="1" t="str">
        <f>VLOOKUP(MID(Q20,8,4),'[1]Tipe Plate'!$C:$D,2,FALSE)</f>
        <v>Grid Casting</v>
      </c>
      <c r="S20" s="4">
        <f>VLOOKUP(L20,'[1]Plate Infor'!$B:$F,5,FALSE)*D20</f>
        <v>6840</v>
      </c>
      <c r="T20" s="4">
        <f>IFERROR(VLOOKUP(IF(MID(Q20,3,1)="F","W-UNPL-"&amp;RIGHT(Q20,20),Q20),'[1]Data Pule'!$C:$E,3,FALSE),0)*S20</f>
        <v>893.98799999999983</v>
      </c>
    </row>
    <row r="21" spans="3:20" x14ac:dyDescent="0.35">
      <c r="C21" s="1" t="s">
        <v>18</v>
      </c>
      <c r="D21">
        <v>105</v>
      </c>
      <c r="E21" s="3" t="str">
        <f>MID(C21,5,1)</f>
        <v>D</v>
      </c>
      <c r="F21" s="3"/>
      <c r="G21" s="3"/>
      <c r="H21" s="3"/>
      <c r="I21" s="3"/>
      <c r="J21" s="3"/>
      <c r="K21" s="3"/>
      <c r="L21" s="1" t="str">
        <f>MID(C21,3,17)</f>
        <v>ACDP-48D26RX-A9C3</v>
      </c>
      <c r="M21" s="1" t="str">
        <f>VLOOKUP(L21,'[1]Plate Infor'!$B:$C,2,FALSE)</f>
        <v>W-FOPL-CG80PXX-L870-02-7S00</v>
      </c>
      <c r="N21" s="1" t="str">
        <f>VLOOKUP(MID(M21,8,4),'[1]Tipe Plate'!$C:$D,2,FALSE)</f>
        <v>Grid Casting</v>
      </c>
      <c r="O21" s="4">
        <f>VLOOKUP(L21,'[1]Plate Infor'!$B:$D,3,FALSE)*D21</f>
        <v>1260</v>
      </c>
      <c r="P21" s="4">
        <f>IFERROR(VLOOKUP(IF(MID(M21,3,1)="F","W-UNPL-"&amp;RIGHT(M21,20),M21),'[1]Data Pule'!$C:$E,3,FALSE),0)*O21</f>
        <v>190.38599999999997</v>
      </c>
      <c r="Q21" s="1" t="str">
        <f>VLOOKUP(L21,'[1]Plate Infor'!$B:$E,4,FALSE)</f>
        <v>W-FOPL-CG87NXX-T3L0-02-7S00</v>
      </c>
      <c r="R21" s="1" t="str">
        <f>VLOOKUP(MID(Q21,8,4),'[1]Tipe Plate'!$C:$D,2,FALSE)</f>
        <v>Grid Casting</v>
      </c>
      <c r="S21" s="4">
        <f>VLOOKUP(L21,'[1]Plate Infor'!$B:$F,5,FALSE)*D21</f>
        <v>1575</v>
      </c>
      <c r="T21" s="4">
        <f>IFERROR(VLOOKUP(IF(MID(Q21,3,1)="F","W-UNPL-"&amp;RIGHT(Q21,20),Q21),'[1]Data Pule'!$C:$E,3,FALSE),0)*S21</f>
        <v>181.125</v>
      </c>
    </row>
    <row r="22" spans="3:20" x14ac:dyDescent="0.35">
      <c r="C22" s="1" t="s">
        <v>19</v>
      </c>
      <c r="D22">
        <v>524</v>
      </c>
      <c r="E22" s="3" t="str">
        <f>MID(C22,5,1)</f>
        <v>D</v>
      </c>
      <c r="F22" s="3"/>
      <c r="G22" s="3"/>
      <c r="H22" s="3"/>
      <c r="I22" s="3"/>
      <c r="J22" s="3"/>
      <c r="K22" s="3"/>
      <c r="L22" s="1" t="str">
        <f>MID(C22,3,17)</f>
        <v>ACDP-65D31RX-B5C1</v>
      </c>
      <c r="M22" s="1" t="str">
        <f>VLOOKUP(L22,'[1]Plate Infor'!$B:$C,2,FALSE)</f>
        <v>W-FOPL-CG82PXX-L870-02-7S00</v>
      </c>
      <c r="N22" s="1" t="str">
        <f>VLOOKUP(MID(M22,8,4),'[1]Tipe Plate'!$C:$D,2,FALSE)</f>
        <v>Grid Casting</v>
      </c>
      <c r="O22" s="4">
        <f>VLOOKUP(L22,'[1]Plate Infor'!$B:$D,3,FALSE)*D22</f>
        <v>12576</v>
      </c>
      <c r="P22" s="4">
        <f>IFERROR(VLOOKUP(IF(MID(M22,3,1)="F","W-UNPL-"&amp;RIGHT(M22,20),M22),'[1]Data Pule'!$C:$E,3,FALSE),0)*O22</f>
        <v>1616.0159999999996</v>
      </c>
      <c r="Q22" s="1" t="str">
        <f>VLOOKUP(L22,'[1]Plate Infor'!$B:$E,4,FALSE)</f>
        <v>W-FOPL-CG85NXX-T3L0-02-7S00</v>
      </c>
      <c r="R22" s="1" t="str">
        <f>VLOOKUP(MID(Q22,8,4),'[1]Tipe Plate'!$C:$D,2,FALSE)</f>
        <v>Grid Casting</v>
      </c>
      <c r="S22" s="4">
        <f>VLOOKUP(L22,'[1]Plate Infor'!$B:$F,5,FALSE)*D22</f>
        <v>11004</v>
      </c>
      <c r="T22" s="4">
        <f>IFERROR(VLOOKUP(IF(MID(Q22,3,1)="F","W-UNPL-"&amp;RIGHT(Q22,20),Q22),'[1]Data Pule'!$C:$E,3,FALSE),0)*S22</f>
        <v>1438.2227999999998</v>
      </c>
    </row>
    <row r="23" spans="3:20" x14ac:dyDescent="0.35">
      <c r="C23" s="1" t="s">
        <v>20</v>
      </c>
      <c r="D23">
        <v>15</v>
      </c>
      <c r="E23" s="3" t="str">
        <f>MID(C23,5,1)</f>
        <v>D</v>
      </c>
      <c r="F23" s="3"/>
      <c r="G23" s="3"/>
      <c r="H23" s="3"/>
      <c r="I23" s="3"/>
      <c r="J23" s="3"/>
      <c r="K23" s="3"/>
      <c r="L23" s="1" t="str">
        <f>MID(C23,3,17)</f>
        <v>ACDP-65D31RX-B3C3</v>
      </c>
      <c r="M23" s="1" t="str">
        <f>VLOOKUP(L23,'[1]Plate Infor'!$B:$C,2,FALSE)</f>
        <v>W-FOPL-CG82PXX-L870-02-7S00</v>
      </c>
      <c r="N23" s="1" t="str">
        <f>VLOOKUP(MID(M23,8,4),'[1]Tipe Plate'!$C:$D,2,FALSE)</f>
        <v>Grid Casting</v>
      </c>
      <c r="O23" s="4">
        <f>VLOOKUP(L23,'[1]Plate Infor'!$B:$D,3,FALSE)*D23</f>
        <v>270</v>
      </c>
      <c r="P23" s="4">
        <f>IFERROR(VLOOKUP(IF(MID(M23,3,1)="F","W-UNPL-"&amp;RIGHT(M23,20),M23),'[1]Data Pule'!$C:$E,3,FALSE),0)*O23</f>
        <v>34.694999999999993</v>
      </c>
      <c r="Q23" s="1" t="str">
        <f>VLOOKUP(L23,'[1]Plate Infor'!$B:$E,4,FALSE)</f>
        <v>W-FOPL-CG87NXX-T3L0-02-7S00</v>
      </c>
      <c r="R23" s="1" t="str">
        <f>VLOOKUP(MID(Q23,8,4),'[1]Tipe Plate'!$C:$D,2,FALSE)</f>
        <v>Grid Casting</v>
      </c>
      <c r="S23" s="4">
        <f>VLOOKUP(L23,'[1]Plate Infor'!$B:$F,5,FALSE)*D23</f>
        <v>315</v>
      </c>
      <c r="T23" s="4">
        <f>IFERROR(VLOOKUP(IF(MID(Q23,3,1)="F","W-UNPL-"&amp;RIGHT(Q23,20),Q23),'[1]Data Pule'!$C:$E,3,FALSE),0)*S23</f>
        <v>36.225000000000001</v>
      </c>
    </row>
    <row r="24" spans="3:20" x14ac:dyDescent="0.35">
      <c r="C24" s="1" t="s">
        <v>21</v>
      </c>
      <c r="D24">
        <v>31</v>
      </c>
      <c r="E24" s="3" t="str">
        <f>MID(C24,5,1)</f>
        <v>D</v>
      </c>
      <c r="F24" s="3"/>
      <c r="G24" s="3"/>
      <c r="H24" s="3"/>
      <c r="I24" s="3"/>
      <c r="J24" s="3"/>
      <c r="K24" s="3"/>
      <c r="L24" s="1" t="str">
        <f>MID(C24,3,17)</f>
        <v>ACDP-65D31RX-B3C3</v>
      </c>
      <c r="M24" s="1" t="str">
        <f>VLOOKUP(L24,'[1]Plate Infor'!$B:$C,2,FALSE)</f>
        <v>W-FOPL-CG82PXX-L870-02-7S00</v>
      </c>
      <c r="N24" s="1" t="str">
        <f>VLOOKUP(MID(M24,8,4),'[1]Tipe Plate'!$C:$D,2,FALSE)</f>
        <v>Grid Casting</v>
      </c>
      <c r="O24" s="4">
        <f>VLOOKUP(L24,'[1]Plate Infor'!$B:$D,3,FALSE)*D24</f>
        <v>558</v>
      </c>
      <c r="P24" s="4">
        <f>IFERROR(VLOOKUP(IF(MID(M24,3,1)="F","W-UNPL-"&amp;RIGHT(M24,20),M24),'[1]Data Pule'!$C:$E,3,FALSE),0)*O24</f>
        <v>71.702999999999989</v>
      </c>
      <c r="Q24" s="1" t="str">
        <f>VLOOKUP(L24,'[1]Plate Infor'!$B:$E,4,FALSE)</f>
        <v>W-FOPL-CG87NXX-T3L0-02-7S00</v>
      </c>
      <c r="R24" s="1" t="str">
        <f>VLOOKUP(MID(Q24,8,4),'[1]Tipe Plate'!$C:$D,2,FALSE)</f>
        <v>Grid Casting</v>
      </c>
      <c r="S24" s="4">
        <f>VLOOKUP(L24,'[1]Plate Infor'!$B:$F,5,FALSE)*D24</f>
        <v>651</v>
      </c>
      <c r="T24" s="4">
        <f>IFERROR(VLOOKUP(IF(MID(Q24,3,1)="F","W-UNPL-"&amp;RIGHT(Q24,20),Q24),'[1]Data Pule'!$C:$E,3,FALSE),0)*S24</f>
        <v>74.865000000000009</v>
      </c>
    </row>
    <row r="25" spans="3:20" x14ac:dyDescent="0.35">
      <c r="C25" s="1" t="s">
        <v>8</v>
      </c>
      <c r="D25">
        <v>12</v>
      </c>
      <c r="E25" s="3" t="str">
        <f>MID(C25,5,1)</f>
        <v>W</v>
      </c>
      <c r="F25" s="3"/>
      <c r="G25" s="3"/>
      <c r="H25" s="3"/>
      <c r="I25" s="3"/>
      <c r="J25" s="3"/>
      <c r="K25" s="3"/>
      <c r="L25" s="1" t="str">
        <f>MID(C25,3,17)</f>
        <v>AMWP-145G51X-C7C3</v>
      </c>
      <c r="M25" s="1" t="str">
        <f>VLOOKUP(L25,'[1]Plate Infor'!$B:$C,2,FALSE)</f>
        <v>W-UNPL-YG82PXX-L650-02-7S00</v>
      </c>
      <c r="N25" s="1" t="str">
        <f>VLOOKUP(MID(M25,8,4),'[1]Tipe Plate'!$C:$D,2,FALSE)</f>
        <v>Grid Casting</v>
      </c>
      <c r="O25" s="4">
        <f>VLOOKUP(L25,'[1]Plate Infor'!$B:$D,3,FALSE)*D25</f>
        <v>504</v>
      </c>
      <c r="P25" s="4">
        <f>IFERROR(VLOOKUP(IF(MID(M25,3,1)="F","W-UNPL-"&amp;RIGHT(M25,20),M25),'[1]Data Pule'!$C:$E,3,FALSE),0)*O25</f>
        <v>69.3</v>
      </c>
      <c r="Q25" s="1" t="str">
        <f>VLOOKUP(L25,'[1]Plate Infor'!$B:$E,4,FALSE)</f>
        <v>W-UNPL-YG85NXX-T3A0-02-7S00</v>
      </c>
      <c r="R25" s="1" t="str">
        <f>VLOOKUP(MID(Q25,8,4),'[1]Tipe Plate'!$C:$D,2,FALSE)</f>
        <v>Grid Casting</v>
      </c>
      <c r="S25" s="4">
        <f>VLOOKUP(L25,'[1]Plate Infor'!$B:$F,5,FALSE)*D25</f>
        <v>468</v>
      </c>
      <c r="T25" s="4">
        <f>IFERROR(VLOOKUP(IF(MID(Q25,3,1)="F","W-UNPL-"&amp;RIGHT(Q25,20),Q25),'[1]Data Pule'!$C:$E,3,FALSE),0)*S25</f>
        <v>61.167599999999993</v>
      </c>
    </row>
    <row r="26" spans="3:20" x14ac:dyDescent="0.35">
      <c r="C26" s="1" t="s">
        <v>18</v>
      </c>
      <c r="D26">
        <v>70</v>
      </c>
      <c r="E26" s="3" t="str">
        <f>MID(C26,5,1)</f>
        <v>D</v>
      </c>
      <c r="F26" s="3"/>
      <c r="G26" s="3"/>
      <c r="H26" s="3"/>
      <c r="I26" s="3"/>
      <c r="J26" s="3"/>
      <c r="K26" s="3"/>
      <c r="L26" s="1" t="str">
        <f>MID(C26,3,17)</f>
        <v>ACDP-48D26RX-A9C3</v>
      </c>
      <c r="M26" s="1" t="str">
        <f>VLOOKUP(L26,'[1]Plate Infor'!$B:$C,2,FALSE)</f>
        <v>W-FOPL-CG80PXX-L870-02-7S00</v>
      </c>
      <c r="N26" s="1" t="str">
        <f>VLOOKUP(MID(M26,8,4),'[1]Tipe Plate'!$C:$D,2,FALSE)</f>
        <v>Grid Casting</v>
      </c>
      <c r="O26" s="4">
        <f>VLOOKUP(L26,'[1]Plate Infor'!$B:$D,3,FALSE)*D26</f>
        <v>840</v>
      </c>
      <c r="P26" s="4">
        <f>IFERROR(VLOOKUP(IF(MID(M26,3,1)="F","W-UNPL-"&amp;RIGHT(M26,20),M26),'[1]Data Pule'!$C:$E,3,FALSE),0)*O26</f>
        <v>126.92399999999999</v>
      </c>
      <c r="Q26" s="1" t="str">
        <f>VLOOKUP(L26,'[1]Plate Infor'!$B:$E,4,FALSE)</f>
        <v>W-FOPL-CG87NXX-T3L0-02-7S00</v>
      </c>
      <c r="R26" s="1" t="str">
        <f>VLOOKUP(MID(Q26,8,4),'[1]Tipe Plate'!$C:$D,2,FALSE)</f>
        <v>Grid Casting</v>
      </c>
      <c r="S26" s="4">
        <f>VLOOKUP(L26,'[1]Plate Infor'!$B:$F,5,FALSE)*D26</f>
        <v>1050</v>
      </c>
      <c r="T26" s="4">
        <f>IFERROR(VLOOKUP(IF(MID(Q26,3,1)="F","W-UNPL-"&amp;RIGHT(Q26,20),Q26),'[1]Data Pule'!$C:$E,3,FALSE),0)*S26</f>
        <v>120.75</v>
      </c>
    </row>
    <row r="27" spans="3:20" x14ac:dyDescent="0.35">
      <c r="C27" s="1" t="s">
        <v>22</v>
      </c>
      <c r="D27">
        <v>30</v>
      </c>
      <c r="E27" s="3" t="str">
        <f>MID(C27,5,1)</f>
        <v>W</v>
      </c>
      <c r="F27" s="3"/>
      <c r="G27" s="3"/>
      <c r="H27" s="3"/>
      <c r="I27" s="3"/>
      <c r="J27" s="3"/>
      <c r="K27" s="3"/>
      <c r="L27" s="1" t="str">
        <f>MID(C27,3,17)</f>
        <v>AMWP-4D200RX-E0C3</v>
      </c>
      <c r="M27" s="1" t="str">
        <f>VLOOKUP(L27,'[1]Plate Infor'!$B:$C,2,FALSE)</f>
        <v>W-UNPL-YG79HDP-L650-02-7S00</v>
      </c>
      <c r="N27" s="1" t="str">
        <f>VLOOKUP(MID(M27,8,4),'[1]Tipe Plate'!$C:$D,2,FALSE)</f>
        <v>Grid Casting</v>
      </c>
      <c r="O27" s="4">
        <f>VLOOKUP(L27,'[1]Plate Infor'!$B:$D,3,FALSE)*D27</f>
        <v>1800</v>
      </c>
      <c r="P27" s="4">
        <f>IFERROR(VLOOKUP(IF(MID(M27,3,1)="F","W-UNPL-"&amp;RIGHT(M27,20),M27),'[1]Data Pule'!$C:$E,3,FALSE),0)*O27</f>
        <v>259.73999999999995</v>
      </c>
      <c r="Q27" s="1" t="str">
        <f>VLOOKUP(L27,'[1]Plate Infor'!$B:$E,4,FALSE)</f>
        <v>W-UNPL-YG85NXX-T3A0-02-7S00</v>
      </c>
      <c r="R27" s="1" t="str">
        <f>VLOOKUP(MID(Q27,8,4),'[1]Tipe Plate'!$C:$D,2,FALSE)</f>
        <v>Grid Casting</v>
      </c>
      <c r="S27" s="4">
        <f>VLOOKUP(L27,'[1]Plate Infor'!$B:$F,5,FALSE)*D27</f>
        <v>1800</v>
      </c>
      <c r="T27" s="4">
        <f>IFERROR(VLOOKUP(IF(MID(Q27,3,1)="F","W-UNPL-"&amp;RIGHT(Q27,20),Q27),'[1]Data Pule'!$C:$E,3,FALSE),0)*S27</f>
        <v>235.25999999999996</v>
      </c>
    </row>
    <row r="28" spans="3:20" x14ac:dyDescent="0.35">
      <c r="C28" s="1" t="s">
        <v>23</v>
      </c>
      <c r="D28">
        <v>2</v>
      </c>
      <c r="E28" s="3" t="str">
        <f>MID(C28,5,1)</f>
        <v>W</v>
      </c>
      <c r="F28" s="3"/>
      <c r="G28" s="3"/>
      <c r="H28" s="3"/>
      <c r="I28" s="3"/>
      <c r="J28" s="3"/>
      <c r="K28" s="3"/>
      <c r="L28" s="1" t="str">
        <f>MID(C28,3,17)</f>
        <v>AMWP-4D150RX-D1C3</v>
      </c>
      <c r="M28" s="1" t="str">
        <f>VLOOKUP(L28,'[1]Plate Infor'!$B:$C,2,FALSE)</f>
        <v>W-UNPL-YG79HDP-L650-02-7S00</v>
      </c>
      <c r="N28" s="1" t="str">
        <f>VLOOKUP(MID(M28,8,4),'[1]Tipe Plate'!$C:$D,2,FALSE)</f>
        <v>Grid Casting</v>
      </c>
      <c r="O28" s="4">
        <f>VLOOKUP(L28,'[1]Plate Infor'!$B:$D,3,FALSE)*D28</f>
        <v>90</v>
      </c>
      <c r="P28" s="4">
        <f>IFERROR(VLOOKUP(IF(MID(M28,3,1)="F","W-UNPL-"&amp;RIGHT(M28,20),M28),'[1]Data Pule'!$C:$E,3,FALSE),0)*O28</f>
        <v>12.986999999999998</v>
      </c>
      <c r="Q28" s="1" t="str">
        <f>VLOOKUP(L28,'[1]Plate Infor'!$B:$E,4,FALSE)</f>
        <v>W-UNPL-YG85NXX-T3A0-02-7S00</v>
      </c>
      <c r="R28" s="1" t="str">
        <f>VLOOKUP(MID(Q28,8,4),'[1]Tipe Plate'!$C:$D,2,FALSE)</f>
        <v>Grid Casting</v>
      </c>
      <c r="S28" s="4">
        <f>VLOOKUP(L28,'[1]Plate Infor'!$B:$F,5,FALSE)*D28</f>
        <v>96</v>
      </c>
      <c r="T28" s="4">
        <f>IFERROR(VLOOKUP(IF(MID(Q28,3,1)="F","W-UNPL-"&amp;RIGHT(Q28,20),Q28),'[1]Data Pule'!$C:$E,3,FALSE),0)*S28</f>
        <v>12.547199999999998</v>
      </c>
    </row>
    <row r="29" spans="3:20" x14ac:dyDescent="0.35">
      <c r="C29" s="1" t="s">
        <v>7</v>
      </c>
      <c r="D29">
        <v>20</v>
      </c>
      <c r="E29" s="3" t="str">
        <f>MID(C29,5,1)</f>
        <v>W</v>
      </c>
      <c r="F29" s="3"/>
      <c r="G29" s="3"/>
      <c r="H29" s="3"/>
      <c r="I29" s="3"/>
      <c r="J29" s="3"/>
      <c r="K29" s="3"/>
      <c r="L29" s="1" t="str">
        <f>MID(C29,3,17)</f>
        <v>AMWP-95E41RX-B7C3</v>
      </c>
      <c r="M29" s="1" t="str">
        <f>VLOOKUP(L29,'[1]Plate Infor'!$B:$C,2,FALSE)</f>
        <v>W-UNPL-YG8079P-L650-02-7S00</v>
      </c>
      <c r="N29" s="1" t="str">
        <f>VLOOKUP(MID(M29,8,4),'[1]Tipe Plate'!$C:$D,2,FALSE)</f>
        <v>Grid Casting</v>
      </c>
      <c r="O29" s="4">
        <f>VLOOKUP(L29,'[1]Plate Infor'!$B:$D,3,FALSE)*D29</f>
        <v>480</v>
      </c>
      <c r="P29" s="4">
        <f>IFERROR(VLOOKUP(IF(MID(M29,3,1)="F","W-UNPL-"&amp;RIGHT(M29,20),M29),'[1]Data Pule'!$C:$E,3,FALSE),0)*O29</f>
        <v>75.84</v>
      </c>
      <c r="Q29" s="1" t="str">
        <f>VLOOKUP(L29,'[1]Plate Infor'!$B:$E,4,FALSE)</f>
        <v>W-UNPL-YG85NXX-T3A0-02-7S00</v>
      </c>
      <c r="R29" s="1" t="str">
        <f>VLOOKUP(MID(Q29,8,4),'[1]Tipe Plate'!$C:$D,2,FALSE)</f>
        <v>Grid Casting</v>
      </c>
      <c r="S29" s="4">
        <f>VLOOKUP(L29,'[1]Plate Infor'!$B:$F,5,FALSE)*D29</f>
        <v>540</v>
      </c>
      <c r="T29" s="4">
        <f>IFERROR(VLOOKUP(IF(MID(Q29,3,1)="F","W-UNPL-"&amp;RIGHT(Q29,20),Q29),'[1]Data Pule'!$C:$E,3,FALSE),0)*S29</f>
        <v>70.577999999999989</v>
      </c>
    </row>
    <row r="30" spans="3:20" x14ac:dyDescent="0.35">
      <c r="C30" s="1" t="s">
        <v>10</v>
      </c>
      <c r="D30">
        <v>60</v>
      </c>
      <c r="E30" s="3" t="str">
        <f>MID(C30,5,1)</f>
        <v>W</v>
      </c>
      <c r="F30" s="3"/>
      <c r="G30" s="3"/>
      <c r="H30" s="3"/>
      <c r="I30" s="3"/>
      <c r="J30" s="3"/>
      <c r="K30" s="3"/>
      <c r="L30" s="1" t="str">
        <f>MID(C30,3,17)</f>
        <v>AMWP-210H52X-E0C1</v>
      </c>
      <c r="M30" s="1" t="str">
        <f>VLOOKUP(L30,'[1]Plate Infor'!$B:$C,2,FALSE)</f>
        <v>W-UNPL-YG79HDP-L650-02-7S00</v>
      </c>
      <c r="N30" s="1" t="str">
        <f>VLOOKUP(MID(M30,8,4),'[1]Tipe Plate'!$C:$D,2,FALSE)</f>
        <v>Grid Casting</v>
      </c>
      <c r="O30" s="4">
        <f>VLOOKUP(L30,'[1]Plate Infor'!$B:$D,3,FALSE)*D30</f>
        <v>3600</v>
      </c>
      <c r="P30" s="4">
        <f>IFERROR(VLOOKUP(IF(MID(M30,3,1)="F","W-UNPL-"&amp;RIGHT(M30,20),M30),'[1]Data Pule'!$C:$E,3,FALSE),0)*O30</f>
        <v>519.4799999999999</v>
      </c>
      <c r="Q30" s="1" t="str">
        <f>VLOOKUP(L30,'[1]Plate Infor'!$B:$E,4,FALSE)</f>
        <v>W-UNPL-YG85NXX-T3A0-02-7S00</v>
      </c>
      <c r="R30" s="1" t="str">
        <f>VLOOKUP(MID(Q30,8,4),'[1]Tipe Plate'!$C:$D,2,FALSE)</f>
        <v>Grid Casting</v>
      </c>
      <c r="S30" s="4">
        <f>VLOOKUP(L30,'[1]Plate Infor'!$B:$F,5,FALSE)*D30</f>
        <v>3600</v>
      </c>
      <c r="T30" s="4">
        <f>IFERROR(VLOOKUP(IF(MID(Q30,3,1)="F","W-UNPL-"&amp;RIGHT(Q30,20),Q30),'[1]Data Pule'!$C:$E,3,FALSE),0)*S30</f>
        <v>470.51999999999992</v>
      </c>
    </row>
    <row r="31" spans="3:20" x14ac:dyDescent="0.35">
      <c r="C31" s="1" t="s">
        <v>12</v>
      </c>
      <c r="D31">
        <v>70</v>
      </c>
      <c r="E31" s="3" t="str">
        <f>MID(C31,5,1)</f>
        <v>W</v>
      </c>
      <c r="F31" s="3"/>
      <c r="G31" s="3"/>
      <c r="H31" s="3"/>
      <c r="I31" s="3"/>
      <c r="J31" s="3"/>
      <c r="K31" s="3"/>
      <c r="L31" s="1" t="str">
        <f>MID(C31,3,17)</f>
        <v>AMWP-65D31RX-B2P3</v>
      </c>
      <c r="M31" s="1" t="str">
        <f>VLOOKUP(L31,'[1]Plate Infor'!$B:$C,2,FALSE)</f>
        <v>W-UNPL-WG83PXX-L65F-00-7C00</v>
      </c>
      <c r="N31" s="1" t="str">
        <f>VLOOKUP(MID(M31,8,4),'[1]Tipe Plate'!$C:$D,2,FALSE)</f>
        <v>Grid Punching</v>
      </c>
      <c r="O31" s="4">
        <f>VLOOKUP(L31,'[1]Plate Infor'!$B:$D,3,FALSE)*D31</f>
        <v>1260</v>
      </c>
      <c r="P31" s="4">
        <f>IFERROR(VLOOKUP(IF(MID(M31,3,1)="F","W-UNPL-"&amp;RIGHT(M31,20),M31),'[1]Data Pule'!$C:$E,3,FALSE),0)*O31</f>
        <v>213.31799999999998</v>
      </c>
      <c r="Q31" s="1" t="str">
        <f>VLOOKUP(L31,'[1]Plate Infor'!$B:$E,4,FALSE)</f>
        <v>W-UNPL-WG87NXX-T3AF-00-7C00</v>
      </c>
      <c r="R31" s="1" t="str">
        <f>VLOOKUP(MID(Q31,8,4),'[1]Tipe Plate'!$C:$D,2,FALSE)</f>
        <v>Grid Punching</v>
      </c>
      <c r="S31" s="4">
        <f>VLOOKUP(L31,'[1]Plate Infor'!$B:$F,5,FALSE)*D31</f>
        <v>1260</v>
      </c>
      <c r="T31" s="4">
        <f>IFERROR(VLOOKUP(IF(MID(Q31,3,1)="F","W-UNPL-"&amp;RIGHT(Q31,20),Q31),'[1]Data Pule'!$C:$E,3,FALSE),0)*S31</f>
        <v>164.68199999999999</v>
      </c>
    </row>
    <row r="32" spans="3:20" x14ac:dyDescent="0.35">
      <c r="C32" s="1" t="s">
        <v>7</v>
      </c>
      <c r="D32">
        <v>50</v>
      </c>
      <c r="E32" s="3" t="str">
        <f>MID(C32,5,1)</f>
        <v>W</v>
      </c>
      <c r="F32" s="3"/>
      <c r="G32" s="3"/>
      <c r="H32" s="3"/>
      <c r="I32" s="3"/>
      <c r="J32" s="3"/>
      <c r="K32" s="3"/>
      <c r="L32" s="1" t="str">
        <f>MID(C32,3,17)</f>
        <v>AMWP-95E41RX-B7C3</v>
      </c>
      <c r="M32" s="1" t="str">
        <f>VLOOKUP(L32,'[1]Plate Infor'!$B:$C,2,FALSE)</f>
        <v>W-UNPL-YG8079P-L650-02-7S00</v>
      </c>
      <c r="N32" s="1" t="str">
        <f>VLOOKUP(MID(M32,8,4),'[1]Tipe Plate'!$C:$D,2,FALSE)</f>
        <v>Grid Casting</v>
      </c>
      <c r="O32" s="4">
        <f>VLOOKUP(L32,'[1]Plate Infor'!$B:$D,3,FALSE)*D32</f>
        <v>1200</v>
      </c>
      <c r="P32" s="4">
        <f>IFERROR(VLOOKUP(IF(MID(M32,3,1)="F","W-UNPL-"&amp;RIGHT(M32,20),M32),'[1]Data Pule'!$C:$E,3,FALSE),0)*O32</f>
        <v>189.6</v>
      </c>
      <c r="Q32" s="1" t="str">
        <f>VLOOKUP(L32,'[1]Plate Infor'!$B:$E,4,FALSE)</f>
        <v>W-UNPL-YG85NXX-T3A0-02-7S00</v>
      </c>
      <c r="R32" s="1" t="str">
        <f>VLOOKUP(MID(Q32,8,4),'[1]Tipe Plate'!$C:$D,2,FALSE)</f>
        <v>Grid Casting</v>
      </c>
      <c r="S32" s="4">
        <f>VLOOKUP(L32,'[1]Plate Infor'!$B:$F,5,FALSE)*D32</f>
        <v>1350</v>
      </c>
      <c r="T32" s="4">
        <f>IFERROR(VLOOKUP(IF(MID(Q32,3,1)="F","W-UNPL-"&amp;RIGHT(Q32,20),Q32),'[1]Data Pule'!$C:$E,3,FALSE),0)*S32</f>
        <v>176.44499999999996</v>
      </c>
    </row>
    <row r="33" spans="3:20" x14ac:dyDescent="0.35">
      <c r="C33" s="1" t="s">
        <v>19</v>
      </c>
      <c r="D33">
        <v>100</v>
      </c>
      <c r="E33" s="3" t="str">
        <f>MID(C33,5,1)</f>
        <v>D</v>
      </c>
      <c r="F33" s="3"/>
      <c r="G33" s="3"/>
      <c r="H33" s="3"/>
      <c r="I33" s="3"/>
      <c r="J33" s="3"/>
      <c r="K33" s="3"/>
      <c r="L33" s="1" t="str">
        <f>MID(C33,3,17)</f>
        <v>ACDP-65D31RX-B5C1</v>
      </c>
      <c r="M33" s="1" t="str">
        <f>VLOOKUP(L33,'[1]Plate Infor'!$B:$C,2,FALSE)</f>
        <v>W-FOPL-CG82PXX-L870-02-7S00</v>
      </c>
      <c r="N33" s="1" t="str">
        <f>VLOOKUP(MID(M33,8,4),'[1]Tipe Plate'!$C:$D,2,FALSE)</f>
        <v>Grid Casting</v>
      </c>
      <c r="O33" s="4">
        <f>VLOOKUP(L33,'[1]Plate Infor'!$B:$D,3,FALSE)*D33</f>
        <v>2400</v>
      </c>
      <c r="P33" s="4">
        <f>IFERROR(VLOOKUP(IF(MID(M33,3,1)="F","W-UNPL-"&amp;RIGHT(M33,20),M33),'[1]Data Pule'!$C:$E,3,FALSE),0)*O33</f>
        <v>308.39999999999992</v>
      </c>
      <c r="Q33" s="1" t="str">
        <f>VLOOKUP(L33,'[1]Plate Infor'!$B:$E,4,FALSE)</f>
        <v>W-FOPL-CG85NXX-T3L0-02-7S00</v>
      </c>
      <c r="R33" s="1" t="str">
        <f>VLOOKUP(MID(Q33,8,4),'[1]Tipe Plate'!$C:$D,2,FALSE)</f>
        <v>Grid Casting</v>
      </c>
      <c r="S33" s="4">
        <f>VLOOKUP(L33,'[1]Plate Infor'!$B:$F,5,FALSE)*D33</f>
        <v>2100</v>
      </c>
      <c r="T33" s="4">
        <f>IFERROR(VLOOKUP(IF(MID(Q33,3,1)="F","W-UNPL-"&amp;RIGHT(Q33,20),Q33),'[1]Data Pule'!$C:$E,3,FALSE),0)*S33</f>
        <v>274.46999999999997</v>
      </c>
    </row>
    <row r="34" spans="3:20" x14ac:dyDescent="0.35">
      <c r="C34" s="1" t="s">
        <v>13</v>
      </c>
      <c r="D34">
        <v>32</v>
      </c>
      <c r="E34" s="3" t="str">
        <f>MID(C34,5,1)</f>
        <v>D</v>
      </c>
      <c r="F34" s="3"/>
      <c r="G34" s="3"/>
      <c r="H34" s="3"/>
      <c r="I34" s="3"/>
      <c r="J34" s="3"/>
      <c r="K34" s="3"/>
      <c r="L34" s="1" t="str">
        <f>MID(C34,3,17)</f>
        <v>ACDP-95E41RX-C1C1</v>
      </c>
      <c r="M34" s="1" t="str">
        <f>VLOOKUP(L34,'[1]Plate Infor'!$B:$C,2,FALSE)</f>
        <v>W-FOPL-CG80PXX-L870-02-7S00</v>
      </c>
      <c r="N34" s="1" t="str">
        <f>VLOOKUP(MID(M34,8,4),'[1]Tipe Plate'!$C:$D,2,FALSE)</f>
        <v>Grid Casting</v>
      </c>
      <c r="O34" s="4">
        <f>VLOOKUP(L34,'[1]Plate Infor'!$B:$D,3,FALSE)*D34</f>
        <v>1056</v>
      </c>
      <c r="P34" s="4">
        <f>IFERROR(VLOOKUP(IF(MID(M34,3,1)="F","W-UNPL-"&amp;RIGHT(M34,20),M34),'[1]Data Pule'!$C:$E,3,FALSE),0)*O34</f>
        <v>159.56159999999997</v>
      </c>
      <c r="Q34" s="1" t="str">
        <f>VLOOKUP(L34,'[1]Plate Infor'!$B:$E,4,FALSE)</f>
        <v>W-FOPL-CG85NXX-T3L0-02-7S00</v>
      </c>
      <c r="R34" s="1" t="str">
        <f>VLOOKUP(MID(Q34,8,4),'[1]Tipe Plate'!$C:$D,2,FALSE)</f>
        <v>Grid Casting</v>
      </c>
      <c r="S34" s="4">
        <f>VLOOKUP(L34,'[1]Plate Infor'!$B:$F,5,FALSE)*D34</f>
        <v>960</v>
      </c>
      <c r="T34" s="4">
        <f>IFERROR(VLOOKUP(IF(MID(Q34,3,1)="F","W-UNPL-"&amp;RIGHT(Q34,20),Q34),'[1]Data Pule'!$C:$E,3,FALSE),0)*S34</f>
        <v>125.47199999999998</v>
      </c>
    </row>
    <row r="35" spans="3:20" x14ac:dyDescent="0.35">
      <c r="C35" s="1" t="s">
        <v>15</v>
      </c>
      <c r="D35">
        <v>29</v>
      </c>
      <c r="E35" s="3" t="str">
        <f>MID(C35,5,1)</f>
        <v>D</v>
      </c>
      <c r="F35" s="3"/>
      <c r="G35" s="3"/>
      <c r="H35" s="3"/>
      <c r="I35" s="3"/>
      <c r="J35" s="3"/>
      <c r="K35" s="3"/>
      <c r="L35" s="1" t="str">
        <f>MID(C35,3,17)</f>
        <v>ACDP-145G51X-D1C1</v>
      </c>
      <c r="M35" s="1" t="str">
        <f>VLOOKUP(L35,'[1]Plate Infor'!$B:$C,2,FALSE)</f>
        <v>W-FOPL-CG80PXX-L870-02-7S00</v>
      </c>
      <c r="N35" s="1" t="str">
        <f>VLOOKUP(MID(M35,8,4),'[1]Tipe Plate'!$C:$D,2,FALSE)</f>
        <v>Grid Casting</v>
      </c>
      <c r="O35" s="4">
        <f>VLOOKUP(L35,'[1]Plate Infor'!$B:$D,3,FALSE)*D35</f>
        <v>1392</v>
      </c>
      <c r="P35" s="4">
        <f>IFERROR(VLOOKUP(IF(MID(M35,3,1)="F","W-UNPL-"&amp;RIGHT(M35,20),M35),'[1]Data Pule'!$C:$E,3,FALSE),0)*O35</f>
        <v>210.33119999999997</v>
      </c>
      <c r="Q35" s="1" t="str">
        <f>VLOOKUP(L35,'[1]Plate Infor'!$B:$E,4,FALSE)</f>
        <v>W-FOPL-CG85NXX-T3L0-02-7S00</v>
      </c>
      <c r="R35" s="1" t="str">
        <f>VLOOKUP(MID(Q35,8,4),'[1]Tipe Plate'!$C:$D,2,FALSE)</f>
        <v>Grid Casting</v>
      </c>
      <c r="S35" s="4">
        <f>VLOOKUP(L35,'[1]Plate Infor'!$B:$F,5,FALSE)*D35</f>
        <v>1305</v>
      </c>
      <c r="T35" s="4">
        <f>IFERROR(VLOOKUP(IF(MID(Q35,3,1)="F","W-UNPL-"&amp;RIGHT(Q35,20),Q35),'[1]Data Pule'!$C:$E,3,FALSE),0)*S35</f>
        <v>170.56349999999998</v>
      </c>
    </row>
    <row r="36" spans="3:20" x14ac:dyDescent="0.35">
      <c r="C36" s="1" t="s">
        <v>18</v>
      </c>
      <c r="D36">
        <v>20</v>
      </c>
      <c r="E36" s="3" t="str">
        <f>MID(C36,5,1)</f>
        <v>D</v>
      </c>
      <c r="F36" s="3"/>
      <c r="G36" s="3"/>
      <c r="H36" s="3"/>
      <c r="I36" s="3"/>
      <c r="J36" s="3"/>
      <c r="K36" s="3"/>
      <c r="L36" s="1" t="str">
        <f>MID(C36,3,17)</f>
        <v>ACDP-48D26RX-A9C3</v>
      </c>
      <c r="M36" s="1" t="str">
        <f>VLOOKUP(L36,'[1]Plate Infor'!$B:$C,2,FALSE)</f>
        <v>W-FOPL-CG80PXX-L870-02-7S00</v>
      </c>
      <c r="N36" s="1" t="str">
        <f>VLOOKUP(MID(M36,8,4),'[1]Tipe Plate'!$C:$D,2,FALSE)</f>
        <v>Grid Casting</v>
      </c>
      <c r="O36" s="4">
        <f>VLOOKUP(L36,'[1]Plate Infor'!$B:$D,3,FALSE)*D36</f>
        <v>240</v>
      </c>
      <c r="P36" s="4">
        <f>IFERROR(VLOOKUP(IF(MID(M36,3,1)="F","W-UNPL-"&amp;RIGHT(M36,20),M36),'[1]Data Pule'!$C:$E,3,FALSE),0)*O36</f>
        <v>36.263999999999996</v>
      </c>
      <c r="Q36" s="1" t="str">
        <f>VLOOKUP(L36,'[1]Plate Infor'!$B:$E,4,FALSE)</f>
        <v>W-FOPL-CG87NXX-T3L0-02-7S00</v>
      </c>
      <c r="R36" s="1" t="str">
        <f>VLOOKUP(MID(Q36,8,4),'[1]Tipe Plate'!$C:$D,2,FALSE)</f>
        <v>Grid Casting</v>
      </c>
      <c r="S36" s="4">
        <f>VLOOKUP(L36,'[1]Plate Infor'!$B:$F,5,FALSE)*D36</f>
        <v>300</v>
      </c>
      <c r="T36" s="4">
        <f>IFERROR(VLOOKUP(IF(MID(Q36,3,1)="F","W-UNPL-"&amp;RIGHT(Q36,20),Q36),'[1]Data Pule'!$C:$E,3,FALSE),0)*S36</f>
        <v>34.5</v>
      </c>
    </row>
    <row r="37" spans="3:20" x14ac:dyDescent="0.35">
      <c r="C37" s="1" t="s">
        <v>19</v>
      </c>
      <c r="D37">
        <v>14</v>
      </c>
      <c r="E37" s="3" t="str">
        <f>MID(C37,5,1)</f>
        <v>D</v>
      </c>
      <c r="F37" s="3"/>
      <c r="G37" s="3"/>
      <c r="H37" s="3"/>
      <c r="I37" s="3"/>
      <c r="J37" s="3"/>
      <c r="K37" s="3"/>
      <c r="L37" s="1" t="str">
        <f>MID(C37,3,17)</f>
        <v>ACDP-65D31RX-B5C1</v>
      </c>
      <c r="M37" s="1" t="str">
        <f>VLOOKUP(L37,'[1]Plate Infor'!$B:$C,2,FALSE)</f>
        <v>W-FOPL-CG82PXX-L870-02-7S00</v>
      </c>
      <c r="N37" s="1" t="str">
        <f>VLOOKUP(MID(M37,8,4),'[1]Tipe Plate'!$C:$D,2,FALSE)</f>
        <v>Grid Casting</v>
      </c>
      <c r="O37" s="4">
        <f>VLOOKUP(L37,'[1]Plate Infor'!$B:$D,3,FALSE)*D37</f>
        <v>336</v>
      </c>
      <c r="P37" s="4">
        <f>IFERROR(VLOOKUP(IF(MID(M37,3,1)="F","W-UNPL-"&amp;RIGHT(M37,20),M37),'[1]Data Pule'!$C:$E,3,FALSE),0)*O37</f>
        <v>43.175999999999995</v>
      </c>
      <c r="Q37" s="1" t="str">
        <f>VLOOKUP(L37,'[1]Plate Infor'!$B:$E,4,FALSE)</f>
        <v>W-FOPL-CG85NXX-T3L0-02-7S00</v>
      </c>
      <c r="R37" s="1" t="str">
        <f>VLOOKUP(MID(Q37,8,4),'[1]Tipe Plate'!$C:$D,2,FALSE)</f>
        <v>Grid Casting</v>
      </c>
      <c r="S37" s="4">
        <f>VLOOKUP(L37,'[1]Plate Infor'!$B:$F,5,FALSE)*D37</f>
        <v>294</v>
      </c>
      <c r="T37" s="4">
        <f>IFERROR(VLOOKUP(IF(MID(Q37,3,1)="F","W-UNPL-"&amp;RIGHT(Q37,20),Q37),'[1]Data Pule'!$C:$E,3,FALSE),0)*S37</f>
        <v>38.425799999999995</v>
      </c>
    </row>
    <row r="38" spans="3:20" x14ac:dyDescent="0.35">
      <c r="C38" s="1" t="s">
        <v>22</v>
      </c>
      <c r="D38">
        <v>30</v>
      </c>
      <c r="E38" s="3" t="str">
        <f>MID(C38,5,1)</f>
        <v>W</v>
      </c>
      <c r="F38" s="3"/>
      <c r="G38" s="3"/>
      <c r="H38" s="3"/>
      <c r="I38" s="3"/>
      <c r="J38" s="3"/>
      <c r="K38" s="3"/>
      <c r="L38" s="1" t="str">
        <f>MID(C38,3,17)</f>
        <v>AMWP-4D200RX-E0C3</v>
      </c>
      <c r="M38" s="1" t="str">
        <f>VLOOKUP(L38,'[1]Plate Infor'!$B:$C,2,FALSE)</f>
        <v>W-UNPL-YG79HDP-L650-02-7S00</v>
      </c>
      <c r="N38" s="1" t="str">
        <f>VLOOKUP(MID(M38,8,4),'[1]Tipe Plate'!$C:$D,2,FALSE)</f>
        <v>Grid Casting</v>
      </c>
      <c r="O38" s="4">
        <f>VLOOKUP(L38,'[1]Plate Infor'!$B:$D,3,FALSE)*D38</f>
        <v>1800</v>
      </c>
      <c r="P38" s="4">
        <f>IFERROR(VLOOKUP(IF(MID(M38,3,1)="F","W-UNPL-"&amp;RIGHT(M38,20),M38),'[1]Data Pule'!$C:$E,3,FALSE),0)*O38</f>
        <v>259.73999999999995</v>
      </c>
      <c r="Q38" s="1" t="str">
        <f>VLOOKUP(L38,'[1]Plate Infor'!$B:$E,4,FALSE)</f>
        <v>W-UNPL-YG85NXX-T3A0-02-7S00</v>
      </c>
      <c r="R38" s="1" t="str">
        <f>VLOOKUP(MID(Q38,8,4),'[1]Tipe Plate'!$C:$D,2,FALSE)</f>
        <v>Grid Casting</v>
      </c>
      <c r="S38" s="4">
        <f>VLOOKUP(L38,'[1]Plate Infor'!$B:$F,5,FALSE)*D38</f>
        <v>1800</v>
      </c>
      <c r="T38" s="4">
        <f>IFERROR(VLOOKUP(IF(MID(Q38,3,1)="F","W-UNPL-"&amp;RIGHT(Q38,20),Q38),'[1]Data Pule'!$C:$E,3,FALSE),0)*S38</f>
        <v>235.25999999999996</v>
      </c>
    </row>
    <row r="39" spans="3:20" x14ac:dyDescent="0.35">
      <c r="C39" s="1" t="s">
        <v>16</v>
      </c>
      <c r="D39">
        <v>15</v>
      </c>
      <c r="E39" s="3" t="str">
        <f>MID(C39,5,1)</f>
        <v>D</v>
      </c>
      <c r="F39" s="3"/>
      <c r="G39" s="3"/>
      <c r="H39" s="3"/>
      <c r="I39" s="3"/>
      <c r="J39" s="3"/>
      <c r="K39" s="3"/>
      <c r="L39" s="1" t="str">
        <f>MID(C39,3,17)</f>
        <v>ACDP-145G51X-C7C3</v>
      </c>
      <c r="M39" s="1" t="str">
        <f>VLOOKUP(L39,'[1]Plate Infor'!$B:$C,2,FALSE)</f>
        <v>W-FOPL-CG82PXX-L870-02-7S00</v>
      </c>
      <c r="N39" s="1" t="str">
        <f>VLOOKUP(MID(M39,8,4),'[1]Tipe Plate'!$C:$D,2,FALSE)</f>
        <v>Grid Casting</v>
      </c>
      <c r="O39" s="4">
        <f>VLOOKUP(L39,'[1]Plate Infor'!$B:$D,3,FALSE)*D39</f>
        <v>585</v>
      </c>
      <c r="P39" s="4">
        <f>IFERROR(VLOOKUP(IF(MID(M39,3,1)="F","W-UNPL-"&amp;RIGHT(M39,20),M39),'[1]Data Pule'!$C:$E,3,FALSE),0)*O39</f>
        <v>75.172499999999985</v>
      </c>
      <c r="Q39" s="1" t="str">
        <f>VLOOKUP(L39,'[1]Plate Infor'!$B:$E,4,FALSE)</f>
        <v>W-FOPL-CG87NXX-T3L0-02-7S00</v>
      </c>
      <c r="R39" s="1" t="str">
        <f>VLOOKUP(MID(Q39,8,4),'[1]Tipe Plate'!$C:$D,2,FALSE)</f>
        <v>Grid Casting</v>
      </c>
      <c r="S39" s="4">
        <f>VLOOKUP(L39,'[1]Plate Infor'!$B:$F,5,FALSE)*D39</f>
        <v>630</v>
      </c>
      <c r="T39" s="4">
        <f>IFERROR(VLOOKUP(IF(MID(Q39,3,1)="F","W-UNPL-"&amp;RIGHT(Q39,20),Q39),'[1]Data Pule'!$C:$E,3,FALSE),0)*S39</f>
        <v>72.45</v>
      </c>
    </row>
    <row r="40" spans="3:20" x14ac:dyDescent="0.35">
      <c r="C40" s="1" t="s">
        <v>14</v>
      </c>
      <c r="D40">
        <v>3</v>
      </c>
      <c r="E40" s="3" t="str">
        <f>MID(C40,5,1)</f>
        <v>D</v>
      </c>
      <c r="F40" s="3"/>
      <c r="G40" s="3"/>
      <c r="H40" s="3"/>
      <c r="I40" s="3"/>
      <c r="J40" s="3"/>
      <c r="K40" s="3"/>
      <c r="L40" s="1" t="str">
        <f>MID(C40,3,17)</f>
        <v>ACDP-115F51X-C5C1</v>
      </c>
      <c r="M40" s="1" t="str">
        <f>VLOOKUP(L40,'[1]Plate Infor'!$B:$C,2,FALSE)</f>
        <v>W-FOPL-CG80PXX-L870-02-7S00</v>
      </c>
      <c r="N40" s="1" t="str">
        <f>VLOOKUP(MID(M40,8,4),'[1]Tipe Plate'!$C:$D,2,FALSE)</f>
        <v>Grid Casting</v>
      </c>
      <c r="O40" s="4">
        <f>VLOOKUP(L40,'[1]Plate Infor'!$B:$D,3,FALSE)*D40</f>
        <v>117</v>
      </c>
      <c r="P40" s="4">
        <f>IFERROR(VLOOKUP(IF(MID(M40,3,1)="F","W-UNPL-"&amp;RIGHT(M40,20),M40),'[1]Data Pule'!$C:$E,3,FALSE),0)*O40</f>
        <v>17.678699999999999</v>
      </c>
      <c r="Q40" s="1" t="str">
        <f>VLOOKUP(L40,'[1]Plate Infor'!$B:$E,4,FALSE)</f>
        <v>W-FOPL-CG85NXX-T3L0-02-7S00</v>
      </c>
      <c r="R40" s="1" t="str">
        <f>VLOOKUP(MID(Q40,8,4),'[1]Tipe Plate'!$C:$D,2,FALSE)</f>
        <v>Grid Casting</v>
      </c>
      <c r="S40" s="4">
        <f>VLOOKUP(L40,'[1]Plate Infor'!$B:$F,5,FALSE)*D40</f>
        <v>108</v>
      </c>
      <c r="T40" s="4">
        <f>IFERROR(VLOOKUP(IF(MID(Q40,3,1)="F","W-UNPL-"&amp;RIGHT(Q40,20),Q40),'[1]Data Pule'!$C:$E,3,FALSE),0)*S40</f>
        <v>14.115599999999999</v>
      </c>
    </row>
    <row r="41" spans="3:20" x14ac:dyDescent="0.35">
      <c r="C41" s="1" t="s">
        <v>10</v>
      </c>
      <c r="D41">
        <v>20</v>
      </c>
      <c r="E41" s="3" t="str">
        <f>MID(C41,5,1)</f>
        <v>W</v>
      </c>
      <c r="F41" s="3"/>
      <c r="G41" s="3"/>
      <c r="H41" s="3"/>
      <c r="I41" s="3"/>
      <c r="J41" s="3"/>
      <c r="K41" s="3"/>
      <c r="L41" s="1" t="str">
        <f>MID(C41,3,17)</f>
        <v>AMWP-210H52X-E0C1</v>
      </c>
      <c r="M41" s="1" t="str">
        <f>VLOOKUP(L41,'[1]Plate Infor'!$B:$C,2,FALSE)</f>
        <v>W-UNPL-YG79HDP-L650-02-7S00</v>
      </c>
      <c r="N41" s="1" t="str">
        <f>VLOOKUP(MID(M41,8,4),'[1]Tipe Plate'!$C:$D,2,FALSE)</f>
        <v>Grid Casting</v>
      </c>
      <c r="O41" s="4">
        <f>VLOOKUP(L41,'[1]Plate Infor'!$B:$D,3,FALSE)*D41</f>
        <v>1200</v>
      </c>
      <c r="P41" s="4">
        <f>IFERROR(VLOOKUP(IF(MID(M41,3,1)="F","W-UNPL-"&amp;RIGHT(M41,20),M41),'[1]Data Pule'!$C:$E,3,FALSE),0)*O41</f>
        <v>173.15999999999997</v>
      </c>
      <c r="Q41" s="1" t="str">
        <f>VLOOKUP(L41,'[1]Plate Infor'!$B:$E,4,FALSE)</f>
        <v>W-UNPL-YG85NXX-T3A0-02-7S00</v>
      </c>
      <c r="R41" s="1" t="str">
        <f>VLOOKUP(MID(Q41,8,4),'[1]Tipe Plate'!$C:$D,2,FALSE)</f>
        <v>Grid Casting</v>
      </c>
      <c r="S41" s="4">
        <f>VLOOKUP(L41,'[1]Plate Infor'!$B:$F,5,FALSE)*D41</f>
        <v>1200</v>
      </c>
      <c r="T41" s="4">
        <f>IFERROR(VLOOKUP(IF(MID(Q41,3,1)="F","W-UNPL-"&amp;RIGHT(Q41,20),Q41),'[1]Data Pule'!$C:$E,3,FALSE),0)*S41</f>
        <v>156.83999999999997</v>
      </c>
    </row>
    <row r="42" spans="3:20" x14ac:dyDescent="0.35">
      <c r="C42" s="1" t="s">
        <v>24</v>
      </c>
      <c r="D42">
        <v>30</v>
      </c>
      <c r="E42" s="3" t="str">
        <f>MID(C42,5,1)</f>
        <v>W</v>
      </c>
      <c r="F42" s="3"/>
      <c r="G42" s="3"/>
      <c r="H42" s="3"/>
      <c r="I42" s="3"/>
      <c r="J42" s="3"/>
      <c r="K42" s="3"/>
      <c r="L42" s="1" t="str">
        <f>MID(C42,3,17)</f>
        <v>AMWP-115E41R-C1C1</v>
      </c>
      <c r="M42" s="1" t="str">
        <f>VLOOKUP(L42,'[1]Plate Infor'!$B:$C,2,FALSE)</f>
        <v>W-UNPL-YG79HDP-L650-02-7S00</v>
      </c>
      <c r="N42" s="1" t="str">
        <f>VLOOKUP(MID(M42,8,4),'[1]Tipe Plate'!$C:$D,2,FALSE)</f>
        <v>Grid Casting</v>
      </c>
      <c r="O42" s="4">
        <f>VLOOKUP(L42,'[1]Plate Infor'!$B:$D,3,FALSE)*D42</f>
        <v>900</v>
      </c>
      <c r="P42" s="4">
        <f>IFERROR(VLOOKUP(IF(MID(M42,3,1)="F","W-UNPL-"&amp;RIGHT(M42,20),M42),'[1]Data Pule'!$C:$E,3,FALSE),0)*O42</f>
        <v>129.86999999999998</v>
      </c>
      <c r="Q42" s="1" t="str">
        <f>VLOOKUP(L42,'[1]Plate Infor'!$B:$E,4,FALSE)</f>
        <v>W-UNPL-YG85NXX-T3A0-02-7S00</v>
      </c>
      <c r="R42" s="1" t="str">
        <f>VLOOKUP(MID(Q42,8,4),'[1]Tipe Plate'!$C:$D,2,FALSE)</f>
        <v>Grid Casting</v>
      </c>
      <c r="S42" s="4">
        <f>VLOOKUP(L42,'[1]Plate Infor'!$B:$F,5,FALSE)*D42</f>
        <v>990</v>
      </c>
      <c r="T42" s="4">
        <f>IFERROR(VLOOKUP(IF(MID(Q42,3,1)="F","W-UNPL-"&amp;RIGHT(Q42,20),Q42),'[1]Data Pule'!$C:$E,3,FALSE),0)*S42</f>
        <v>129.39299999999997</v>
      </c>
    </row>
    <row r="43" spans="3:20" x14ac:dyDescent="0.35">
      <c r="C43" s="1" t="s">
        <v>9</v>
      </c>
      <c r="D43">
        <v>48</v>
      </c>
      <c r="E43" s="3" t="str">
        <f>MID(C43,5,1)</f>
        <v>W</v>
      </c>
      <c r="F43" s="3"/>
      <c r="G43" s="3"/>
      <c r="H43" s="3"/>
      <c r="I43" s="3"/>
      <c r="J43" s="3"/>
      <c r="K43" s="3"/>
      <c r="L43" s="1" t="str">
        <f>MID(C43,3,17)</f>
        <v>AMWP-180G51X-D1C1</v>
      </c>
      <c r="M43" s="1" t="str">
        <f>VLOOKUP(L43,'[1]Plate Infor'!$B:$C,2,FALSE)</f>
        <v>W-UNPL-YG79HDP-L650-02-7S00</v>
      </c>
      <c r="N43" s="1" t="str">
        <f>VLOOKUP(MID(M43,8,4),'[1]Tipe Plate'!$C:$D,2,FALSE)</f>
        <v>Grid Casting</v>
      </c>
      <c r="O43" s="4">
        <f>VLOOKUP(L43,'[1]Plate Infor'!$B:$D,3,FALSE)*D43</f>
        <v>2160</v>
      </c>
      <c r="P43" s="4">
        <f>IFERROR(VLOOKUP(IF(MID(M43,3,1)="F","W-UNPL-"&amp;RIGHT(M43,20),M43),'[1]Data Pule'!$C:$E,3,FALSE),0)*O43</f>
        <v>311.68799999999999</v>
      </c>
      <c r="Q43" s="1" t="str">
        <f>VLOOKUP(L43,'[1]Plate Infor'!$B:$E,4,FALSE)</f>
        <v>W-UNPL-YG85NXX-T3A0-02-7S00</v>
      </c>
      <c r="R43" s="1" t="str">
        <f>VLOOKUP(MID(Q43,8,4),'[1]Tipe Plate'!$C:$D,2,FALSE)</f>
        <v>Grid Casting</v>
      </c>
      <c r="S43" s="4">
        <f>VLOOKUP(L43,'[1]Plate Infor'!$B:$F,5,FALSE)*D43</f>
        <v>2304</v>
      </c>
      <c r="T43" s="4">
        <f>IFERROR(VLOOKUP(IF(MID(Q43,3,1)="F","W-UNPL-"&amp;RIGHT(Q43,20),Q43),'[1]Data Pule'!$C:$E,3,FALSE),0)*S43</f>
        <v>301.13279999999997</v>
      </c>
    </row>
    <row r="44" spans="3:20" x14ac:dyDescent="0.35">
      <c r="C44" s="1" t="s">
        <v>25</v>
      </c>
      <c r="D44">
        <v>60</v>
      </c>
      <c r="E44" s="3" t="str">
        <f>MID(C44,5,1)</f>
        <v>D</v>
      </c>
      <c r="F44" s="3"/>
      <c r="G44" s="3"/>
      <c r="H44" s="3"/>
      <c r="I44" s="3"/>
      <c r="J44" s="3"/>
      <c r="K44" s="3"/>
      <c r="L44" s="1" t="str">
        <f>MID(C44,3,17)</f>
        <v>ACDP-65D26RX-B2C3</v>
      </c>
      <c r="M44" s="1" t="str">
        <f>VLOOKUP(L44,'[1]Plate Infor'!$B:$C,2,FALSE)</f>
        <v>W-FOPL-CG82PXX-L870-02-7S00</v>
      </c>
      <c r="N44" s="1" t="str">
        <f>VLOOKUP(MID(M44,8,4),'[1]Tipe Plate'!$C:$D,2,FALSE)</f>
        <v>Grid Casting</v>
      </c>
      <c r="O44" s="4">
        <f>VLOOKUP(L44,'[1]Plate Infor'!$B:$D,3,FALSE)*D44</f>
        <v>1080</v>
      </c>
      <c r="P44" s="4">
        <f>IFERROR(VLOOKUP(IF(MID(M44,3,1)="F","W-UNPL-"&amp;RIGHT(M44,20),M44),'[1]Data Pule'!$C:$E,3,FALSE),0)*O44</f>
        <v>138.77999999999997</v>
      </c>
      <c r="Q44" s="1" t="str">
        <f>VLOOKUP(L44,'[1]Plate Infor'!$B:$E,4,FALSE)</f>
        <v>W-FOPL-CG87NXX-T3L0-02-7S00</v>
      </c>
      <c r="R44" s="1" t="str">
        <f>VLOOKUP(MID(Q44,8,4),'[1]Tipe Plate'!$C:$D,2,FALSE)</f>
        <v>Grid Casting</v>
      </c>
      <c r="S44" s="4">
        <f>VLOOKUP(L44,'[1]Plate Infor'!$B:$F,5,FALSE)*D44</f>
        <v>1080</v>
      </c>
      <c r="T44" s="4">
        <f>IFERROR(VLOOKUP(IF(MID(Q44,3,1)="F","W-UNPL-"&amp;RIGHT(Q44,20),Q44),'[1]Data Pule'!$C:$E,3,FALSE),0)*S44</f>
        <v>124.2</v>
      </c>
    </row>
    <row r="45" spans="3:20" x14ac:dyDescent="0.35">
      <c r="C45" s="1" t="s">
        <v>12</v>
      </c>
      <c r="D45">
        <v>30</v>
      </c>
      <c r="E45" s="3" t="str">
        <f>MID(C45,5,1)</f>
        <v>W</v>
      </c>
      <c r="F45" s="3"/>
      <c r="G45" s="3"/>
      <c r="H45" s="3"/>
      <c r="I45" s="3"/>
      <c r="J45" s="3"/>
      <c r="K45" s="3"/>
      <c r="L45" s="1" t="str">
        <f>MID(C45,3,17)</f>
        <v>AMWP-65D31RX-B2P3</v>
      </c>
      <c r="M45" s="1" t="str">
        <f>VLOOKUP(L45,'[1]Plate Infor'!$B:$C,2,FALSE)</f>
        <v>W-UNPL-WG83PXX-L65F-00-7C00</v>
      </c>
      <c r="N45" s="1" t="str">
        <f>VLOOKUP(MID(M45,8,4),'[1]Tipe Plate'!$C:$D,2,FALSE)</f>
        <v>Grid Punching</v>
      </c>
      <c r="O45" s="4">
        <f>VLOOKUP(L45,'[1]Plate Infor'!$B:$D,3,FALSE)*D45</f>
        <v>540</v>
      </c>
      <c r="P45" s="4">
        <f>IFERROR(VLOOKUP(IF(MID(M45,3,1)="F","W-UNPL-"&amp;RIGHT(M45,20),M45),'[1]Data Pule'!$C:$E,3,FALSE),0)*O45</f>
        <v>91.421999999999983</v>
      </c>
      <c r="Q45" s="1" t="str">
        <f>VLOOKUP(L45,'[1]Plate Infor'!$B:$E,4,FALSE)</f>
        <v>W-UNPL-WG87NXX-T3AF-00-7C00</v>
      </c>
      <c r="R45" s="1" t="str">
        <f>VLOOKUP(MID(Q45,8,4),'[1]Tipe Plate'!$C:$D,2,FALSE)</f>
        <v>Grid Punching</v>
      </c>
      <c r="S45" s="4">
        <f>VLOOKUP(L45,'[1]Plate Infor'!$B:$F,5,FALSE)*D45</f>
        <v>540</v>
      </c>
      <c r="T45" s="4">
        <f>IFERROR(VLOOKUP(IF(MID(Q45,3,1)="F","W-UNPL-"&amp;RIGHT(Q45,20),Q45),'[1]Data Pule'!$C:$E,3,FALSE),0)*S45</f>
        <v>70.577999999999989</v>
      </c>
    </row>
    <row r="46" spans="3:20" x14ac:dyDescent="0.35">
      <c r="C46" s="1" t="s">
        <v>18</v>
      </c>
      <c r="D46">
        <v>24</v>
      </c>
      <c r="E46" s="3" t="str">
        <f>MID(C46,5,1)</f>
        <v>D</v>
      </c>
      <c r="F46" s="3"/>
      <c r="G46" s="3"/>
      <c r="H46" s="3"/>
      <c r="I46" s="3"/>
      <c r="J46" s="3"/>
      <c r="K46" s="3"/>
      <c r="L46" s="1" t="str">
        <f>MID(C46,3,17)</f>
        <v>ACDP-48D26RX-A9C3</v>
      </c>
      <c r="M46" s="1" t="str">
        <f>VLOOKUP(L46,'[1]Plate Infor'!$B:$C,2,FALSE)</f>
        <v>W-FOPL-CG80PXX-L870-02-7S00</v>
      </c>
      <c r="N46" s="1" t="str">
        <f>VLOOKUP(MID(M46,8,4),'[1]Tipe Plate'!$C:$D,2,FALSE)</f>
        <v>Grid Casting</v>
      </c>
      <c r="O46" s="4">
        <f>VLOOKUP(L46,'[1]Plate Infor'!$B:$D,3,FALSE)*D46</f>
        <v>288</v>
      </c>
      <c r="P46" s="4">
        <f>IFERROR(VLOOKUP(IF(MID(M46,3,1)="F","W-UNPL-"&amp;RIGHT(M46,20),M46),'[1]Data Pule'!$C:$E,3,FALSE),0)*O46</f>
        <v>43.516799999999996</v>
      </c>
      <c r="Q46" s="1" t="str">
        <f>VLOOKUP(L46,'[1]Plate Infor'!$B:$E,4,FALSE)</f>
        <v>W-FOPL-CG87NXX-T3L0-02-7S00</v>
      </c>
      <c r="R46" s="1" t="str">
        <f>VLOOKUP(MID(Q46,8,4),'[1]Tipe Plate'!$C:$D,2,FALSE)</f>
        <v>Grid Casting</v>
      </c>
      <c r="S46" s="4">
        <f>VLOOKUP(L46,'[1]Plate Infor'!$B:$F,5,FALSE)*D46</f>
        <v>360</v>
      </c>
      <c r="T46" s="4">
        <f>IFERROR(VLOOKUP(IF(MID(Q46,3,1)="F","W-UNPL-"&amp;RIGHT(Q46,20),Q46),'[1]Data Pule'!$C:$E,3,FALSE),0)*S46</f>
        <v>41.4</v>
      </c>
    </row>
    <row r="47" spans="3:20" x14ac:dyDescent="0.35">
      <c r="C47" s="1" t="s">
        <v>8</v>
      </c>
      <c r="D47">
        <v>5</v>
      </c>
      <c r="E47" s="3" t="str">
        <f>MID(C47,5,1)</f>
        <v>W</v>
      </c>
      <c r="F47" s="3"/>
      <c r="G47" s="3"/>
      <c r="H47" s="3"/>
      <c r="I47" s="3"/>
      <c r="J47" s="3"/>
      <c r="K47" s="3"/>
      <c r="L47" s="1" t="str">
        <f>MID(C47,3,17)</f>
        <v>AMWP-145G51X-C7C3</v>
      </c>
      <c r="M47" s="1" t="str">
        <f>VLOOKUP(L47,'[1]Plate Infor'!$B:$C,2,FALSE)</f>
        <v>W-UNPL-YG82PXX-L650-02-7S00</v>
      </c>
      <c r="N47" s="1" t="str">
        <f>VLOOKUP(MID(M47,8,4),'[1]Tipe Plate'!$C:$D,2,FALSE)</f>
        <v>Grid Casting</v>
      </c>
      <c r="O47" s="4">
        <f>VLOOKUP(L47,'[1]Plate Infor'!$B:$D,3,FALSE)*D47</f>
        <v>210</v>
      </c>
      <c r="P47" s="4">
        <f>IFERROR(VLOOKUP(IF(MID(M47,3,1)="F","W-UNPL-"&amp;RIGHT(M47,20),M47),'[1]Data Pule'!$C:$E,3,FALSE),0)*O47</f>
        <v>28.874999999999996</v>
      </c>
      <c r="Q47" s="1" t="str">
        <f>VLOOKUP(L47,'[1]Plate Infor'!$B:$E,4,FALSE)</f>
        <v>W-UNPL-YG85NXX-T3A0-02-7S00</v>
      </c>
      <c r="R47" s="1" t="str">
        <f>VLOOKUP(MID(Q47,8,4),'[1]Tipe Plate'!$C:$D,2,FALSE)</f>
        <v>Grid Casting</v>
      </c>
      <c r="S47" s="4">
        <f>VLOOKUP(L47,'[1]Plate Infor'!$B:$F,5,FALSE)*D47</f>
        <v>195</v>
      </c>
      <c r="T47" s="4">
        <f>IFERROR(VLOOKUP(IF(MID(Q47,3,1)="F","W-UNPL-"&amp;RIGHT(Q47,20),Q47),'[1]Data Pule'!$C:$E,3,FALSE),0)*S47</f>
        <v>25.486499999999996</v>
      </c>
    </row>
    <row r="48" spans="3:20" x14ac:dyDescent="0.35">
      <c r="C48" s="1" t="s">
        <v>12</v>
      </c>
      <c r="D48">
        <v>30</v>
      </c>
      <c r="E48" s="3" t="str">
        <f>MID(C48,5,1)</f>
        <v>W</v>
      </c>
      <c r="F48" s="3"/>
      <c r="G48" s="3"/>
      <c r="H48" s="3"/>
      <c r="I48" s="3"/>
      <c r="J48" s="3"/>
      <c r="K48" s="3"/>
      <c r="L48" s="1" t="str">
        <f>MID(C48,3,17)</f>
        <v>AMWP-65D31RX-B2P3</v>
      </c>
      <c r="M48" s="1" t="str">
        <f>VLOOKUP(L48,'[1]Plate Infor'!$B:$C,2,FALSE)</f>
        <v>W-UNPL-WG83PXX-L65F-00-7C00</v>
      </c>
      <c r="N48" s="1" t="str">
        <f>VLOOKUP(MID(M48,8,4),'[1]Tipe Plate'!$C:$D,2,FALSE)</f>
        <v>Grid Punching</v>
      </c>
      <c r="O48" s="4">
        <f>VLOOKUP(L48,'[1]Plate Infor'!$B:$D,3,FALSE)*D48</f>
        <v>540</v>
      </c>
      <c r="P48" s="4">
        <f>IFERROR(VLOOKUP(IF(MID(M48,3,1)="F","W-UNPL-"&amp;RIGHT(M48,20),M48),'[1]Data Pule'!$C:$E,3,FALSE),0)*O48</f>
        <v>91.421999999999983</v>
      </c>
      <c r="Q48" s="1" t="str">
        <f>VLOOKUP(L48,'[1]Plate Infor'!$B:$E,4,FALSE)</f>
        <v>W-UNPL-WG87NXX-T3AF-00-7C00</v>
      </c>
      <c r="R48" s="1" t="str">
        <f>VLOOKUP(MID(Q48,8,4),'[1]Tipe Plate'!$C:$D,2,FALSE)</f>
        <v>Grid Punching</v>
      </c>
      <c r="S48" s="4">
        <f>VLOOKUP(L48,'[1]Plate Infor'!$B:$F,5,FALSE)*D48</f>
        <v>540</v>
      </c>
      <c r="T48" s="4">
        <f>IFERROR(VLOOKUP(IF(MID(Q48,3,1)="F","W-UNPL-"&amp;RIGHT(Q48,20),Q48),'[1]Data Pule'!$C:$E,3,FALSE),0)*S48</f>
        <v>70.577999999999989</v>
      </c>
    </row>
    <row r="49" spans="3:20" x14ac:dyDescent="0.35">
      <c r="C49" s="1" t="s">
        <v>15</v>
      </c>
      <c r="D49">
        <v>29</v>
      </c>
      <c r="E49" s="3" t="str">
        <f>MID(C49,5,1)</f>
        <v>D</v>
      </c>
      <c r="F49" s="3"/>
      <c r="G49" s="3"/>
      <c r="H49" s="3"/>
      <c r="I49" s="3"/>
      <c r="J49" s="3"/>
      <c r="K49" s="3"/>
      <c r="L49" s="1" t="str">
        <f>MID(C49,3,17)</f>
        <v>ACDP-145G51X-D1C1</v>
      </c>
      <c r="M49" s="1" t="str">
        <f>VLOOKUP(L49,'[1]Plate Infor'!$B:$C,2,FALSE)</f>
        <v>W-FOPL-CG80PXX-L870-02-7S00</v>
      </c>
      <c r="N49" s="1" t="str">
        <f>VLOOKUP(MID(M49,8,4),'[1]Tipe Plate'!$C:$D,2,FALSE)</f>
        <v>Grid Casting</v>
      </c>
      <c r="O49" s="4">
        <f>VLOOKUP(L49,'[1]Plate Infor'!$B:$D,3,FALSE)*D49</f>
        <v>1392</v>
      </c>
      <c r="P49" s="4">
        <f>IFERROR(VLOOKUP(IF(MID(M49,3,1)="F","W-UNPL-"&amp;RIGHT(M49,20),M49),'[1]Data Pule'!$C:$E,3,FALSE),0)*O49</f>
        <v>210.33119999999997</v>
      </c>
      <c r="Q49" s="1" t="str">
        <f>VLOOKUP(L49,'[1]Plate Infor'!$B:$E,4,FALSE)</f>
        <v>W-FOPL-CG85NXX-T3L0-02-7S00</v>
      </c>
      <c r="R49" s="1" t="str">
        <f>VLOOKUP(MID(Q49,8,4),'[1]Tipe Plate'!$C:$D,2,FALSE)</f>
        <v>Grid Casting</v>
      </c>
      <c r="S49" s="4">
        <f>VLOOKUP(L49,'[1]Plate Infor'!$B:$F,5,FALSE)*D49</f>
        <v>1305</v>
      </c>
      <c r="T49" s="4">
        <f>IFERROR(VLOOKUP(IF(MID(Q49,3,1)="F","W-UNPL-"&amp;RIGHT(Q49,20),Q49),'[1]Data Pule'!$C:$E,3,FALSE),0)*S49</f>
        <v>170.56349999999998</v>
      </c>
    </row>
    <row r="50" spans="3:20" x14ac:dyDescent="0.35">
      <c r="C50" s="1" t="s">
        <v>18</v>
      </c>
      <c r="D50">
        <v>24</v>
      </c>
      <c r="E50" s="3" t="str">
        <f>MID(C50,5,1)</f>
        <v>D</v>
      </c>
      <c r="F50" s="3"/>
      <c r="G50" s="3"/>
      <c r="H50" s="3"/>
      <c r="I50" s="3"/>
      <c r="J50" s="3"/>
      <c r="K50" s="3"/>
      <c r="L50" s="1" t="str">
        <f>MID(C50,3,17)</f>
        <v>ACDP-48D26RX-A9C3</v>
      </c>
      <c r="M50" s="1" t="str">
        <f>VLOOKUP(L50,'[1]Plate Infor'!$B:$C,2,FALSE)</f>
        <v>W-FOPL-CG80PXX-L870-02-7S00</v>
      </c>
      <c r="N50" s="1" t="str">
        <f>VLOOKUP(MID(M50,8,4),'[1]Tipe Plate'!$C:$D,2,FALSE)</f>
        <v>Grid Casting</v>
      </c>
      <c r="O50" s="4">
        <f>VLOOKUP(L50,'[1]Plate Infor'!$B:$D,3,FALSE)*D50</f>
        <v>288</v>
      </c>
      <c r="P50" s="4">
        <f>IFERROR(VLOOKUP(IF(MID(M50,3,1)="F","W-UNPL-"&amp;RIGHT(M50,20),M50),'[1]Data Pule'!$C:$E,3,FALSE),0)*O50</f>
        <v>43.516799999999996</v>
      </c>
      <c r="Q50" s="1" t="str">
        <f>VLOOKUP(L50,'[1]Plate Infor'!$B:$E,4,FALSE)</f>
        <v>W-FOPL-CG87NXX-T3L0-02-7S00</v>
      </c>
      <c r="R50" s="1" t="str">
        <f>VLOOKUP(MID(Q50,8,4),'[1]Tipe Plate'!$C:$D,2,FALSE)</f>
        <v>Grid Casting</v>
      </c>
      <c r="S50" s="4">
        <f>VLOOKUP(L50,'[1]Plate Infor'!$B:$F,5,FALSE)*D50</f>
        <v>360</v>
      </c>
      <c r="T50" s="4">
        <f>IFERROR(VLOOKUP(IF(MID(Q50,3,1)="F","W-UNPL-"&amp;RIGHT(Q50,20),Q50),'[1]Data Pule'!$C:$E,3,FALSE),0)*S50</f>
        <v>41.4</v>
      </c>
    </row>
    <row r="51" spans="3:20" x14ac:dyDescent="0.35">
      <c r="C51" s="1" t="s">
        <v>26</v>
      </c>
      <c r="D51">
        <v>9396</v>
      </c>
      <c r="E51" s="3" t="str">
        <f>MID(C51,5,1)</f>
        <v>W</v>
      </c>
      <c r="F51" s="3"/>
      <c r="G51" s="3"/>
      <c r="H51" s="3"/>
      <c r="I51" s="3"/>
      <c r="J51" s="3"/>
      <c r="K51" s="3"/>
      <c r="L51" s="1" t="str">
        <f>MID(C51,3,17)</f>
        <v>AHWP-46B24RX-B1A3</v>
      </c>
      <c r="M51" s="1" t="str">
        <f>VLOOKUP(L51,'[1]Plate Infor'!$B:$C,2,FALSE)</f>
        <v>W-UNPL-CM84APX-L870-02-7S00</v>
      </c>
      <c r="N51" s="1" t="str">
        <f>VLOOKUP(MID(M51,8,4),'[1]Tipe Plate'!$C:$D,2,FALSE)</f>
        <v>Grid Casting</v>
      </c>
      <c r="O51" s="4">
        <f>VLOOKUP(L51,'[1]Plate Infor'!$B:$D,3,FALSE)*D51</f>
        <v>169128</v>
      </c>
      <c r="P51" s="4">
        <f>IFERROR(VLOOKUP(IF(MID(M51,3,1)="F","W-UNPL-"&amp;RIGHT(M51,20),M51),'[1]Data Pule'!$C:$E,3,FALSE),0)*O51</f>
        <v>15170.7816</v>
      </c>
      <c r="Q51" s="1" t="str">
        <f>VLOOKUP(L51,'[1]Plate Infor'!$B:$E,4,FALSE)</f>
        <v>W-UNPL-WM85NXX-T3AF-00-7S00</v>
      </c>
      <c r="R51" s="1" t="str">
        <f>VLOOKUP(MID(Q51,8,4),'[1]Tipe Plate'!$C:$D,2,FALSE)</f>
        <v>Grid Punching</v>
      </c>
      <c r="S51" s="4">
        <f>VLOOKUP(L51,'[1]Plate Infor'!$B:$F,5,FALSE)*D51</f>
        <v>140940</v>
      </c>
      <c r="T51" s="4">
        <f>IFERROR(VLOOKUP(IF(MID(Q51,3,1)="F","W-UNPL-"&amp;RIGHT(Q51,20),Q51),'[1]Data Pule'!$C:$E,3,FALSE),0)*S51</f>
        <v>14981.922</v>
      </c>
    </row>
    <row r="52" spans="3:20" x14ac:dyDescent="0.35">
      <c r="C52" s="1" t="s">
        <v>27</v>
      </c>
      <c r="D52">
        <v>3348</v>
      </c>
      <c r="E52" s="3" t="str">
        <f>MID(C52,5,1)</f>
        <v>W</v>
      </c>
      <c r="F52" s="3"/>
      <c r="G52" s="3"/>
      <c r="H52" s="3"/>
      <c r="I52" s="3"/>
      <c r="J52" s="3"/>
      <c r="K52" s="3"/>
      <c r="L52" s="1" t="str">
        <f>MID(C52,3,17)</f>
        <v>AHWP-46B24LX-B1A3</v>
      </c>
      <c r="M52" s="1" t="str">
        <f>VLOOKUP(L52,'[1]Plate Infor'!$B:$C,2,FALSE)</f>
        <v>W-UNPL-CM84APX-L870-02-7S00</v>
      </c>
      <c r="N52" s="1" t="str">
        <f>VLOOKUP(MID(M52,8,4),'[1]Tipe Plate'!$C:$D,2,FALSE)</f>
        <v>Grid Casting</v>
      </c>
      <c r="O52" s="4">
        <f>VLOOKUP(L52,'[1]Plate Infor'!$B:$D,3,FALSE)*D52</f>
        <v>60264</v>
      </c>
      <c r="P52" s="4">
        <f>IFERROR(VLOOKUP(IF(MID(M52,3,1)="F","W-UNPL-"&amp;RIGHT(M52,20),M52),'[1]Data Pule'!$C:$E,3,FALSE),0)*O52</f>
        <v>5405.6808000000001</v>
      </c>
      <c r="Q52" s="1" t="str">
        <f>VLOOKUP(L52,'[1]Plate Infor'!$B:$E,4,FALSE)</f>
        <v>W-UNPL-WM85NXX-T3AF-00-7S00</v>
      </c>
      <c r="R52" s="1" t="str">
        <f>VLOOKUP(MID(Q52,8,4),'[1]Tipe Plate'!$C:$D,2,FALSE)</f>
        <v>Grid Punching</v>
      </c>
      <c r="S52" s="4">
        <f>VLOOKUP(L52,'[1]Plate Infor'!$B:$F,5,FALSE)*D52</f>
        <v>50220</v>
      </c>
      <c r="T52" s="4">
        <f>IFERROR(VLOOKUP(IF(MID(Q52,3,1)="F","W-UNPL-"&amp;RIGHT(Q52,20),Q52),'[1]Data Pule'!$C:$E,3,FALSE),0)*S52</f>
        <v>5338.3860000000004</v>
      </c>
    </row>
    <row r="53" spans="3:20" x14ac:dyDescent="0.35">
      <c r="C53" s="1" t="s">
        <v>28</v>
      </c>
      <c r="D53">
        <v>648</v>
      </c>
      <c r="E53" s="3" t="str">
        <f>MID(C53,5,1)</f>
        <v>W</v>
      </c>
      <c r="F53" s="3"/>
      <c r="G53" s="3"/>
      <c r="H53" s="3"/>
      <c r="I53" s="3"/>
      <c r="J53" s="3"/>
      <c r="K53" s="3"/>
      <c r="L53" s="1" t="str">
        <f>MID(C53,3,17)</f>
        <v>AHWP-46B24LS-B1A3</v>
      </c>
      <c r="M53" s="1" t="str">
        <f>VLOOKUP(L53,'[1]Plate Infor'!$B:$C,2,FALSE)</f>
        <v>W-UNPL-CM84APX-L870-02-7S00</v>
      </c>
      <c r="N53" s="1" t="str">
        <f>VLOOKUP(MID(M53,8,4),'[1]Tipe Plate'!$C:$D,2,FALSE)</f>
        <v>Grid Casting</v>
      </c>
      <c r="O53" s="4">
        <f>VLOOKUP(L53,'[1]Plate Infor'!$B:$D,3,FALSE)*D53</f>
        <v>11664</v>
      </c>
      <c r="P53" s="4">
        <f>IFERROR(VLOOKUP(IF(MID(M53,3,1)="F","W-UNPL-"&amp;RIGHT(M53,20),M53),'[1]Data Pule'!$C:$E,3,FALSE),0)*O53</f>
        <v>1046.2608</v>
      </c>
      <c r="Q53" s="1" t="str">
        <f>VLOOKUP(L53,'[1]Plate Infor'!$B:$E,4,FALSE)</f>
        <v>W-UNPL-WM85NXX-T3AF-00-7S00</v>
      </c>
      <c r="R53" s="1" t="str">
        <f>VLOOKUP(MID(Q53,8,4),'[1]Tipe Plate'!$C:$D,2,FALSE)</f>
        <v>Grid Punching</v>
      </c>
      <c r="S53" s="4">
        <f>VLOOKUP(L53,'[1]Plate Infor'!$B:$F,5,FALSE)*D53</f>
        <v>9720</v>
      </c>
      <c r="T53" s="4">
        <f>IFERROR(VLOOKUP(IF(MID(Q53,3,1)="F","W-UNPL-"&amp;RIGHT(Q53,20),Q53),'[1]Data Pule'!$C:$E,3,FALSE),0)*S53</f>
        <v>1033.2360000000001</v>
      </c>
    </row>
    <row r="54" spans="3:20" x14ac:dyDescent="0.35">
      <c r="C54" s="1" t="s">
        <v>29</v>
      </c>
      <c r="D54">
        <v>4860</v>
      </c>
      <c r="E54" s="3" t="str">
        <f>MID(C54,5,1)</f>
        <v>W</v>
      </c>
      <c r="F54" s="3"/>
      <c r="G54" s="3"/>
      <c r="H54" s="3"/>
      <c r="I54" s="3"/>
      <c r="J54" s="3"/>
      <c r="K54" s="3"/>
      <c r="L54" s="1" t="str">
        <f>MID(C54,3,17)</f>
        <v>AHWP-32B20RX-A8A3</v>
      </c>
      <c r="M54" s="1" t="str">
        <f>VLOOKUP(L54,'[1]Plate Infor'!$B:$C,2,FALSE)</f>
        <v>W-UNPL-CM84APX-L870-02-7S00</v>
      </c>
      <c r="N54" s="1" t="str">
        <f>VLOOKUP(MID(M54,8,4),'[1]Tipe Plate'!$C:$D,2,FALSE)</f>
        <v>Grid Casting</v>
      </c>
      <c r="O54" s="4">
        <f>VLOOKUP(L54,'[1]Plate Infor'!$B:$D,3,FALSE)*D54</f>
        <v>58320</v>
      </c>
      <c r="P54" s="4">
        <f>IFERROR(VLOOKUP(IF(MID(M54,3,1)="F","W-UNPL-"&amp;RIGHT(M54,20),M54),'[1]Data Pule'!$C:$E,3,FALSE),0)*O54</f>
        <v>5231.3040000000001</v>
      </c>
      <c r="Q54" s="1" t="str">
        <f>VLOOKUP(L54,'[1]Plate Infor'!$B:$E,4,FALSE)</f>
        <v>W-UNPL-WM85NXX-T3AF-00-7S00</v>
      </c>
      <c r="R54" s="1" t="str">
        <f>VLOOKUP(MID(Q54,8,4),'[1]Tipe Plate'!$C:$D,2,FALSE)</f>
        <v>Grid Punching</v>
      </c>
      <c r="S54" s="4">
        <f>VLOOKUP(L54,'[1]Plate Infor'!$B:$F,5,FALSE)*D54</f>
        <v>58320</v>
      </c>
      <c r="T54" s="4">
        <f>IFERROR(VLOOKUP(IF(MID(Q54,3,1)="F","W-UNPL-"&amp;RIGHT(Q54,20),Q54),'[1]Data Pule'!$C:$E,3,FALSE),0)*S54</f>
        <v>6199.4160000000002</v>
      </c>
    </row>
    <row r="55" spans="3:20" x14ac:dyDescent="0.35">
      <c r="C55" s="1" t="s">
        <v>30</v>
      </c>
      <c r="D55">
        <v>4995</v>
      </c>
      <c r="E55" s="3" t="str">
        <f>MID(C55,5,1)</f>
        <v>W</v>
      </c>
      <c r="F55" s="3"/>
      <c r="G55" s="3"/>
      <c r="H55" s="3"/>
      <c r="I55" s="3"/>
      <c r="J55" s="3"/>
      <c r="K55" s="3"/>
      <c r="L55" s="1" t="str">
        <f>MID(C55,3,17)</f>
        <v>AHWP-36B20LX-B0A3</v>
      </c>
      <c r="M55" s="1" t="str">
        <f>VLOOKUP(L55,'[1]Plate Infor'!$B:$C,2,FALSE)</f>
        <v>W-UNPL-CM84APX-L870-02-7S00</v>
      </c>
      <c r="N55" s="1" t="str">
        <f>VLOOKUP(MID(M55,8,4),'[1]Tipe Plate'!$C:$D,2,FALSE)</f>
        <v>Grid Casting</v>
      </c>
      <c r="O55" s="4">
        <f>VLOOKUP(L55,'[1]Plate Infor'!$B:$D,3,FALSE)*D55</f>
        <v>74925</v>
      </c>
      <c r="P55" s="4">
        <f>IFERROR(VLOOKUP(IF(MID(M55,3,1)="F","W-UNPL-"&amp;RIGHT(M55,20),M55),'[1]Data Pule'!$C:$E,3,FALSE),0)*O55</f>
        <v>6720.7725</v>
      </c>
      <c r="Q55" s="1" t="str">
        <f>VLOOKUP(L55,'[1]Plate Infor'!$B:$E,4,FALSE)</f>
        <v>W-UNPL-WM85NXX-T3AF-00-7S00</v>
      </c>
      <c r="R55" s="1" t="str">
        <f>VLOOKUP(MID(Q55,8,4),'[1]Tipe Plate'!$C:$D,2,FALSE)</f>
        <v>Grid Punching</v>
      </c>
      <c r="S55" s="4">
        <f>VLOOKUP(L55,'[1]Plate Infor'!$B:$F,5,FALSE)*D55</f>
        <v>74925</v>
      </c>
      <c r="T55" s="4">
        <f>IFERROR(VLOOKUP(IF(MID(Q55,3,1)="F","W-UNPL-"&amp;RIGHT(Q55,20),Q55),'[1]Data Pule'!$C:$E,3,FALSE),0)*S55</f>
        <v>7964.5275000000001</v>
      </c>
    </row>
    <row r="56" spans="3:20" x14ac:dyDescent="0.35">
      <c r="C56" s="1" t="s">
        <v>31</v>
      </c>
      <c r="D56">
        <v>3375</v>
      </c>
      <c r="E56" s="3" t="str">
        <f>MID(C56,5,1)</f>
        <v>W</v>
      </c>
      <c r="F56" s="3"/>
      <c r="G56" s="3"/>
      <c r="H56" s="3"/>
      <c r="I56" s="3"/>
      <c r="J56" s="3"/>
      <c r="K56" s="3"/>
      <c r="L56" s="1" t="str">
        <f>MID(C56,3,17)</f>
        <v>AHWP-36B20RX-B0A3</v>
      </c>
      <c r="M56" s="1" t="str">
        <f>VLOOKUP(L56,'[1]Plate Infor'!$B:$C,2,FALSE)</f>
        <v>W-UNPL-CM84APX-L870-02-7S00</v>
      </c>
      <c r="N56" s="1" t="str">
        <f>VLOOKUP(MID(M56,8,4),'[1]Tipe Plate'!$C:$D,2,FALSE)</f>
        <v>Grid Casting</v>
      </c>
      <c r="O56" s="4">
        <f>VLOOKUP(L56,'[1]Plate Infor'!$B:$D,3,FALSE)*D56</f>
        <v>50625</v>
      </c>
      <c r="P56" s="4">
        <f>IFERROR(VLOOKUP(IF(MID(M56,3,1)="F","W-UNPL-"&amp;RIGHT(M56,20),M56),'[1]Data Pule'!$C:$E,3,FALSE),0)*O56</f>
        <v>4541.0625</v>
      </c>
      <c r="Q56" s="1" t="str">
        <f>VLOOKUP(L56,'[1]Plate Infor'!$B:$E,4,FALSE)</f>
        <v>W-UNPL-WM85NXX-T3AF-00-7S00</v>
      </c>
      <c r="R56" s="1" t="str">
        <f>VLOOKUP(MID(Q56,8,4),'[1]Tipe Plate'!$C:$D,2,FALSE)</f>
        <v>Grid Punching</v>
      </c>
      <c r="S56" s="4">
        <f>VLOOKUP(L56,'[1]Plate Infor'!$B:$F,5,FALSE)*D56</f>
        <v>50625</v>
      </c>
      <c r="T56" s="4">
        <f>IFERROR(VLOOKUP(IF(MID(Q56,3,1)="F","W-UNPL-"&amp;RIGHT(Q56,20),Q56),'[1]Data Pule'!$C:$E,3,FALSE),0)*S56</f>
        <v>5381.4375</v>
      </c>
    </row>
    <row r="57" spans="3:20" x14ac:dyDescent="0.35">
      <c r="C57" s="1" t="s">
        <v>32</v>
      </c>
      <c r="D57">
        <v>2430</v>
      </c>
      <c r="E57" s="3" t="str">
        <f>MID(C57,5,1)</f>
        <v>W</v>
      </c>
      <c r="F57" s="3"/>
      <c r="G57" s="3"/>
      <c r="H57" s="3"/>
      <c r="I57" s="3"/>
      <c r="J57" s="3"/>
      <c r="K57" s="3"/>
      <c r="L57" s="1" t="str">
        <f>MID(C57,3,17)</f>
        <v>AHWP-32B20LX-A8A3</v>
      </c>
      <c r="M57" s="1" t="str">
        <f>VLOOKUP(L57,'[1]Plate Infor'!$B:$C,2,FALSE)</f>
        <v>W-UNPL-CM84APX-L870-02-7S00</v>
      </c>
      <c r="N57" s="1" t="str">
        <f>VLOOKUP(MID(M57,8,4),'[1]Tipe Plate'!$C:$D,2,FALSE)</f>
        <v>Grid Casting</v>
      </c>
      <c r="O57" s="4">
        <f>VLOOKUP(L57,'[1]Plate Infor'!$B:$D,3,FALSE)*D57</f>
        <v>29160</v>
      </c>
      <c r="P57" s="4">
        <f>IFERROR(VLOOKUP(IF(MID(M57,3,1)="F","W-UNPL-"&amp;RIGHT(M57,20),M57),'[1]Data Pule'!$C:$E,3,FALSE),0)*O57</f>
        <v>2615.652</v>
      </c>
      <c r="Q57" s="1" t="str">
        <f>VLOOKUP(L57,'[1]Plate Infor'!$B:$E,4,FALSE)</f>
        <v>W-UNPL-WM85NXX-T3AF-00-7S00</v>
      </c>
      <c r="R57" s="1" t="str">
        <f>VLOOKUP(MID(Q57,8,4),'[1]Tipe Plate'!$C:$D,2,FALSE)</f>
        <v>Grid Punching</v>
      </c>
      <c r="S57" s="4">
        <f>VLOOKUP(L57,'[1]Plate Infor'!$B:$F,5,FALSE)*D57</f>
        <v>29160</v>
      </c>
      <c r="T57" s="4">
        <f>IFERROR(VLOOKUP(IF(MID(Q57,3,1)="F","W-UNPL-"&amp;RIGHT(Q57,20),Q57),'[1]Data Pule'!$C:$E,3,FALSE),0)*S57</f>
        <v>3099.7080000000001</v>
      </c>
    </row>
    <row r="58" spans="3:20" x14ac:dyDescent="0.35">
      <c r="C58" s="1" t="s">
        <v>33</v>
      </c>
      <c r="D58">
        <v>15840</v>
      </c>
      <c r="E58" s="3" t="str">
        <f>MID(C58,5,1)</f>
        <v>W</v>
      </c>
      <c r="F58" s="3"/>
      <c r="G58" s="3"/>
      <c r="H58" s="3"/>
      <c r="I58" s="3"/>
      <c r="J58" s="3"/>
      <c r="K58" s="3"/>
      <c r="L58" s="1" t="str">
        <f>MID(C58,3,17)</f>
        <v>AHWP-65D26RX-B2A3</v>
      </c>
      <c r="M58" s="1" t="str">
        <f>VLOOKUP(L58,'[1]Plate Infor'!$B:$C,2,FALSE)</f>
        <v>W-UNPL-CG85EPX-L870-02-7C00</v>
      </c>
      <c r="N58" s="1" t="str">
        <f>VLOOKUP(MID(M58,8,4),'[1]Tipe Plate'!$C:$D,2,FALSE)</f>
        <v>Grid Casting</v>
      </c>
      <c r="O58" s="4">
        <f>VLOOKUP(L58,'[1]Plate Infor'!$B:$D,3,FALSE)*D58</f>
        <v>285120</v>
      </c>
      <c r="P58" s="4">
        <f>IFERROR(VLOOKUP(IF(MID(M58,3,1)="F","W-UNPL-"&amp;RIGHT(M58,20),M58),'[1]Data Pule'!$C:$E,3,FALSE),0)*O58</f>
        <v>34841.664000000004</v>
      </c>
      <c r="Q58" s="1" t="str">
        <f>VLOOKUP(L58,'[1]Plate Infor'!$B:$E,4,FALSE)</f>
        <v>W-UNPL-WG87NXX-T3AF-00-7C00</v>
      </c>
      <c r="R58" s="1" t="str">
        <f>VLOOKUP(MID(Q58,8,4),'[1]Tipe Plate'!$C:$D,2,FALSE)</f>
        <v>Grid Punching</v>
      </c>
      <c r="S58" s="4">
        <f>VLOOKUP(L58,'[1]Plate Infor'!$B:$F,5,FALSE)*D58</f>
        <v>285120</v>
      </c>
      <c r="T58" s="4">
        <f>IFERROR(VLOOKUP(IF(MID(Q58,3,1)="F","W-UNPL-"&amp;RIGHT(Q58,20),Q58),'[1]Data Pule'!$C:$E,3,FALSE),0)*S58</f>
        <v>37265.183999999994</v>
      </c>
    </row>
    <row r="59" spans="3:20" x14ac:dyDescent="0.35">
      <c r="C59" s="1" t="s">
        <v>34</v>
      </c>
      <c r="D59">
        <v>6300</v>
      </c>
      <c r="E59" s="3" t="str">
        <f>MID(C59,5,1)</f>
        <v>W</v>
      </c>
      <c r="F59" s="3"/>
      <c r="G59" s="3"/>
      <c r="H59" s="3"/>
      <c r="I59" s="3"/>
      <c r="J59" s="3"/>
      <c r="K59" s="3"/>
      <c r="L59" s="1" t="str">
        <f>MID(C59,3,17)</f>
        <v>AHWP-75D31RX-B4A3</v>
      </c>
      <c r="M59" s="1" t="str">
        <f>VLOOKUP(L59,'[1]Plate Infor'!$B:$C,2,FALSE)</f>
        <v>W-UNPL-CG85EPX-L870-02-7C00</v>
      </c>
      <c r="N59" s="1" t="str">
        <f>VLOOKUP(MID(M59,8,4),'[1]Tipe Plate'!$C:$D,2,FALSE)</f>
        <v>Grid Casting</v>
      </c>
      <c r="O59" s="4">
        <f>VLOOKUP(L59,'[1]Plate Infor'!$B:$D,3,FALSE)*D59</f>
        <v>132300</v>
      </c>
      <c r="P59" s="4">
        <f>IFERROR(VLOOKUP(IF(MID(M59,3,1)="F","W-UNPL-"&amp;RIGHT(M59,20),M59),'[1]Data Pule'!$C:$E,3,FALSE),0)*O59</f>
        <v>16167.060000000001</v>
      </c>
      <c r="Q59" s="1" t="str">
        <f>VLOOKUP(L59,'[1]Plate Infor'!$B:$E,4,FALSE)</f>
        <v>W-UNPL-WG87NXX-T3AF-00-7C00</v>
      </c>
      <c r="R59" s="1" t="str">
        <f>VLOOKUP(MID(Q59,8,4),'[1]Tipe Plate'!$C:$D,2,FALSE)</f>
        <v>Grid Punching</v>
      </c>
      <c r="S59" s="4">
        <f>VLOOKUP(L59,'[1]Plate Infor'!$B:$F,5,FALSE)*D59</f>
        <v>132300</v>
      </c>
      <c r="T59" s="4">
        <f>IFERROR(VLOOKUP(IF(MID(Q59,3,1)="F","W-UNPL-"&amp;RIGHT(Q59,20),Q59),'[1]Data Pule'!$C:$E,3,FALSE),0)*S59</f>
        <v>17291.609999999997</v>
      </c>
    </row>
    <row r="60" spans="3:20" x14ac:dyDescent="0.35">
      <c r="C60" s="1" t="s">
        <v>35</v>
      </c>
      <c r="D60">
        <v>2646</v>
      </c>
      <c r="E60" s="3" t="str">
        <f>MID(C60,5,1)</f>
        <v>W</v>
      </c>
      <c r="F60" s="3"/>
      <c r="G60" s="3"/>
      <c r="H60" s="3"/>
      <c r="I60" s="3"/>
      <c r="J60" s="3"/>
      <c r="K60" s="3"/>
      <c r="L60" s="1" t="str">
        <f>MID(C60,3,17)</f>
        <v>AHWP-65D31RX-B2A3</v>
      </c>
      <c r="M60" s="1" t="str">
        <f>VLOOKUP(L60,'[1]Plate Infor'!$B:$C,2,FALSE)</f>
        <v>W-UNPL-CG85EPX-L870-02-7C00</v>
      </c>
      <c r="N60" s="1" t="str">
        <f>VLOOKUP(MID(M60,8,4),'[1]Tipe Plate'!$C:$D,2,FALSE)</f>
        <v>Grid Casting</v>
      </c>
      <c r="O60" s="4">
        <f>VLOOKUP(L60,'[1]Plate Infor'!$B:$D,3,FALSE)*D60</f>
        <v>47628</v>
      </c>
      <c r="P60" s="4">
        <f>IFERROR(VLOOKUP(IF(MID(M60,3,1)="F","W-UNPL-"&amp;RIGHT(M60,20),M60),'[1]Data Pule'!$C:$E,3,FALSE),0)*O60</f>
        <v>5820.1415999999999</v>
      </c>
      <c r="Q60" s="1" t="str">
        <f>VLOOKUP(L60,'[1]Plate Infor'!$B:$E,4,FALSE)</f>
        <v>W-UNPL-WG87NXX-T3AF-00-7C00</v>
      </c>
      <c r="R60" s="1" t="str">
        <f>VLOOKUP(MID(Q60,8,4),'[1]Tipe Plate'!$C:$D,2,FALSE)</f>
        <v>Grid Punching</v>
      </c>
      <c r="S60" s="4">
        <f>VLOOKUP(L60,'[1]Plate Infor'!$B:$F,5,FALSE)*D60</f>
        <v>47628</v>
      </c>
      <c r="T60" s="4">
        <f>IFERROR(VLOOKUP(IF(MID(Q60,3,1)="F","W-UNPL-"&amp;RIGHT(Q60,20),Q60),'[1]Data Pule'!$C:$E,3,FALSE),0)*S60</f>
        <v>6224.9795999999988</v>
      </c>
    </row>
    <row r="61" spans="3:20" x14ac:dyDescent="0.35">
      <c r="C61" s="1" t="s">
        <v>36</v>
      </c>
      <c r="D61">
        <v>63</v>
      </c>
      <c r="E61" s="3" t="str">
        <f>MID(C61,5,1)</f>
        <v>W</v>
      </c>
      <c r="F61" s="3"/>
      <c r="G61" s="3"/>
      <c r="H61" s="3"/>
      <c r="I61" s="3"/>
      <c r="J61" s="3"/>
      <c r="K61" s="3"/>
      <c r="L61" s="1" t="str">
        <f>MID(C61,3,17)</f>
        <v>AHWP-75D31LX-B4A3</v>
      </c>
      <c r="M61" s="1" t="str">
        <f>VLOOKUP(L61,'[1]Plate Infor'!$B:$C,2,FALSE)</f>
        <v>W-UNPL-CG85EPX-L870-02-7C00</v>
      </c>
      <c r="N61" s="1" t="str">
        <f>VLOOKUP(MID(M61,8,4),'[1]Tipe Plate'!$C:$D,2,FALSE)</f>
        <v>Grid Casting</v>
      </c>
      <c r="O61" s="4">
        <f>VLOOKUP(L61,'[1]Plate Infor'!$B:$D,3,FALSE)*D61</f>
        <v>1323</v>
      </c>
      <c r="P61" s="4">
        <f>IFERROR(VLOOKUP(IF(MID(M61,3,1)="F","W-UNPL-"&amp;RIGHT(M61,20),M61),'[1]Data Pule'!$C:$E,3,FALSE),0)*O61</f>
        <v>161.67060000000001</v>
      </c>
      <c r="Q61" s="1" t="str">
        <f>VLOOKUP(L61,'[1]Plate Infor'!$B:$E,4,FALSE)</f>
        <v>W-UNPL-WG87NXX-T3AF-00-7C00</v>
      </c>
      <c r="R61" s="1" t="str">
        <f>VLOOKUP(MID(Q61,8,4),'[1]Tipe Plate'!$C:$D,2,FALSE)</f>
        <v>Grid Punching</v>
      </c>
      <c r="S61" s="4">
        <f>VLOOKUP(L61,'[1]Plate Infor'!$B:$F,5,FALSE)*D61</f>
        <v>1323</v>
      </c>
      <c r="T61" s="4">
        <f>IFERROR(VLOOKUP(IF(MID(Q61,3,1)="F","W-UNPL-"&amp;RIGHT(Q61,20),Q61),'[1]Data Pule'!$C:$E,3,FALSE),0)*S61</f>
        <v>172.91609999999997</v>
      </c>
    </row>
    <row r="62" spans="3:20" x14ac:dyDescent="0.35">
      <c r="C62" s="1" t="s">
        <v>37</v>
      </c>
      <c r="D62">
        <v>144</v>
      </c>
      <c r="E62" s="3" t="str">
        <f>MID(C62,5,1)</f>
        <v>W</v>
      </c>
      <c r="F62" s="3"/>
      <c r="G62" s="3"/>
      <c r="H62" s="3"/>
      <c r="I62" s="3"/>
      <c r="J62" s="3"/>
      <c r="K62" s="3"/>
      <c r="L62" s="1" t="str">
        <f>MID(C62,3,17)</f>
        <v>AHWP-65D26LX-B2A3</v>
      </c>
      <c r="M62" s="1" t="str">
        <f>VLOOKUP(L62,'[1]Plate Infor'!$B:$C,2,FALSE)</f>
        <v>W-UNPL-CG85EPX-L870-02-7C00</v>
      </c>
      <c r="N62" s="1" t="str">
        <f>VLOOKUP(MID(M62,8,4),'[1]Tipe Plate'!$C:$D,2,FALSE)</f>
        <v>Grid Casting</v>
      </c>
      <c r="O62" s="4">
        <f>VLOOKUP(L62,'[1]Plate Infor'!$B:$D,3,FALSE)*D62</f>
        <v>2592</v>
      </c>
      <c r="P62" s="4">
        <f>IFERROR(VLOOKUP(IF(MID(M62,3,1)="F","W-UNPL-"&amp;RIGHT(M62,20),M62),'[1]Data Pule'!$C:$E,3,FALSE),0)*O62</f>
        <v>316.74240000000003</v>
      </c>
      <c r="Q62" s="1" t="str">
        <f>VLOOKUP(L62,'[1]Plate Infor'!$B:$E,4,FALSE)</f>
        <v>W-UNPL-WG87NXX-T3AF-00-7C00</v>
      </c>
      <c r="R62" s="1" t="str">
        <f>VLOOKUP(MID(Q62,8,4),'[1]Tipe Plate'!$C:$D,2,FALSE)</f>
        <v>Grid Punching</v>
      </c>
      <c r="S62" s="4">
        <f>VLOOKUP(L62,'[1]Plate Infor'!$B:$F,5,FALSE)*D62</f>
        <v>2592</v>
      </c>
      <c r="T62" s="4">
        <f>IFERROR(VLOOKUP(IF(MID(Q62,3,1)="F","W-UNPL-"&amp;RIGHT(Q62,20),Q62),'[1]Data Pule'!$C:$E,3,FALSE),0)*S62</f>
        <v>338.77439999999996</v>
      </c>
    </row>
    <row r="63" spans="3:20" x14ac:dyDescent="0.35">
      <c r="C63" s="1" t="s">
        <v>38</v>
      </c>
      <c r="D63">
        <v>7920</v>
      </c>
      <c r="E63" s="3" t="str">
        <f>MID(C63,5,1)</f>
        <v>W</v>
      </c>
      <c r="F63" s="3"/>
      <c r="G63" s="3"/>
      <c r="H63" s="3"/>
      <c r="I63" s="3"/>
      <c r="J63" s="3"/>
      <c r="K63" s="3"/>
      <c r="L63" s="1" t="str">
        <f>MID(C63,3,17)</f>
        <v>AHWP-55D26RX-B0A3</v>
      </c>
      <c r="M63" s="1" t="str">
        <f>VLOOKUP(L63,'[1]Plate Infor'!$B:$C,2,FALSE)</f>
        <v>W-UNPL-CG85EPX-L870-02-7C00</v>
      </c>
      <c r="N63" s="1" t="str">
        <f>VLOOKUP(MID(M63,8,4),'[1]Tipe Plate'!$C:$D,2,FALSE)</f>
        <v>Grid Casting</v>
      </c>
      <c r="O63" s="4">
        <f>VLOOKUP(L63,'[1]Plate Infor'!$B:$D,3,FALSE)*D63</f>
        <v>118800</v>
      </c>
      <c r="P63" s="4">
        <f>IFERROR(VLOOKUP(IF(MID(M63,3,1)="F","W-UNPL-"&amp;RIGHT(M63,20),M63),'[1]Data Pule'!$C:$E,3,FALSE),0)*O63</f>
        <v>14517.36</v>
      </c>
      <c r="Q63" s="1" t="str">
        <f>VLOOKUP(L63,'[1]Plate Infor'!$B:$E,4,FALSE)</f>
        <v>W-UNPL-WG87NXX-T3AF-00-7C00</v>
      </c>
      <c r="R63" s="1" t="str">
        <f>VLOOKUP(MID(Q63,8,4),'[1]Tipe Plate'!$C:$D,2,FALSE)</f>
        <v>Grid Punching</v>
      </c>
      <c r="S63" s="4">
        <f>VLOOKUP(L63,'[1]Plate Infor'!$B:$F,5,FALSE)*D63</f>
        <v>118800</v>
      </c>
      <c r="T63" s="4">
        <f>IFERROR(VLOOKUP(IF(MID(Q63,3,1)="F","W-UNPL-"&amp;RIGHT(Q63,20),Q63),'[1]Data Pule'!$C:$E,3,FALSE),0)*S63</f>
        <v>15527.159999999998</v>
      </c>
    </row>
    <row r="64" spans="3:20" x14ac:dyDescent="0.35">
      <c r="C64" s="1" t="s">
        <v>39</v>
      </c>
      <c r="D64">
        <v>2520</v>
      </c>
      <c r="E64" s="3" t="str">
        <f>MID(C64,5,1)</f>
        <v>W</v>
      </c>
      <c r="F64" s="3"/>
      <c r="G64" s="3"/>
      <c r="H64" s="3"/>
      <c r="I64" s="3"/>
      <c r="J64" s="3"/>
      <c r="K64" s="3"/>
      <c r="L64" s="1" t="str">
        <f>MID(C64,3,17)</f>
        <v>AHWP-48D26RX-A8A3</v>
      </c>
      <c r="M64" s="1" t="str">
        <f>VLOOKUP(L64,'[1]Plate Infor'!$B:$C,2,FALSE)</f>
        <v>W-UNPL-CG85EPX-L870-02-7C00</v>
      </c>
      <c r="N64" s="1" t="str">
        <f>VLOOKUP(MID(M64,8,4),'[1]Tipe Plate'!$C:$D,2,FALSE)</f>
        <v>Grid Casting</v>
      </c>
      <c r="O64" s="4">
        <f>VLOOKUP(L64,'[1]Plate Infor'!$B:$D,3,FALSE)*D64</f>
        <v>30240</v>
      </c>
      <c r="P64" s="4">
        <f>IFERROR(VLOOKUP(IF(MID(M64,3,1)="F","W-UNPL-"&amp;RIGHT(M64,20),M64),'[1]Data Pule'!$C:$E,3,FALSE),0)*O64</f>
        <v>3695.328</v>
      </c>
      <c r="Q64" s="1" t="str">
        <f>VLOOKUP(L64,'[1]Plate Infor'!$B:$E,4,FALSE)</f>
        <v>W-UNPL-WG87NXX-T3AF-00-7C00</v>
      </c>
      <c r="R64" s="1" t="str">
        <f>VLOOKUP(MID(Q64,8,4),'[1]Tipe Plate'!$C:$D,2,FALSE)</f>
        <v>Grid Punching</v>
      </c>
      <c r="S64" s="4">
        <f>VLOOKUP(L64,'[1]Plate Infor'!$B:$F,5,FALSE)*D64</f>
        <v>30240</v>
      </c>
      <c r="T64" s="4">
        <f>IFERROR(VLOOKUP(IF(MID(Q64,3,1)="F","W-UNPL-"&amp;RIGHT(Q64,20),Q64),'[1]Data Pule'!$C:$E,3,FALSE),0)*S64</f>
        <v>3952.3679999999995</v>
      </c>
    </row>
    <row r="65" spans="3:20" x14ac:dyDescent="0.35">
      <c r="C65" s="1" t="s">
        <v>40</v>
      </c>
      <c r="D65">
        <v>144</v>
      </c>
      <c r="E65" s="3" t="str">
        <f>MID(C65,5,1)</f>
        <v>W</v>
      </c>
      <c r="F65" s="3"/>
      <c r="G65" s="3"/>
      <c r="H65" s="3"/>
      <c r="I65" s="3"/>
      <c r="J65" s="3"/>
      <c r="K65" s="3"/>
      <c r="L65" s="1" t="str">
        <f>MID(C65,3,17)</f>
        <v>AHWP-55D26LX-B0A3</v>
      </c>
      <c r="M65" s="1" t="str">
        <f>VLOOKUP(L65,'[1]Plate Infor'!$B:$C,2,FALSE)</f>
        <v>W-UNPL-CG85EPX-L870-02-7C00</v>
      </c>
      <c r="N65" s="1" t="str">
        <f>VLOOKUP(MID(M65,8,4),'[1]Tipe Plate'!$C:$D,2,FALSE)</f>
        <v>Grid Casting</v>
      </c>
      <c r="O65" s="4">
        <f>VLOOKUP(L65,'[1]Plate Infor'!$B:$D,3,FALSE)*D65</f>
        <v>2160</v>
      </c>
      <c r="P65" s="4">
        <f>IFERROR(VLOOKUP(IF(MID(M65,3,1)="F","W-UNPL-"&amp;RIGHT(M65,20),M65),'[1]Data Pule'!$C:$E,3,FALSE),0)*O65</f>
        <v>263.952</v>
      </c>
      <c r="Q65" s="1" t="str">
        <f>VLOOKUP(L65,'[1]Plate Infor'!$B:$E,4,FALSE)</f>
        <v>W-UNPL-WG87NXX-T3AF-00-7C00</v>
      </c>
      <c r="R65" s="1" t="str">
        <f>VLOOKUP(MID(Q65,8,4),'[1]Tipe Plate'!$C:$D,2,FALSE)</f>
        <v>Grid Punching</v>
      </c>
      <c r="S65" s="4">
        <f>VLOOKUP(L65,'[1]Plate Infor'!$B:$F,5,FALSE)*D65</f>
        <v>2160</v>
      </c>
      <c r="T65" s="4">
        <f>IFERROR(VLOOKUP(IF(MID(Q65,3,1)="F","W-UNPL-"&amp;RIGHT(Q65,20),Q65),'[1]Data Pule'!$C:$E,3,FALSE),0)*S65</f>
        <v>282.31199999999995</v>
      </c>
    </row>
    <row r="66" spans="3:20" x14ac:dyDescent="0.35">
      <c r="C66" s="1" t="s">
        <v>41</v>
      </c>
      <c r="D66">
        <v>50</v>
      </c>
      <c r="E66" s="3" t="str">
        <f>MID(C66,5,1)</f>
        <v>W</v>
      </c>
      <c r="F66" s="3"/>
      <c r="G66" s="3"/>
      <c r="H66" s="3"/>
      <c r="I66" s="3"/>
      <c r="J66" s="3"/>
      <c r="K66" s="3"/>
      <c r="L66" s="1" t="str">
        <f>MID(C66,3,17)</f>
        <v>AHWP-34B20LX-B0A3</v>
      </c>
      <c r="M66" s="1" t="str">
        <f>VLOOKUP(L66,'[1]Plate Infor'!$B:$C,2,FALSE)</f>
        <v>W-UNPL-CM84APX-L870-02-7S00</v>
      </c>
      <c r="N66" s="1" t="str">
        <f>VLOOKUP(MID(M66,8,4),'[1]Tipe Plate'!$C:$D,2,FALSE)</f>
        <v>Grid Casting</v>
      </c>
      <c r="O66" s="4">
        <f>VLOOKUP(L66,'[1]Plate Infor'!$B:$D,3,FALSE)*D66</f>
        <v>750</v>
      </c>
      <c r="P66" s="4">
        <f>IFERROR(VLOOKUP(IF(MID(M66,3,1)="F","W-UNPL-"&amp;RIGHT(M66,20),M66),'[1]Data Pule'!$C:$E,3,FALSE),0)*O66</f>
        <v>67.275000000000006</v>
      </c>
      <c r="Q66" s="1" t="str">
        <f>VLOOKUP(L66,'[1]Plate Infor'!$B:$E,4,FALSE)</f>
        <v>W-UNPL-WM85NXX-T3AF-00-7S00</v>
      </c>
      <c r="R66" s="1" t="str">
        <f>VLOOKUP(MID(Q66,8,4),'[1]Tipe Plate'!$C:$D,2,FALSE)</f>
        <v>Grid Punching</v>
      </c>
      <c r="S66" s="4">
        <f>VLOOKUP(L66,'[1]Plate Infor'!$B:$F,5,FALSE)*D66</f>
        <v>750</v>
      </c>
      <c r="T66" s="4">
        <f>IFERROR(VLOOKUP(IF(MID(Q66,3,1)="F","W-UNPL-"&amp;RIGHT(Q66,20),Q66),'[1]Data Pule'!$C:$E,3,FALSE),0)*S66</f>
        <v>79.725000000000009</v>
      </c>
    </row>
    <row r="67" spans="3:20" x14ac:dyDescent="0.35">
      <c r="C67" s="1" t="s">
        <v>42</v>
      </c>
      <c r="D67">
        <v>168</v>
      </c>
      <c r="E67" s="3" t="str">
        <f>MID(C67,5,1)</f>
        <v>W</v>
      </c>
      <c r="F67" s="3"/>
      <c r="G67" s="3"/>
      <c r="H67" s="3"/>
      <c r="I67" s="3"/>
      <c r="J67" s="3"/>
      <c r="K67" s="3"/>
      <c r="L67" s="1" t="str">
        <f>MID(C67,3,17)</f>
        <v>AHWP-55D23LX-B0A3</v>
      </c>
      <c r="M67" s="1" t="str">
        <f>VLOOKUP(L67,'[1]Plate Infor'!$B:$C,2,FALSE)</f>
        <v>W-UNPL-CG85EPX-L870-02-7C00</v>
      </c>
      <c r="N67" s="1" t="str">
        <f>VLOOKUP(MID(M67,8,4),'[1]Tipe Plate'!$C:$D,2,FALSE)</f>
        <v>Grid Casting</v>
      </c>
      <c r="O67" s="4">
        <f>VLOOKUP(L67,'[1]Plate Infor'!$B:$D,3,FALSE)*D67</f>
        <v>2520</v>
      </c>
      <c r="P67" s="4">
        <f>IFERROR(VLOOKUP(IF(MID(M67,3,1)="F","W-UNPL-"&amp;RIGHT(M67,20),M67),'[1]Data Pule'!$C:$E,3,FALSE),0)*O67</f>
        <v>307.94400000000002</v>
      </c>
      <c r="Q67" s="1" t="str">
        <f>VLOOKUP(L67,'[1]Plate Infor'!$B:$E,4,FALSE)</f>
        <v>W-UNPL-WG87NXX-T3AF-00-7C00</v>
      </c>
      <c r="R67" s="1" t="str">
        <f>VLOOKUP(MID(Q67,8,4),'[1]Tipe Plate'!$C:$D,2,FALSE)</f>
        <v>Grid Punching</v>
      </c>
      <c r="S67" s="4">
        <f>VLOOKUP(L67,'[1]Plate Infor'!$B:$F,5,FALSE)*D67</f>
        <v>2520</v>
      </c>
      <c r="T67" s="4">
        <f>IFERROR(VLOOKUP(IF(MID(Q67,3,1)="F","W-UNPL-"&amp;RIGHT(Q67,20),Q67),'[1]Data Pule'!$C:$E,3,FALSE),0)*S67</f>
        <v>329.36399999999998</v>
      </c>
    </row>
    <row r="68" spans="3:20" x14ac:dyDescent="0.35">
      <c r="C68" s="1" t="s">
        <v>43</v>
      </c>
      <c r="D68">
        <v>144</v>
      </c>
      <c r="E68" s="3" t="str">
        <f>MID(C68,5,1)</f>
        <v>W</v>
      </c>
      <c r="F68" s="3"/>
      <c r="G68" s="3"/>
      <c r="H68" s="3"/>
      <c r="I68" s="3"/>
      <c r="J68" s="3"/>
      <c r="K68" s="3"/>
      <c r="L68" s="1" t="str">
        <f>MID(C68,3,17)</f>
        <v>AHWP-80D26LX-B3A3</v>
      </c>
      <c r="M68" s="1" t="str">
        <f>VLOOKUP(L68,'[1]Plate Infor'!$B:$C,2,FALSE)</f>
        <v>W-UNPL-CG85EPX-L870-02-7C00</v>
      </c>
      <c r="N68" s="1" t="str">
        <f>VLOOKUP(MID(M68,8,4),'[1]Tipe Plate'!$C:$D,2,FALSE)</f>
        <v>Grid Casting</v>
      </c>
      <c r="O68" s="4">
        <f>VLOOKUP(L68,'[1]Plate Infor'!$B:$D,3,FALSE)*D68</f>
        <v>3024</v>
      </c>
      <c r="P68" s="4">
        <f>IFERROR(VLOOKUP(IF(MID(M68,3,1)="F","W-UNPL-"&amp;RIGHT(M68,20),M68),'[1]Data Pule'!$C:$E,3,FALSE),0)*O68</f>
        <v>369.53280000000001</v>
      </c>
      <c r="Q68" s="1" t="str">
        <f>VLOOKUP(L68,'[1]Plate Infor'!$B:$E,4,FALSE)</f>
        <v>W-UNPL-WG87NXX-T3AF-00-7C00</v>
      </c>
      <c r="R68" s="1" t="str">
        <f>VLOOKUP(MID(Q68,8,4),'[1]Tipe Plate'!$C:$D,2,FALSE)</f>
        <v>Grid Punching</v>
      </c>
      <c r="S68" s="4">
        <f>VLOOKUP(L68,'[1]Plate Infor'!$B:$F,5,FALSE)*D68</f>
        <v>2592</v>
      </c>
      <c r="T68" s="4">
        <f>IFERROR(VLOOKUP(IF(MID(Q68,3,1)="F","W-UNPL-"&amp;RIGHT(Q68,20),Q68),'[1]Data Pule'!$C:$E,3,FALSE),0)*S68</f>
        <v>338.77439999999996</v>
      </c>
    </row>
    <row r="69" spans="3:20" x14ac:dyDescent="0.35">
      <c r="C69" s="1" t="s">
        <v>44</v>
      </c>
      <c r="D69">
        <v>126</v>
      </c>
      <c r="E69" s="3" t="str">
        <f>MID(C69,5,1)</f>
        <v>W</v>
      </c>
      <c r="F69" s="3"/>
      <c r="G69" s="3"/>
      <c r="H69" s="3"/>
      <c r="I69" s="3"/>
      <c r="J69" s="3"/>
      <c r="K69" s="3"/>
      <c r="L69" s="1" t="str">
        <f>MID(C69,3,17)</f>
        <v>AHWP-95D31LX-B6A3</v>
      </c>
      <c r="M69" s="1" t="str">
        <f>VLOOKUP(L69,'[1]Plate Infor'!$B:$C,2,FALSE)</f>
        <v>W-UNPL-CG85EPX-L870-02-7C00</v>
      </c>
      <c r="N69" s="1" t="str">
        <f>VLOOKUP(MID(M69,8,4),'[1]Tipe Plate'!$C:$D,2,FALSE)</f>
        <v>Grid Casting</v>
      </c>
      <c r="O69" s="4">
        <f>VLOOKUP(L69,'[1]Plate Infor'!$B:$D,3,FALSE)*D69</f>
        <v>3024</v>
      </c>
      <c r="P69" s="4">
        <f>IFERROR(VLOOKUP(IF(MID(M69,3,1)="F","W-UNPL-"&amp;RIGHT(M69,20),M69),'[1]Data Pule'!$C:$E,3,FALSE),0)*O69</f>
        <v>369.53280000000001</v>
      </c>
      <c r="Q69" s="1" t="str">
        <f>VLOOKUP(L69,'[1]Plate Infor'!$B:$E,4,FALSE)</f>
        <v>W-UNPL-WG87NXX-T3AF-00-7C00</v>
      </c>
      <c r="R69" s="1" t="str">
        <f>VLOOKUP(MID(Q69,8,4),'[1]Tipe Plate'!$C:$D,2,FALSE)</f>
        <v>Grid Punching</v>
      </c>
      <c r="S69" s="4">
        <f>VLOOKUP(L69,'[1]Plate Infor'!$B:$F,5,FALSE)*D69</f>
        <v>3024</v>
      </c>
      <c r="T69" s="4">
        <f>IFERROR(VLOOKUP(IF(MID(Q69,3,1)="F","W-UNPL-"&amp;RIGHT(Q69,20),Q69),'[1]Data Pule'!$C:$E,3,FALSE),0)*S69</f>
        <v>395.23679999999996</v>
      </c>
    </row>
    <row r="70" spans="3:20" x14ac:dyDescent="0.35">
      <c r="C70" s="1" t="s">
        <v>45</v>
      </c>
      <c r="D70">
        <v>624</v>
      </c>
      <c r="E70" s="3" t="str">
        <f>MID(C70,5,1)</f>
        <v>W</v>
      </c>
      <c r="F70" s="3"/>
      <c r="G70" s="3"/>
      <c r="H70" s="3"/>
      <c r="I70" s="3"/>
      <c r="J70" s="3"/>
      <c r="K70" s="3"/>
      <c r="L70" s="1" t="str">
        <f>MID(C70,3,17)</f>
        <v>AMWP-60038LX-B8C3</v>
      </c>
      <c r="M70" s="1" t="str">
        <f>VLOOKUP(L70,'[1]Plate Infor'!$B:$C,2,FALSE)</f>
        <v>W-UNPL-YG79HDP-L650-02-7S00</v>
      </c>
      <c r="N70" s="1" t="str">
        <f>VLOOKUP(MID(M70,8,4),'[1]Tipe Plate'!$C:$D,2,FALSE)</f>
        <v>Grid Casting</v>
      </c>
      <c r="O70" s="4">
        <f>VLOOKUP(L70,'[1]Plate Infor'!$B:$D,3,FALSE)*D70</f>
        <v>16848</v>
      </c>
      <c r="P70" s="4">
        <f>IFERROR(VLOOKUP(IF(MID(M70,3,1)="F","W-UNPL-"&amp;RIGHT(M70,20),M70),'[1]Data Pule'!$C:$E,3,FALSE),0)*O70</f>
        <v>2431.1663999999996</v>
      </c>
      <c r="Q70" s="1" t="str">
        <f>VLOOKUP(L70,'[1]Plate Infor'!$B:$E,4,FALSE)</f>
        <v>W-UNPL-YG85NXX-T3A0-02-7S00</v>
      </c>
      <c r="R70" s="1" t="str">
        <f>VLOOKUP(MID(Q70,8,4),'[1]Tipe Plate'!$C:$D,2,FALSE)</f>
        <v>Grid Casting</v>
      </c>
      <c r="S70" s="4">
        <f>VLOOKUP(L70,'[1]Plate Infor'!$B:$F,5,FALSE)*D70</f>
        <v>16848</v>
      </c>
      <c r="T70" s="4">
        <f>IFERROR(VLOOKUP(IF(MID(Q70,3,1)="F","W-UNPL-"&amp;RIGHT(Q70,20),Q70),'[1]Data Pule'!$C:$E,3,FALSE),0)*S70</f>
        <v>2202.0335999999998</v>
      </c>
    </row>
    <row r="71" spans="3:20" x14ac:dyDescent="0.35">
      <c r="C71" s="1" t="s">
        <v>46</v>
      </c>
      <c r="D71">
        <v>546</v>
      </c>
      <c r="E71" s="3" t="str">
        <f>MID(C71,5,1)</f>
        <v>W</v>
      </c>
      <c r="F71" s="3"/>
      <c r="G71" s="3"/>
      <c r="H71" s="3"/>
      <c r="I71" s="3"/>
      <c r="J71" s="3"/>
      <c r="K71" s="3"/>
      <c r="L71" s="1" t="str">
        <f>MID(C71,3,17)</f>
        <v>AMWP-55559LX-B0C3</v>
      </c>
      <c r="M71" s="1" t="str">
        <f>VLOOKUP(L71,'[1]Plate Infor'!$B:$C,2,FALSE)</f>
        <v>W-UNPL-YG82HDP-L650-02-7S00</v>
      </c>
      <c r="N71" s="1" t="str">
        <f>VLOOKUP(MID(M71,8,4),'[1]Tipe Plate'!$C:$D,2,FALSE)</f>
        <v>Grid Casting</v>
      </c>
      <c r="O71" s="4">
        <f>VLOOKUP(L71,'[1]Plate Infor'!$B:$D,3,FALSE)*D71</f>
        <v>8190</v>
      </c>
      <c r="P71" s="4">
        <f>IFERROR(VLOOKUP(IF(MID(M71,3,1)="F","W-UNPL-"&amp;RIGHT(M71,20),M71),'[1]Data Pule'!$C:$E,3,FALSE),0)*O71</f>
        <v>1126.1249999999998</v>
      </c>
      <c r="Q71" s="1" t="str">
        <f>VLOOKUP(L71,'[1]Plate Infor'!$B:$E,4,FALSE)</f>
        <v>W-UNPL-YG85NXX-T3A0-02-7S00</v>
      </c>
      <c r="R71" s="1" t="str">
        <f>VLOOKUP(MID(Q71,8,4),'[1]Tipe Plate'!$C:$D,2,FALSE)</f>
        <v>Grid Casting</v>
      </c>
      <c r="S71" s="4">
        <f>VLOOKUP(L71,'[1]Plate Infor'!$B:$F,5,FALSE)*D71</f>
        <v>8190</v>
      </c>
      <c r="T71" s="4">
        <f>IFERROR(VLOOKUP(IF(MID(Q71,3,1)="F","W-UNPL-"&amp;RIGHT(Q71,20),Q71),'[1]Data Pule'!$C:$E,3,FALSE),0)*S71</f>
        <v>1070.4329999999998</v>
      </c>
    </row>
    <row r="72" spans="3:20" x14ac:dyDescent="0.35">
      <c r="C72" s="1" t="s">
        <v>47</v>
      </c>
      <c r="D72">
        <v>78</v>
      </c>
      <c r="E72" s="3" t="str">
        <f>MID(C72,5,1)</f>
        <v>W</v>
      </c>
      <c r="F72" s="3"/>
      <c r="G72" s="3"/>
      <c r="H72" s="3"/>
      <c r="I72" s="3"/>
      <c r="J72" s="3"/>
      <c r="K72" s="3"/>
      <c r="L72" s="1" t="str">
        <f>MID(C72,3,17)</f>
        <v>AMWP-56219LX-B2C3</v>
      </c>
      <c r="M72" s="1" t="str">
        <f>VLOOKUP(L72,'[1]Plate Infor'!$B:$C,2,FALSE)</f>
        <v>W-UNPL-YG82HDP-L650-02-7S00</v>
      </c>
      <c r="N72" s="1" t="str">
        <f>VLOOKUP(MID(M72,8,4),'[1]Tipe Plate'!$C:$D,2,FALSE)</f>
        <v>Grid Casting</v>
      </c>
      <c r="O72" s="4">
        <f>VLOOKUP(L72,'[1]Plate Infor'!$B:$D,3,FALSE)*D72</f>
        <v>1404</v>
      </c>
      <c r="P72" s="4">
        <f>IFERROR(VLOOKUP(IF(MID(M72,3,1)="F","W-UNPL-"&amp;RIGHT(M72,20),M72),'[1]Data Pule'!$C:$E,3,FALSE),0)*O72</f>
        <v>193.04999999999998</v>
      </c>
      <c r="Q72" s="1" t="str">
        <f>VLOOKUP(L72,'[1]Plate Infor'!$B:$E,4,FALSE)</f>
        <v>W-UNPL-YG85NXX-T3A0-02-7S00</v>
      </c>
      <c r="R72" s="1" t="str">
        <f>VLOOKUP(MID(Q72,8,4),'[1]Tipe Plate'!$C:$D,2,FALSE)</f>
        <v>Grid Casting</v>
      </c>
      <c r="S72" s="4">
        <f>VLOOKUP(L72,'[1]Plate Infor'!$B:$F,5,FALSE)*D72</f>
        <v>1404</v>
      </c>
      <c r="T72" s="4">
        <f>IFERROR(VLOOKUP(IF(MID(Q72,3,1)="F","W-UNPL-"&amp;RIGHT(Q72,20),Q72),'[1]Data Pule'!$C:$E,3,FALSE),0)*S72</f>
        <v>183.50279999999998</v>
      </c>
    </row>
    <row r="73" spans="3:20" x14ac:dyDescent="0.35">
      <c r="C73" s="1" t="s">
        <v>48</v>
      </c>
      <c r="D73">
        <v>1386</v>
      </c>
      <c r="E73" s="3" t="str">
        <f>MID(C73,5,1)</f>
        <v>W</v>
      </c>
      <c r="F73" s="3"/>
      <c r="G73" s="3"/>
      <c r="H73" s="3"/>
      <c r="I73" s="3"/>
      <c r="J73" s="3"/>
      <c r="K73" s="3"/>
      <c r="L73" s="1" t="str">
        <f>MID(C73,3,17)</f>
        <v>AMWP-58024LX-B4C3</v>
      </c>
      <c r="M73" s="1" t="str">
        <f>VLOOKUP(L73,'[1]Plate Infor'!$B:$C,2,FALSE)</f>
        <v>W-UNPL-YG79HDP-L650-02-7S00</v>
      </c>
      <c r="N73" s="1" t="str">
        <f>VLOOKUP(MID(M73,8,4),'[1]Tipe Plate'!$C:$D,2,FALSE)</f>
        <v>Grid Casting</v>
      </c>
      <c r="O73" s="4">
        <f>VLOOKUP(L73,'[1]Plate Infor'!$B:$D,3,FALSE)*D73</f>
        <v>29106</v>
      </c>
      <c r="P73" s="4">
        <f>IFERROR(VLOOKUP(IF(MID(M73,3,1)="F","W-UNPL-"&amp;RIGHT(M73,20),M73),'[1]Data Pule'!$C:$E,3,FALSE),0)*O73</f>
        <v>4199.9957999999997</v>
      </c>
      <c r="Q73" s="1" t="str">
        <f>VLOOKUP(L73,'[1]Plate Infor'!$B:$E,4,FALSE)</f>
        <v>W-UNPL-YG85NXX-T3A0-02-7S00</v>
      </c>
      <c r="R73" s="1" t="str">
        <f>VLOOKUP(MID(Q73,8,4),'[1]Tipe Plate'!$C:$D,2,FALSE)</f>
        <v>Grid Casting</v>
      </c>
      <c r="S73" s="4">
        <f>VLOOKUP(L73,'[1]Plate Infor'!$B:$F,5,FALSE)*D73</f>
        <v>29106</v>
      </c>
      <c r="T73" s="4">
        <f>IFERROR(VLOOKUP(IF(MID(Q73,3,1)="F","W-UNPL-"&amp;RIGHT(Q73,20),Q73),'[1]Data Pule'!$C:$E,3,FALSE),0)*S73</f>
        <v>3804.1541999999995</v>
      </c>
    </row>
    <row r="74" spans="3:20" x14ac:dyDescent="0.35">
      <c r="C74" s="1" t="s">
        <v>49</v>
      </c>
      <c r="D74">
        <v>972</v>
      </c>
      <c r="E74" s="3" t="str">
        <f>MID(C74,5,1)</f>
        <v>W</v>
      </c>
      <c r="F74" s="3"/>
      <c r="G74" s="3"/>
      <c r="H74" s="3"/>
      <c r="I74" s="3"/>
      <c r="J74" s="3"/>
      <c r="K74" s="3"/>
      <c r="L74" s="1" t="str">
        <f>MID(C74,3,17)</f>
        <v>AMWP-46B24RX-B1P3</v>
      </c>
      <c r="M74" s="1" t="str">
        <f>VLOOKUP(L74,'[1]Plate Infor'!$B:$C,2,FALSE)</f>
        <v>W-UNPL-WM84PXX-L65F-00-7S00</v>
      </c>
      <c r="N74" s="1" t="str">
        <f>VLOOKUP(MID(M74,8,4),'[1]Tipe Plate'!$C:$D,2,FALSE)</f>
        <v>Grid Casting</v>
      </c>
      <c r="O74" s="4">
        <f>VLOOKUP(L74,'[1]Plate Infor'!$B:$D,3,FALSE)*D74</f>
        <v>17496</v>
      </c>
      <c r="P74" s="4">
        <f>IFERROR(VLOOKUP(IF(MID(M74,3,1)="F","W-UNPL-"&amp;RIGHT(M74,20),M74),'[1]Data Pule'!$C:$E,3,FALSE),0)*O74</f>
        <v>1992.7944</v>
      </c>
      <c r="Q74" s="1" t="str">
        <f>VLOOKUP(L74,'[1]Plate Infor'!$B:$E,4,FALSE)</f>
        <v>W-UNPL-WM85NXX-T3AF-00-7S00</v>
      </c>
      <c r="R74" s="1" t="str">
        <f>VLOOKUP(MID(Q74,8,4),'[1]Tipe Plate'!$C:$D,2,FALSE)</f>
        <v>Grid Punching</v>
      </c>
      <c r="S74" s="4">
        <f>VLOOKUP(L74,'[1]Plate Infor'!$B:$F,5,FALSE)*D74</f>
        <v>14580</v>
      </c>
      <c r="T74" s="4">
        <f>IFERROR(VLOOKUP(IF(MID(Q74,3,1)="F","W-UNPL-"&amp;RIGHT(Q74,20),Q74),'[1]Data Pule'!$C:$E,3,FALSE),0)*S74</f>
        <v>1549.854</v>
      </c>
    </row>
    <row r="75" spans="3:20" x14ac:dyDescent="0.35">
      <c r="C75" s="1" t="s">
        <v>50</v>
      </c>
      <c r="D75">
        <v>324</v>
      </c>
      <c r="E75" s="3" t="str">
        <f>MID(C75,5,1)</f>
        <v>W</v>
      </c>
      <c r="F75" s="3"/>
      <c r="G75" s="3"/>
      <c r="H75" s="3"/>
      <c r="I75" s="3"/>
      <c r="J75" s="3"/>
      <c r="K75" s="3"/>
      <c r="L75" s="1" t="str">
        <f>MID(C75,3,17)</f>
        <v>AMWP-46B24LS-B1P3</v>
      </c>
      <c r="M75" s="1" t="str">
        <f>VLOOKUP(L75,'[1]Plate Infor'!$B:$C,2,FALSE)</f>
        <v>W-UNPL-WM84PXX-L65F-00-7S00</v>
      </c>
      <c r="N75" s="1" t="str">
        <f>VLOOKUP(MID(M75,8,4),'[1]Tipe Plate'!$C:$D,2,FALSE)</f>
        <v>Grid Casting</v>
      </c>
      <c r="O75" s="4">
        <f>VLOOKUP(L75,'[1]Plate Infor'!$B:$D,3,FALSE)*D75</f>
        <v>5832</v>
      </c>
      <c r="P75" s="4">
        <f>IFERROR(VLOOKUP(IF(MID(M75,3,1)="F","W-UNPL-"&amp;RIGHT(M75,20),M75),'[1]Data Pule'!$C:$E,3,FALSE),0)*O75</f>
        <v>664.26480000000004</v>
      </c>
      <c r="Q75" s="1" t="str">
        <f>VLOOKUP(L75,'[1]Plate Infor'!$B:$E,4,FALSE)</f>
        <v>W-UNPL-WM85NXX-T3AF-00-7S00</v>
      </c>
      <c r="R75" s="1" t="str">
        <f>VLOOKUP(MID(Q75,8,4),'[1]Tipe Plate'!$C:$D,2,FALSE)</f>
        <v>Grid Punching</v>
      </c>
      <c r="S75" s="4">
        <f>VLOOKUP(L75,'[1]Plate Infor'!$B:$F,5,FALSE)*D75</f>
        <v>4860</v>
      </c>
      <c r="T75" s="4">
        <f>IFERROR(VLOOKUP(IF(MID(Q75,3,1)="F","W-UNPL-"&amp;RIGHT(Q75,20),Q75),'[1]Data Pule'!$C:$E,3,FALSE),0)*S75</f>
        <v>516.61800000000005</v>
      </c>
    </row>
    <row r="76" spans="3:20" x14ac:dyDescent="0.35">
      <c r="C76" s="1" t="s">
        <v>51</v>
      </c>
      <c r="D76">
        <v>540</v>
      </c>
      <c r="E76" s="3" t="str">
        <f>MID(C76,5,1)</f>
        <v>W</v>
      </c>
      <c r="F76" s="3"/>
      <c r="G76" s="3"/>
      <c r="H76" s="3"/>
      <c r="I76" s="3"/>
      <c r="J76" s="3"/>
      <c r="K76" s="3"/>
      <c r="L76" s="1" t="str">
        <f>MID(C76,3,17)</f>
        <v>AMWP-46B24LX-B1P3</v>
      </c>
      <c r="M76" s="1" t="str">
        <f>VLOOKUP(L76,'[1]Plate Infor'!$B:$C,2,FALSE)</f>
        <v>W-UNPL-WM84PXX-L65F-00-7S00</v>
      </c>
      <c r="N76" s="1" t="str">
        <f>VLOOKUP(MID(M76,8,4),'[1]Tipe Plate'!$C:$D,2,FALSE)</f>
        <v>Grid Casting</v>
      </c>
      <c r="O76" s="4">
        <f>VLOOKUP(L76,'[1]Plate Infor'!$B:$D,3,FALSE)*D76</f>
        <v>9720</v>
      </c>
      <c r="P76" s="4">
        <f>IFERROR(VLOOKUP(IF(MID(M76,3,1)="F","W-UNPL-"&amp;RIGHT(M76,20),M76),'[1]Data Pule'!$C:$E,3,FALSE),0)*O76</f>
        <v>1107.1079999999999</v>
      </c>
      <c r="Q76" s="1" t="str">
        <f>VLOOKUP(L76,'[1]Plate Infor'!$B:$E,4,FALSE)</f>
        <v>W-UNPL-WM85NXX-T3AF-00-7S00</v>
      </c>
      <c r="R76" s="1" t="str">
        <f>VLOOKUP(MID(Q76,8,4),'[1]Tipe Plate'!$C:$D,2,FALSE)</f>
        <v>Grid Punching</v>
      </c>
      <c r="S76" s="4">
        <f>VLOOKUP(L76,'[1]Plate Infor'!$B:$F,5,FALSE)*D76</f>
        <v>8100</v>
      </c>
      <c r="T76" s="4">
        <f>IFERROR(VLOOKUP(IF(MID(Q76,3,1)="F","W-UNPL-"&amp;RIGHT(Q76,20),Q76),'[1]Data Pule'!$C:$E,3,FALSE),0)*S76</f>
        <v>861.03000000000009</v>
      </c>
    </row>
    <row r="77" spans="3:20" x14ac:dyDescent="0.35">
      <c r="C77" s="1" t="s">
        <v>52</v>
      </c>
      <c r="D77">
        <v>1080</v>
      </c>
      <c r="E77" s="3" t="str">
        <f>MID(C77,5,1)</f>
        <v>W</v>
      </c>
      <c r="F77" s="3"/>
      <c r="G77" s="3"/>
      <c r="H77" s="3"/>
      <c r="I77" s="3"/>
      <c r="J77" s="3"/>
      <c r="K77" s="3"/>
      <c r="L77" s="1" t="str">
        <f>MID(C77,3,17)</f>
        <v>AVWP-32B20RX-A8A3</v>
      </c>
      <c r="M77" s="1" t="str">
        <f>VLOOKUP(L77,'[1]Plate Infor'!$B:$C,2,FALSE)</f>
        <v>W-UNPL-CM84APX-L870-02-7S00</v>
      </c>
      <c r="N77" s="1" t="str">
        <f>VLOOKUP(MID(M77,8,4),'[1]Tipe Plate'!$C:$D,2,FALSE)</f>
        <v>Grid Casting</v>
      </c>
      <c r="O77" s="4">
        <f>VLOOKUP(L77,'[1]Plate Infor'!$B:$D,3,FALSE)*D77</f>
        <v>12960</v>
      </c>
      <c r="P77" s="4">
        <f>IFERROR(VLOOKUP(IF(MID(M77,3,1)="F","W-UNPL-"&amp;RIGHT(M77,20),M77),'[1]Data Pule'!$C:$E,3,FALSE),0)*O77</f>
        <v>1162.5119999999999</v>
      </c>
      <c r="Q77" s="1" t="str">
        <f>VLOOKUP(L77,'[1]Plate Infor'!$B:$E,4,FALSE)</f>
        <v>W-UNPL-WM85NXX-T3AF-00-7S00</v>
      </c>
      <c r="R77" s="1" t="str">
        <f>VLOOKUP(MID(Q77,8,4),'[1]Tipe Plate'!$C:$D,2,FALSE)</f>
        <v>Grid Punching</v>
      </c>
      <c r="S77" s="4">
        <f>VLOOKUP(L77,'[1]Plate Infor'!$B:$F,5,FALSE)*D77</f>
        <v>12960</v>
      </c>
      <c r="T77" s="4">
        <f>IFERROR(VLOOKUP(IF(MID(Q77,3,1)="F","W-UNPL-"&amp;RIGHT(Q77,20),Q77),'[1]Data Pule'!$C:$E,3,FALSE),0)*S77</f>
        <v>1377.6480000000001</v>
      </c>
    </row>
    <row r="78" spans="3:20" x14ac:dyDescent="0.35">
      <c r="C78" s="1" t="s">
        <v>53</v>
      </c>
      <c r="D78">
        <v>1215</v>
      </c>
      <c r="E78" s="3" t="str">
        <f>MID(C78,5,1)</f>
        <v>W</v>
      </c>
      <c r="F78" s="3"/>
      <c r="G78" s="3"/>
      <c r="H78" s="3"/>
      <c r="I78" s="3"/>
      <c r="J78" s="3"/>
      <c r="K78" s="3"/>
      <c r="L78" s="1" t="str">
        <f>MID(C78,3,17)</f>
        <v>AMWP-36B20LX-B0P3</v>
      </c>
      <c r="M78" s="1" t="str">
        <f>VLOOKUP(L78,'[1]Plate Infor'!$B:$C,2,FALSE)</f>
        <v>W-UNPL-WM84PXX-L65F-00-7S00</v>
      </c>
      <c r="N78" s="1" t="str">
        <f>VLOOKUP(MID(M78,8,4),'[1]Tipe Plate'!$C:$D,2,FALSE)</f>
        <v>Grid Casting</v>
      </c>
      <c r="O78" s="4">
        <f>VLOOKUP(L78,'[1]Plate Infor'!$B:$D,3,FALSE)*D78</f>
        <v>18225</v>
      </c>
      <c r="P78" s="4">
        <f>IFERROR(VLOOKUP(IF(MID(M78,3,1)="F","W-UNPL-"&amp;RIGHT(M78,20),M78),'[1]Data Pule'!$C:$E,3,FALSE),0)*O78</f>
        <v>2075.8274999999999</v>
      </c>
      <c r="Q78" s="1" t="str">
        <f>VLOOKUP(L78,'[1]Plate Infor'!$B:$E,4,FALSE)</f>
        <v>W-UNPL-WM85NXX-T3AF-00-7S00</v>
      </c>
      <c r="R78" s="1" t="str">
        <f>VLOOKUP(MID(Q78,8,4),'[1]Tipe Plate'!$C:$D,2,FALSE)</f>
        <v>Grid Punching</v>
      </c>
      <c r="S78" s="4">
        <f>VLOOKUP(L78,'[1]Plate Infor'!$B:$F,5,FALSE)*D78</f>
        <v>18225</v>
      </c>
      <c r="T78" s="4">
        <f>IFERROR(VLOOKUP(IF(MID(Q78,3,1)="F","W-UNPL-"&amp;RIGHT(Q78,20),Q78),'[1]Data Pule'!$C:$E,3,FALSE),0)*S78</f>
        <v>1937.3175000000001</v>
      </c>
    </row>
    <row r="79" spans="3:20" x14ac:dyDescent="0.35">
      <c r="C79" s="1" t="s">
        <v>54</v>
      </c>
      <c r="D79">
        <v>540</v>
      </c>
      <c r="E79" s="3" t="str">
        <f>MID(C79,5,1)</f>
        <v>W</v>
      </c>
      <c r="F79" s="3"/>
      <c r="G79" s="3"/>
      <c r="H79" s="3"/>
      <c r="I79" s="3"/>
      <c r="J79" s="3"/>
      <c r="K79" s="3"/>
      <c r="L79" s="1" t="str">
        <f>MID(C79,3,17)</f>
        <v>AMWP-36B20RX-B0P3</v>
      </c>
      <c r="M79" s="1" t="str">
        <f>VLOOKUP(L79,'[1]Plate Infor'!$B:$C,2,FALSE)</f>
        <v>W-UNPL-WM84PXX-L65F-00-7S00</v>
      </c>
      <c r="N79" s="1" t="str">
        <f>VLOOKUP(MID(M79,8,4),'[1]Tipe Plate'!$C:$D,2,FALSE)</f>
        <v>Grid Casting</v>
      </c>
      <c r="O79" s="4">
        <f>VLOOKUP(L79,'[1]Plate Infor'!$B:$D,3,FALSE)*D79</f>
        <v>8100</v>
      </c>
      <c r="P79" s="4">
        <f>IFERROR(VLOOKUP(IF(MID(M79,3,1)="F","W-UNPL-"&amp;RIGHT(M79,20),M79),'[1]Data Pule'!$C:$E,3,FALSE),0)*O79</f>
        <v>922.59</v>
      </c>
      <c r="Q79" s="1" t="str">
        <f>VLOOKUP(L79,'[1]Plate Infor'!$B:$E,4,FALSE)</f>
        <v>W-UNPL-WM85NXX-T3AF-00-7S00</v>
      </c>
      <c r="R79" s="1" t="str">
        <f>VLOOKUP(MID(Q79,8,4),'[1]Tipe Plate'!$C:$D,2,FALSE)</f>
        <v>Grid Punching</v>
      </c>
      <c r="S79" s="4">
        <f>VLOOKUP(L79,'[1]Plate Infor'!$B:$F,5,FALSE)*D79</f>
        <v>8100</v>
      </c>
      <c r="T79" s="4">
        <f>IFERROR(VLOOKUP(IF(MID(Q79,3,1)="F","W-UNPL-"&amp;RIGHT(Q79,20),Q79),'[1]Data Pule'!$C:$E,3,FALSE),0)*S79</f>
        <v>861.03000000000009</v>
      </c>
    </row>
    <row r="80" spans="3:20" x14ac:dyDescent="0.35">
      <c r="C80" s="1" t="s">
        <v>55</v>
      </c>
      <c r="D80">
        <v>270</v>
      </c>
      <c r="E80" s="3" t="str">
        <f>MID(C80,5,1)</f>
        <v>W</v>
      </c>
      <c r="F80" s="3"/>
      <c r="G80" s="3"/>
      <c r="H80" s="3"/>
      <c r="I80" s="3"/>
      <c r="J80" s="3"/>
      <c r="K80" s="3"/>
      <c r="L80" s="1" t="str">
        <f>MID(C80,3,17)</f>
        <v>AVWP-32B20LX-A8A3</v>
      </c>
      <c r="M80" s="1" t="str">
        <f>VLOOKUP(L80,'[1]Plate Infor'!$B:$C,2,FALSE)</f>
        <v>W-UNPL-CM84APX-L870-02-7S00</v>
      </c>
      <c r="N80" s="1" t="str">
        <f>VLOOKUP(MID(M80,8,4),'[1]Tipe Plate'!$C:$D,2,FALSE)</f>
        <v>Grid Casting</v>
      </c>
      <c r="O80" s="4">
        <f>VLOOKUP(L80,'[1]Plate Infor'!$B:$D,3,FALSE)*D80</f>
        <v>3240</v>
      </c>
      <c r="P80" s="4">
        <f>IFERROR(VLOOKUP(IF(MID(M80,3,1)="F","W-UNPL-"&amp;RIGHT(M80,20),M80),'[1]Data Pule'!$C:$E,3,FALSE),0)*O80</f>
        <v>290.62799999999999</v>
      </c>
      <c r="Q80" s="1" t="str">
        <f>VLOOKUP(L80,'[1]Plate Infor'!$B:$E,4,FALSE)</f>
        <v>W-UNPL-WM85NXX-T3AF-00-7S00</v>
      </c>
      <c r="R80" s="1" t="str">
        <f>VLOOKUP(MID(Q80,8,4),'[1]Tipe Plate'!$C:$D,2,FALSE)</f>
        <v>Grid Punching</v>
      </c>
      <c r="S80" s="4">
        <f>VLOOKUP(L80,'[1]Plate Infor'!$B:$F,5,FALSE)*D80</f>
        <v>3240</v>
      </c>
      <c r="T80" s="4">
        <f>IFERROR(VLOOKUP(IF(MID(Q80,3,1)="F","W-UNPL-"&amp;RIGHT(Q80,20),Q80),'[1]Data Pule'!$C:$E,3,FALSE),0)*S80</f>
        <v>344.41200000000003</v>
      </c>
    </row>
    <row r="81" spans="3:20" x14ac:dyDescent="0.35">
      <c r="C81" s="1" t="s">
        <v>56</v>
      </c>
      <c r="D81">
        <v>63</v>
      </c>
      <c r="E81" s="3" t="str">
        <f>MID(C81,5,1)</f>
        <v>W</v>
      </c>
      <c r="F81" s="3"/>
      <c r="G81" s="3"/>
      <c r="H81" s="3"/>
      <c r="I81" s="3"/>
      <c r="J81" s="3"/>
      <c r="K81" s="3"/>
      <c r="L81" s="1" t="str">
        <f>MID(C81,3,17)</f>
        <v>AMWP-75D31RX-B3P3</v>
      </c>
      <c r="M81" s="1" t="str">
        <f>VLOOKUP(L81,'[1]Plate Infor'!$B:$C,2,FALSE)</f>
        <v>W-UNPL-WG83PXX-L65F-00-7C00</v>
      </c>
      <c r="N81" s="1" t="str">
        <f>VLOOKUP(MID(M81,8,4),'[1]Tipe Plate'!$C:$D,2,FALSE)</f>
        <v>Grid Punching</v>
      </c>
      <c r="O81" s="4">
        <f>VLOOKUP(L81,'[1]Plate Infor'!$B:$D,3,FALSE)*D81</f>
        <v>1134</v>
      </c>
      <c r="P81" s="4">
        <f>IFERROR(VLOOKUP(IF(MID(M81,3,1)="F","W-UNPL-"&amp;RIGHT(M81,20),M81),'[1]Data Pule'!$C:$E,3,FALSE),0)*O81</f>
        <v>191.98619999999997</v>
      </c>
      <c r="Q81" s="1" t="str">
        <f>VLOOKUP(L81,'[1]Plate Infor'!$B:$E,4,FALSE)</f>
        <v>W-UNPL-WG87NXX-T3AF-00-7C00</v>
      </c>
      <c r="R81" s="1" t="str">
        <f>VLOOKUP(MID(Q81,8,4),'[1]Tipe Plate'!$C:$D,2,FALSE)</f>
        <v>Grid Punching</v>
      </c>
      <c r="S81" s="4">
        <f>VLOOKUP(L81,'[1]Plate Infor'!$B:$F,5,FALSE)*D81</f>
        <v>1323</v>
      </c>
      <c r="T81" s="4">
        <f>IFERROR(VLOOKUP(IF(MID(Q81,3,1)="F","W-UNPL-"&amp;RIGHT(Q81,20),Q81),'[1]Data Pule'!$C:$E,3,FALSE),0)*S81</f>
        <v>172.91609999999997</v>
      </c>
    </row>
    <row r="82" spans="3:20" x14ac:dyDescent="0.35">
      <c r="C82" s="1" t="s">
        <v>57</v>
      </c>
      <c r="D82">
        <v>63</v>
      </c>
      <c r="E82" s="3" t="str">
        <f>MID(C82,5,1)</f>
        <v>W</v>
      </c>
      <c r="F82" s="3"/>
      <c r="G82" s="3"/>
      <c r="H82" s="3"/>
      <c r="I82" s="3"/>
      <c r="J82" s="3"/>
      <c r="K82" s="3"/>
      <c r="L82" s="1" t="str">
        <f>MID(C82,3,17)</f>
        <v>AMWP-65D31RX-B2P3</v>
      </c>
      <c r="M82" s="1" t="str">
        <f>VLOOKUP(L82,'[1]Plate Infor'!$B:$C,2,FALSE)</f>
        <v>W-UNPL-WG83PXX-L65F-00-7C00</v>
      </c>
      <c r="N82" s="1" t="str">
        <f>VLOOKUP(MID(M82,8,4),'[1]Tipe Plate'!$C:$D,2,FALSE)</f>
        <v>Grid Punching</v>
      </c>
      <c r="O82" s="4">
        <f>VLOOKUP(L82,'[1]Plate Infor'!$B:$D,3,FALSE)*D82</f>
        <v>1134</v>
      </c>
      <c r="P82" s="4">
        <f>IFERROR(VLOOKUP(IF(MID(M82,3,1)="F","W-UNPL-"&amp;RIGHT(M82,20),M82),'[1]Data Pule'!$C:$E,3,FALSE),0)*O82</f>
        <v>191.98619999999997</v>
      </c>
      <c r="Q82" s="1" t="str">
        <f>VLOOKUP(L82,'[1]Plate Infor'!$B:$E,4,FALSE)</f>
        <v>W-UNPL-WG87NXX-T3AF-00-7C00</v>
      </c>
      <c r="R82" s="1" t="str">
        <f>VLOOKUP(MID(Q82,8,4),'[1]Tipe Plate'!$C:$D,2,FALSE)</f>
        <v>Grid Punching</v>
      </c>
      <c r="S82" s="4">
        <f>VLOOKUP(L82,'[1]Plate Infor'!$B:$F,5,FALSE)*D82</f>
        <v>1134</v>
      </c>
      <c r="T82" s="4">
        <f>IFERROR(VLOOKUP(IF(MID(Q82,3,1)="F","W-UNPL-"&amp;RIGHT(Q82,20),Q82),'[1]Data Pule'!$C:$E,3,FALSE),0)*S82</f>
        <v>148.21379999999999</v>
      </c>
    </row>
    <row r="83" spans="3:20" x14ac:dyDescent="0.35">
      <c r="C83" s="1" t="s">
        <v>58</v>
      </c>
      <c r="D83">
        <v>40</v>
      </c>
      <c r="E83" s="3" t="str">
        <f>MID(C83,5,1)</f>
        <v>W</v>
      </c>
      <c r="F83" s="3"/>
      <c r="G83" s="3"/>
      <c r="H83" s="3"/>
      <c r="I83" s="3"/>
      <c r="J83" s="3"/>
      <c r="K83" s="3"/>
      <c r="L83" s="1" t="str">
        <f>MID(C83,3,17)</f>
        <v>AMWP-75D31LX-B3P3</v>
      </c>
      <c r="M83" s="1" t="str">
        <f>VLOOKUP(L83,'[1]Plate Infor'!$B:$C,2,FALSE)</f>
        <v>W-UNPL-WG83PXX-L65F-00-7C00</v>
      </c>
      <c r="N83" s="1" t="str">
        <f>VLOOKUP(MID(M83,8,4),'[1]Tipe Plate'!$C:$D,2,FALSE)</f>
        <v>Grid Punching</v>
      </c>
      <c r="O83" s="4">
        <f>VLOOKUP(L83,'[1]Plate Infor'!$B:$D,3,FALSE)*D83</f>
        <v>720</v>
      </c>
      <c r="P83" s="4">
        <f>IFERROR(VLOOKUP(IF(MID(M83,3,1)="F","W-UNPL-"&amp;RIGHT(M83,20),M83),'[1]Data Pule'!$C:$E,3,FALSE),0)*O83</f>
        <v>121.89599999999999</v>
      </c>
      <c r="Q83" s="1" t="str">
        <f>VLOOKUP(L83,'[1]Plate Infor'!$B:$E,4,FALSE)</f>
        <v>W-UNPL-WG87NXX-T3AF-00-7C00</v>
      </c>
      <c r="R83" s="1" t="str">
        <f>VLOOKUP(MID(Q83,8,4),'[1]Tipe Plate'!$C:$D,2,FALSE)</f>
        <v>Grid Punching</v>
      </c>
      <c r="S83" s="4">
        <f>VLOOKUP(L83,'[1]Plate Infor'!$B:$F,5,FALSE)*D83</f>
        <v>840</v>
      </c>
      <c r="T83" s="4">
        <f>IFERROR(VLOOKUP(IF(MID(Q83,3,1)="F","W-UNPL-"&amp;RIGHT(Q83,20),Q83),'[1]Data Pule'!$C:$E,3,FALSE),0)*S83</f>
        <v>109.78799999999998</v>
      </c>
    </row>
    <row r="84" spans="3:20" x14ac:dyDescent="0.35">
      <c r="C84" s="1" t="s">
        <v>59</v>
      </c>
      <c r="D84">
        <v>144</v>
      </c>
      <c r="E84" s="3" t="str">
        <f>MID(C84,5,1)</f>
        <v>W</v>
      </c>
      <c r="F84" s="3"/>
      <c r="G84" s="3"/>
      <c r="H84" s="3"/>
      <c r="I84" s="3"/>
      <c r="J84" s="3"/>
      <c r="K84" s="3"/>
      <c r="L84" s="1" t="str">
        <f>MID(C84,3,17)</f>
        <v>AMWP-65D26RX-B3P3</v>
      </c>
      <c r="M84" s="1" t="str">
        <f>VLOOKUP(L84,'[1]Plate Infor'!$B:$C,2,FALSE)</f>
        <v>W-UNPL-WG83PXX-L65F-00-7C00</v>
      </c>
      <c r="N84" s="1" t="str">
        <f>VLOOKUP(MID(M84,8,4),'[1]Tipe Plate'!$C:$D,2,FALSE)</f>
        <v>Grid Punching</v>
      </c>
      <c r="O84" s="4">
        <f>VLOOKUP(L84,'[1]Plate Infor'!$B:$D,3,FALSE)*D84</f>
        <v>2592</v>
      </c>
      <c r="P84" s="4">
        <f>IFERROR(VLOOKUP(IF(MID(M84,3,1)="F","W-UNPL-"&amp;RIGHT(M84,20),M84),'[1]Data Pule'!$C:$E,3,FALSE),0)*O84</f>
        <v>438.82559999999995</v>
      </c>
      <c r="Q84" s="1" t="str">
        <f>VLOOKUP(L84,'[1]Plate Infor'!$B:$E,4,FALSE)</f>
        <v>W-UNPL-WG87NXX-T3AF-00-7C00</v>
      </c>
      <c r="R84" s="1" t="str">
        <f>VLOOKUP(MID(Q84,8,4),'[1]Tipe Plate'!$C:$D,2,FALSE)</f>
        <v>Grid Punching</v>
      </c>
      <c r="S84" s="4">
        <f>VLOOKUP(L84,'[1]Plate Infor'!$B:$F,5,FALSE)*D84</f>
        <v>3024</v>
      </c>
      <c r="T84" s="4">
        <f>IFERROR(VLOOKUP(IF(MID(Q84,3,1)="F","W-UNPL-"&amp;RIGHT(Q84,20),Q84),'[1]Data Pule'!$C:$E,3,FALSE),0)*S84</f>
        <v>395.23679999999996</v>
      </c>
    </row>
    <row r="85" spans="3:20" x14ac:dyDescent="0.35">
      <c r="C85" s="1" t="s">
        <v>60</v>
      </c>
      <c r="D85">
        <v>60</v>
      </c>
      <c r="E85" s="3" t="str">
        <f>MID(C85,5,1)</f>
        <v>W</v>
      </c>
      <c r="F85" s="3"/>
      <c r="G85" s="3"/>
      <c r="H85" s="3"/>
      <c r="I85" s="3"/>
      <c r="J85" s="3"/>
      <c r="K85" s="3"/>
      <c r="L85" s="1" t="str">
        <f>MID(C85,3,17)</f>
        <v>AMWP-65D26LX-B3P3</v>
      </c>
      <c r="M85" s="1" t="str">
        <f>VLOOKUP(L85,'[1]Plate Infor'!$B:$C,2,FALSE)</f>
        <v>W-UNPL-WG83PXX-L65F-00-7C00</v>
      </c>
      <c r="N85" s="1" t="str">
        <f>VLOOKUP(MID(M85,8,4),'[1]Tipe Plate'!$C:$D,2,FALSE)</f>
        <v>Grid Punching</v>
      </c>
      <c r="O85" s="4">
        <f>VLOOKUP(L85,'[1]Plate Infor'!$B:$D,3,FALSE)*D85</f>
        <v>1080</v>
      </c>
      <c r="P85" s="4">
        <f>IFERROR(VLOOKUP(IF(MID(M85,3,1)="F","W-UNPL-"&amp;RIGHT(M85,20),M85),'[1]Data Pule'!$C:$E,3,FALSE),0)*O85</f>
        <v>182.84399999999997</v>
      </c>
      <c r="Q85" s="1" t="str">
        <f>VLOOKUP(L85,'[1]Plate Infor'!$B:$E,4,FALSE)</f>
        <v>W-UNPL-WG87NXX-T3AF-00-7C00</v>
      </c>
      <c r="R85" s="1" t="str">
        <f>VLOOKUP(MID(Q85,8,4),'[1]Tipe Plate'!$C:$D,2,FALSE)</f>
        <v>Grid Punching</v>
      </c>
      <c r="S85" s="4">
        <f>VLOOKUP(L85,'[1]Plate Infor'!$B:$F,5,FALSE)*D85</f>
        <v>1260</v>
      </c>
      <c r="T85" s="4">
        <f>IFERROR(VLOOKUP(IF(MID(Q85,3,1)="F","W-UNPL-"&amp;RIGHT(Q85,20),Q85),'[1]Data Pule'!$C:$E,3,FALSE),0)*S85</f>
        <v>164.68199999999999</v>
      </c>
    </row>
    <row r="86" spans="3:20" x14ac:dyDescent="0.35">
      <c r="C86" s="1" t="s">
        <v>61</v>
      </c>
      <c r="D86">
        <v>60</v>
      </c>
      <c r="E86" s="3" t="str">
        <f>MID(C86,5,1)</f>
        <v>W</v>
      </c>
      <c r="F86" s="3"/>
      <c r="G86" s="3"/>
      <c r="H86" s="3"/>
      <c r="I86" s="3"/>
      <c r="J86" s="3"/>
      <c r="K86" s="3"/>
      <c r="L86" s="1" t="str">
        <f>MID(C86,3,17)</f>
        <v>AMWP-48D26RX-A8P3</v>
      </c>
      <c r="M86" s="1" t="str">
        <f>VLOOKUP(L86,'[1]Plate Infor'!$B:$C,2,FALSE)</f>
        <v>W-UNPL-WG83PXX-L65F-00-7C00</v>
      </c>
      <c r="N86" s="1" t="str">
        <f>VLOOKUP(MID(M86,8,4),'[1]Tipe Plate'!$C:$D,2,FALSE)</f>
        <v>Grid Punching</v>
      </c>
      <c r="O86" s="4">
        <f>VLOOKUP(L86,'[1]Plate Infor'!$B:$D,3,FALSE)*D86</f>
        <v>720</v>
      </c>
      <c r="P86" s="4">
        <f>IFERROR(VLOOKUP(IF(MID(M86,3,1)="F","W-UNPL-"&amp;RIGHT(M86,20),M86),'[1]Data Pule'!$C:$E,3,FALSE),0)*O86</f>
        <v>121.89599999999999</v>
      </c>
      <c r="Q86" s="1" t="str">
        <f>VLOOKUP(L86,'[1]Plate Infor'!$B:$E,4,FALSE)</f>
        <v>W-UNPL-WG87NXX-T3AF-00-7C00</v>
      </c>
      <c r="R86" s="1" t="str">
        <f>VLOOKUP(MID(Q86,8,4),'[1]Tipe Plate'!$C:$D,2,FALSE)</f>
        <v>Grid Punching</v>
      </c>
      <c r="S86" s="4">
        <f>VLOOKUP(L86,'[1]Plate Infor'!$B:$F,5,FALSE)*D86</f>
        <v>720</v>
      </c>
      <c r="T86" s="4">
        <f>IFERROR(VLOOKUP(IF(MID(Q86,3,1)="F","W-UNPL-"&amp;RIGHT(Q86,20),Q86),'[1]Data Pule'!$C:$E,3,FALSE),0)*S86</f>
        <v>94.103999999999985</v>
      </c>
    </row>
    <row r="87" spans="3:20" x14ac:dyDescent="0.35">
      <c r="C87" s="1" t="s">
        <v>62</v>
      </c>
      <c r="D87">
        <v>72</v>
      </c>
      <c r="E87" s="3" t="str">
        <f>MID(C87,5,1)</f>
        <v>W</v>
      </c>
      <c r="F87" s="3"/>
      <c r="G87" s="3"/>
      <c r="H87" s="3"/>
      <c r="I87" s="3"/>
      <c r="J87" s="3"/>
      <c r="K87" s="3"/>
      <c r="L87" s="1" t="str">
        <f>MID(C87,3,17)</f>
        <v>AMWP-55D26RX-B0P3</v>
      </c>
      <c r="M87" s="1" t="str">
        <f>VLOOKUP(L87,'[1]Plate Infor'!$B:$C,2,FALSE)</f>
        <v>W-UNPL-WG83PXX-L65F-00-7C00</v>
      </c>
      <c r="N87" s="1" t="str">
        <f>VLOOKUP(MID(M87,8,4),'[1]Tipe Plate'!$C:$D,2,FALSE)</f>
        <v>Grid Punching</v>
      </c>
      <c r="O87" s="4">
        <f>VLOOKUP(L87,'[1]Plate Infor'!$B:$D,3,FALSE)*D87</f>
        <v>1080</v>
      </c>
      <c r="P87" s="4">
        <f>IFERROR(VLOOKUP(IF(MID(M87,3,1)="F","W-UNPL-"&amp;RIGHT(M87,20),M87),'[1]Data Pule'!$C:$E,3,FALSE),0)*O87</f>
        <v>182.84399999999997</v>
      </c>
      <c r="Q87" s="1" t="str">
        <f>VLOOKUP(L87,'[1]Plate Infor'!$B:$E,4,FALSE)</f>
        <v>W-UNPL-WG87NXX-T3AF-00-7C00</v>
      </c>
      <c r="R87" s="1" t="str">
        <f>VLOOKUP(MID(Q87,8,4),'[1]Tipe Plate'!$C:$D,2,FALSE)</f>
        <v>Grid Punching</v>
      </c>
      <c r="S87" s="4">
        <f>VLOOKUP(L87,'[1]Plate Infor'!$B:$F,5,FALSE)*D87</f>
        <v>1080</v>
      </c>
      <c r="T87" s="4">
        <f>IFERROR(VLOOKUP(IF(MID(Q87,3,1)="F","W-UNPL-"&amp;RIGHT(Q87,20),Q87),'[1]Data Pule'!$C:$E,3,FALSE),0)*S87</f>
        <v>141.15599999999998</v>
      </c>
    </row>
    <row r="88" spans="3:20" x14ac:dyDescent="0.35">
      <c r="C88" s="1" t="s">
        <v>63</v>
      </c>
      <c r="D88">
        <v>168</v>
      </c>
      <c r="E88" s="3" t="str">
        <f>MID(C88,5,1)</f>
        <v>W</v>
      </c>
      <c r="F88" s="3"/>
      <c r="G88" s="3"/>
      <c r="H88" s="3"/>
      <c r="I88" s="3"/>
      <c r="J88" s="3"/>
      <c r="K88" s="3"/>
      <c r="L88" s="1" t="str">
        <f>MID(C88,3,17)</f>
        <v>AMWP-55D23LX-B0P3</v>
      </c>
      <c r="M88" s="1" t="str">
        <f>VLOOKUP(L88,'[1]Plate Infor'!$B:$C,2,FALSE)</f>
        <v>W-UNPL-WG83PXX-L65F-00-7C00</v>
      </c>
      <c r="N88" s="1" t="str">
        <f>VLOOKUP(MID(M88,8,4),'[1]Tipe Plate'!$C:$D,2,FALSE)</f>
        <v>Grid Punching</v>
      </c>
      <c r="O88" s="4">
        <f>VLOOKUP(L88,'[1]Plate Infor'!$B:$D,3,FALSE)*D88</f>
        <v>2520</v>
      </c>
      <c r="P88" s="4">
        <f>IFERROR(VLOOKUP(IF(MID(M88,3,1)="F","W-UNPL-"&amp;RIGHT(M88,20),M88),'[1]Data Pule'!$C:$E,3,FALSE),0)*O88</f>
        <v>426.63599999999997</v>
      </c>
      <c r="Q88" s="1" t="str">
        <f>VLOOKUP(L88,'[1]Plate Infor'!$B:$E,4,FALSE)</f>
        <v>W-UNPL-WG87NXX-T3AF-00-7C00</v>
      </c>
      <c r="R88" s="1" t="str">
        <f>VLOOKUP(MID(Q88,8,4),'[1]Tipe Plate'!$C:$D,2,FALSE)</f>
        <v>Grid Punching</v>
      </c>
      <c r="S88" s="4">
        <f>VLOOKUP(L88,'[1]Plate Infor'!$B:$F,5,FALSE)*D88</f>
        <v>2520</v>
      </c>
      <c r="T88" s="4">
        <f>IFERROR(VLOOKUP(IF(MID(Q88,3,1)="F","W-UNPL-"&amp;RIGHT(Q88,20),Q88),'[1]Data Pule'!$C:$E,3,FALSE),0)*S88</f>
        <v>329.36399999999998</v>
      </c>
    </row>
    <row r="89" spans="3:20" x14ac:dyDescent="0.35">
      <c r="C89" s="1" t="s">
        <v>64</v>
      </c>
      <c r="D89">
        <v>216</v>
      </c>
      <c r="E89" s="3" t="str">
        <f>MID(C89,5,1)</f>
        <v>W</v>
      </c>
      <c r="F89" s="3"/>
      <c r="G89" s="3"/>
      <c r="H89" s="3"/>
      <c r="I89" s="3"/>
      <c r="J89" s="3"/>
      <c r="K89" s="3"/>
      <c r="L89" s="1" t="str">
        <f>MID(C89,3,17)</f>
        <v>AMWP-80D26LX-B3P3</v>
      </c>
      <c r="M89" s="1" t="str">
        <f>VLOOKUP(L89,'[1]Plate Infor'!$B:$C,2,FALSE)</f>
        <v>W-UNPL-WG83PXX-L65F-00-7C00</v>
      </c>
      <c r="N89" s="1" t="str">
        <f>VLOOKUP(MID(M89,8,4),'[1]Tipe Plate'!$C:$D,2,FALSE)</f>
        <v>Grid Punching</v>
      </c>
      <c r="O89" s="4">
        <f>VLOOKUP(L89,'[1]Plate Infor'!$B:$D,3,FALSE)*D89</f>
        <v>4536</v>
      </c>
      <c r="P89" s="4">
        <f>IFERROR(VLOOKUP(IF(MID(M89,3,1)="F","W-UNPL-"&amp;RIGHT(M89,20),M89),'[1]Data Pule'!$C:$E,3,FALSE),0)*O89</f>
        <v>767.94479999999987</v>
      </c>
      <c r="Q89" s="1" t="str">
        <f>VLOOKUP(L89,'[1]Plate Infor'!$B:$E,4,FALSE)</f>
        <v>W-UNPL-WG87NXX-T3AF-00-7C00</v>
      </c>
      <c r="R89" s="1" t="str">
        <f>VLOOKUP(MID(Q89,8,4),'[1]Tipe Plate'!$C:$D,2,FALSE)</f>
        <v>Grid Punching</v>
      </c>
      <c r="S89" s="4">
        <f>VLOOKUP(L89,'[1]Plate Infor'!$B:$F,5,FALSE)*D89</f>
        <v>3888</v>
      </c>
      <c r="T89" s="4">
        <f>IFERROR(VLOOKUP(IF(MID(Q89,3,1)="F","W-UNPL-"&amp;RIGHT(Q89,20),Q89),'[1]Data Pule'!$C:$E,3,FALSE),0)*S89</f>
        <v>508.16159999999991</v>
      </c>
    </row>
    <row r="90" spans="3:20" x14ac:dyDescent="0.35">
      <c r="C90" s="1" t="s">
        <v>65</v>
      </c>
      <c r="D90">
        <v>441</v>
      </c>
      <c r="E90" s="3" t="str">
        <f>MID(C90,5,1)</f>
        <v>W</v>
      </c>
      <c r="F90" s="3"/>
      <c r="G90" s="3"/>
      <c r="H90" s="3"/>
      <c r="I90" s="3"/>
      <c r="J90" s="3"/>
      <c r="K90" s="3"/>
      <c r="L90" s="1" t="str">
        <f>MID(C90,3,17)</f>
        <v>AMWP-95D31LX-B4P3</v>
      </c>
      <c r="M90" s="1" t="str">
        <f>VLOOKUP(L90,'[1]Plate Infor'!$B:$C,2,FALSE)</f>
        <v>W-UNPL-WG83PXX-L65F-00-7C00</v>
      </c>
      <c r="N90" s="1" t="str">
        <f>VLOOKUP(MID(M90,8,4),'[1]Tipe Plate'!$C:$D,2,FALSE)</f>
        <v>Grid Punching</v>
      </c>
      <c r="O90" s="4">
        <f>VLOOKUP(L90,'[1]Plate Infor'!$B:$D,3,FALSE)*D90</f>
        <v>9261</v>
      </c>
      <c r="P90" s="4">
        <f>IFERROR(VLOOKUP(IF(MID(M90,3,1)="F","W-UNPL-"&amp;RIGHT(M90,20),M90),'[1]Data Pule'!$C:$E,3,FALSE),0)*O90</f>
        <v>1567.8872999999999</v>
      </c>
      <c r="Q90" s="1" t="str">
        <f>VLOOKUP(L90,'[1]Plate Infor'!$B:$E,4,FALSE)</f>
        <v>W-UNPL-WG87NXX-T3AF-00-7C00</v>
      </c>
      <c r="R90" s="1" t="str">
        <f>VLOOKUP(MID(Q90,8,4),'[1]Tipe Plate'!$C:$D,2,FALSE)</f>
        <v>Grid Punching</v>
      </c>
      <c r="S90" s="4">
        <f>VLOOKUP(L90,'[1]Plate Infor'!$B:$F,5,FALSE)*D90</f>
        <v>9261</v>
      </c>
      <c r="T90" s="4">
        <f>IFERROR(VLOOKUP(IF(MID(Q90,3,1)="F","W-UNPL-"&amp;RIGHT(Q90,20),Q90),'[1]Data Pule'!$C:$E,3,FALSE),0)*S90</f>
        <v>1210.4126999999999</v>
      </c>
    </row>
    <row r="91" spans="3:20" x14ac:dyDescent="0.35">
      <c r="C91" s="1" t="s">
        <v>66</v>
      </c>
      <c r="D91">
        <v>63</v>
      </c>
      <c r="E91" s="3" t="str">
        <f>MID(C91,5,1)</f>
        <v>W</v>
      </c>
      <c r="F91" s="3"/>
      <c r="G91" s="3"/>
      <c r="H91" s="3"/>
      <c r="I91" s="3"/>
      <c r="J91" s="3"/>
      <c r="K91" s="3"/>
      <c r="L91" s="1" t="str">
        <f>MID(C91,3,17)</f>
        <v>AMWP-95D31RX-B4P3</v>
      </c>
      <c r="M91" s="1" t="str">
        <f>VLOOKUP(L91,'[1]Plate Infor'!$B:$C,2,FALSE)</f>
        <v>W-UNPL-WG83PXX-L65F-00-7C00</v>
      </c>
      <c r="N91" s="1" t="str">
        <f>VLOOKUP(MID(M91,8,4),'[1]Tipe Plate'!$C:$D,2,FALSE)</f>
        <v>Grid Punching</v>
      </c>
      <c r="O91" s="4">
        <f>VLOOKUP(L91,'[1]Plate Infor'!$B:$D,3,FALSE)*D91</f>
        <v>1323</v>
      </c>
      <c r="P91" s="4">
        <f>IFERROR(VLOOKUP(IF(MID(M91,3,1)="F","W-UNPL-"&amp;RIGHT(M91,20),M91),'[1]Data Pule'!$C:$E,3,FALSE),0)*O91</f>
        <v>223.98389999999998</v>
      </c>
      <c r="Q91" s="1" t="str">
        <f>VLOOKUP(L91,'[1]Plate Infor'!$B:$E,4,FALSE)</f>
        <v>W-UNPL-WG87NXX-T3AF-00-7C00</v>
      </c>
      <c r="R91" s="1" t="str">
        <f>VLOOKUP(MID(Q91,8,4),'[1]Tipe Plate'!$C:$D,2,FALSE)</f>
        <v>Grid Punching</v>
      </c>
      <c r="S91" s="4">
        <f>VLOOKUP(L91,'[1]Plate Infor'!$B:$F,5,FALSE)*D91</f>
        <v>1323</v>
      </c>
      <c r="T91" s="4">
        <f>IFERROR(VLOOKUP(IF(MID(Q91,3,1)="F","W-UNPL-"&amp;RIGHT(Q91,20),Q91),'[1]Data Pule'!$C:$E,3,FALSE),0)*S91</f>
        <v>172.91609999999997</v>
      </c>
    </row>
    <row r="92" spans="3:20" x14ac:dyDescent="0.35">
      <c r="C92" s="1" t="s">
        <v>67</v>
      </c>
      <c r="D92">
        <v>14400</v>
      </c>
      <c r="E92" s="3" t="str">
        <f>MID(C92,5,1)</f>
        <v>D</v>
      </c>
      <c r="F92" s="3"/>
      <c r="G92" s="3"/>
      <c r="H92" s="3"/>
      <c r="I92" s="3"/>
      <c r="J92" s="3"/>
      <c r="K92" s="3"/>
      <c r="L92" s="1" t="str">
        <f>MID(C92,3,17)</f>
        <v>ACDP-65D26RX-B2C3</v>
      </c>
      <c r="M92" s="1" t="str">
        <f>VLOOKUP(L92,'[1]Plate Infor'!$B:$C,2,FALSE)</f>
        <v>W-FOPL-CG82PXX-L870-02-7S00</v>
      </c>
      <c r="N92" s="1" t="str">
        <f>VLOOKUP(MID(M92,8,4),'[1]Tipe Plate'!$C:$D,2,FALSE)</f>
        <v>Grid Casting</v>
      </c>
      <c r="O92" s="4">
        <f>VLOOKUP(L92,'[1]Plate Infor'!$B:$D,3,FALSE)*D92</f>
        <v>259200</v>
      </c>
      <c r="P92" s="4">
        <f>IFERROR(VLOOKUP(IF(MID(M92,3,1)="F","W-UNPL-"&amp;RIGHT(M92,20),M92),'[1]Data Pule'!$C:$E,3,FALSE),0)*O92</f>
        <v>33307.199999999997</v>
      </c>
      <c r="Q92" s="1" t="str">
        <f>VLOOKUP(L92,'[1]Plate Infor'!$B:$E,4,FALSE)</f>
        <v>W-FOPL-CG87NXX-T3L0-02-7S00</v>
      </c>
      <c r="R92" s="1" t="str">
        <f>VLOOKUP(MID(Q92,8,4),'[1]Tipe Plate'!$C:$D,2,FALSE)</f>
        <v>Grid Casting</v>
      </c>
      <c r="S92" s="4">
        <f>VLOOKUP(L92,'[1]Plate Infor'!$B:$F,5,FALSE)*D92</f>
        <v>259200</v>
      </c>
      <c r="T92" s="4">
        <f>IFERROR(VLOOKUP(IF(MID(Q92,3,1)="F","W-UNPL-"&amp;RIGHT(Q92,20),Q92),'[1]Data Pule'!$C:$E,3,FALSE),0)*S92</f>
        <v>29808</v>
      </c>
    </row>
    <row r="93" spans="3:20" x14ac:dyDescent="0.35">
      <c r="C93" s="1" t="s">
        <v>68</v>
      </c>
      <c r="D93">
        <v>5040</v>
      </c>
      <c r="E93" s="3" t="str">
        <f>MID(C93,5,1)</f>
        <v>D</v>
      </c>
      <c r="F93" s="3"/>
      <c r="G93" s="3"/>
      <c r="H93" s="3"/>
      <c r="I93" s="3"/>
      <c r="J93" s="3"/>
      <c r="K93" s="3"/>
      <c r="L93" s="1" t="str">
        <f>MID(C93,3,17)</f>
        <v>ACDP-75D31RX-B4C3</v>
      </c>
      <c r="M93" s="1" t="str">
        <f>VLOOKUP(L93,'[1]Plate Infor'!$B:$C,2,FALSE)</f>
        <v>W-FOPL-CG82PXX-L870-02-7S00</v>
      </c>
      <c r="N93" s="1" t="str">
        <f>VLOOKUP(MID(M93,8,4),'[1]Tipe Plate'!$C:$D,2,FALSE)</f>
        <v>Grid Casting</v>
      </c>
      <c r="O93" s="4">
        <f>VLOOKUP(L93,'[1]Plate Infor'!$B:$D,3,FALSE)*D93</f>
        <v>105840</v>
      </c>
      <c r="P93" s="4">
        <f>IFERROR(VLOOKUP(IF(MID(M93,3,1)="F","W-UNPL-"&amp;RIGHT(M93,20),M93),'[1]Data Pule'!$C:$E,3,FALSE),0)*O93</f>
        <v>13600.439999999997</v>
      </c>
      <c r="Q93" s="1" t="str">
        <f>VLOOKUP(L93,'[1]Plate Infor'!$B:$E,4,FALSE)</f>
        <v>W-FOPL-CG87NXX-T3L0-02-7S00</v>
      </c>
      <c r="R93" s="1" t="str">
        <f>VLOOKUP(MID(Q93,8,4),'[1]Tipe Plate'!$C:$D,2,FALSE)</f>
        <v>Grid Casting</v>
      </c>
      <c r="S93" s="4">
        <f>VLOOKUP(L93,'[1]Plate Infor'!$B:$F,5,FALSE)*D93</f>
        <v>105840</v>
      </c>
      <c r="T93" s="4">
        <f>IFERROR(VLOOKUP(IF(MID(Q93,3,1)="F","W-UNPL-"&amp;RIGHT(Q93,20),Q93),'[1]Data Pule'!$C:$E,3,FALSE),0)*S93</f>
        <v>12171.6</v>
      </c>
    </row>
    <row r="94" spans="3:20" x14ac:dyDescent="0.35">
      <c r="C94" s="1" t="s">
        <v>69</v>
      </c>
      <c r="D94">
        <v>5040</v>
      </c>
      <c r="E94" s="3" t="str">
        <f>MID(C94,5,1)</f>
        <v>D</v>
      </c>
      <c r="F94" s="3"/>
      <c r="G94" s="3"/>
      <c r="H94" s="3"/>
      <c r="I94" s="3"/>
      <c r="J94" s="3"/>
      <c r="K94" s="3"/>
      <c r="L94" s="1" t="str">
        <f>MID(C94,3,17)</f>
        <v>ACDP-65D31RX-B3C3</v>
      </c>
      <c r="M94" s="1" t="str">
        <f>VLOOKUP(L94,'[1]Plate Infor'!$B:$C,2,FALSE)</f>
        <v>W-FOPL-CG82PXX-L870-02-7S00</v>
      </c>
      <c r="N94" s="1" t="str">
        <f>VLOOKUP(MID(M94,8,4),'[1]Tipe Plate'!$C:$D,2,FALSE)</f>
        <v>Grid Casting</v>
      </c>
      <c r="O94" s="4">
        <f>VLOOKUP(L94,'[1]Plate Infor'!$B:$D,3,FALSE)*D94</f>
        <v>90720</v>
      </c>
      <c r="P94" s="4">
        <f>IFERROR(VLOOKUP(IF(MID(M94,3,1)="F","W-UNPL-"&amp;RIGHT(M94,20),M94),'[1]Data Pule'!$C:$E,3,FALSE),0)*O94</f>
        <v>11657.519999999999</v>
      </c>
      <c r="Q94" s="1" t="str">
        <f>VLOOKUP(L94,'[1]Plate Infor'!$B:$E,4,FALSE)</f>
        <v>W-FOPL-CG87NXX-T3L0-02-7S00</v>
      </c>
      <c r="R94" s="1" t="str">
        <f>VLOOKUP(MID(Q94,8,4),'[1]Tipe Plate'!$C:$D,2,FALSE)</f>
        <v>Grid Casting</v>
      </c>
      <c r="S94" s="4">
        <f>VLOOKUP(L94,'[1]Plate Infor'!$B:$F,5,FALSE)*D94</f>
        <v>105840</v>
      </c>
      <c r="T94" s="4">
        <f>IFERROR(VLOOKUP(IF(MID(Q94,3,1)="F","W-UNPL-"&amp;RIGHT(Q94,20),Q94),'[1]Data Pule'!$C:$E,3,FALSE),0)*S94</f>
        <v>12171.6</v>
      </c>
    </row>
    <row r="95" spans="3:20" x14ac:dyDescent="0.35">
      <c r="C95" s="1" t="s">
        <v>70</v>
      </c>
      <c r="D95">
        <v>240</v>
      </c>
      <c r="E95" s="3" t="str">
        <f>MID(C95,5,1)</f>
        <v>D</v>
      </c>
      <c r="F95" s="3"/>
      <c r="G95" s="3"/>
      <c r="H95" s="3"/>
      <c r="I95" s="3"/>
      <c r="J95" s="3"/>
      <c r="K95" s="3"/>
      <c r="L95" s="1" t="str">
        <f>MID(C95,3,17)</f>
        <v>ACDP-65D26LX-B2C3</v>
      </c>
      <c r="M95" s="1" t="str">
        <f>VLOOKUP(L95,'[1]Plate Infor'!$B:$C,2,FALSE)</f>
        <v>W-FOPL-CG82PXX-L870-02-7S00</v>
      </c>
      <c r="N95" s="1" t="str">
        <f>VLOOKUP(MID(M95,8,4),'[1]Tipe Plate'!$C:$D,2,FALSE)</f>
        <v>Grid Casting</v>
      </c>
      <c r="O95" s="4">
        <f>VLOOKUP(L95,'[1]Plate Infor'!$B:$D,3,FALSE)*D95</f>
        <v>4320</v>
      </c>
      <c r="P95" s="4">
        <f>IFERROR(VLOOKUP(IF(MID(M95,3,1)="F","W-UNPL-"&amp;RIGHT(M95,20),M95),'[1]Data Pule'!$C:$E,3,FALSE),0)*O95</f>
        <v>555.11999999999989</v>
      </c>
      <c r="Q95" s="1" t="str">
        <f>VLOOKUP(L95,'[1]Plate Infor'!$B:$E,4,FALSE)</f>
        <v>W-FOPL-CG87NXX-T3L0-02-7S00</v>
      </c>
      <c r="R95" s="1" t="str">
        <f>VLOOKUP(MID(Q95,8,4),'[1]Tipe Plate'!$C:$D,2,FALSE)</f>
        <v>Grid Casting</v>
      </c>
      <c r="S95" s="4">
        <f>VLOOKUP(L95,'[1]Plate Infor'!$B:$F,5,FALSE)*D95</f>
        <v>4320</v>
      </c>
      <c r="T95" s="4">
        <f>IFERROR(VLOOKUP(IF(MID(Q95,3,1)="F","W-UNPL-"&amp;RIGHT(Q95,20),Q95),'[1]Data Pule'!$C:$E,3,FALSE),0)*S95</f>
        <v>496.8</v>
      </c>
    </row>
    <row r="96" spans="3:20" x14ac:dyDescent="0.35">
      <c r="C96" s="1" t="s">
        <v>71</v>
      </c>
      <c r="D96">
        <v>210</v>
      </c>
      <c r="E96" s="3" t="str">
        <f>MID(C96,5,1)</f>
        <v>D</v>
      </c>
      <c r="F96" s="3"/>
      <c r="G96" s="3"/>
      <c r="H96" s="3"/>
      <c r="I96" s="3"/>
      <c r="J96" s="3"/>
      <c r="K96" s="3"/>
      <c r="L96" s="1" t="str">
        <f>MID(C96,3,17)</f>
        <v>ACDP-75D31LX-B4C3</v>
      </c>
      <c r="M96" s="1" t="str">
        <f>VLOOKUP(L96,'[1]Plate Infor'!$B:$C,2,FALSE)</f>
        <v>W-FOPL-CG82PXX-L870-02-7S00</v>
      </c>
      <c r="N96" s="1" t="str">
        <f>VLOOKUP(MID(M96,8,4),'[1]Tipe Plate'!$C:$D,2,FALSE)</f>
        <v>Grid Casting</v>
      </c>
      <c r="O96" s="4">
        <f>VLOOKUP(L96,'[1]Plate Infor'!$B:$D,3,FALSE)*D96</f>
        <v>4410</v>
      </c>
      <c r="P96" s="4">
        <f>IFERROR(VLOOKUP(IF(MID(M96,3,1)="F","W-UNPL-"&amp;RIGHT(M96,20),M96),'[1]Data Pule'!$C:$E,3,FALSE),0)*O96</f>
        <v>566.68499999999995</v>
      </c>
      <c r="Q96" s="1" t="str">
        <f>VLOOKUP(L96,'[1]Plate Infor'!$B:$E,4,FALSE)</f>
        <v>W-FOPL-CG87NXX-T3L0-02-7S00</v>
      </c>
      <c r="R96" s="1" t="str">
        <f>VLOOKUP(MID(Q96,8,4),'[1]Tipe Plate'!$C:$D,2,FALSE)</f>
        <v>Grid Casting</v>
      </c>
      <c r="S96" s="4">
        <f>VLOOKUP(L96,'[1]Plate Infor'!$B:$F,5,FALSE)*D96</f>
        <v>4410</v>
      </c>
      <c r="T96" s="4">
        <f>IFERROR(VLOOKUP(IF(MID(Q96,3,1)="F","W-UNPL-"&amp;RIGHT(Q96,20),Q96),'[1]Data Pule'!$C:$E,3,FALSE),0)*S96</f>
        <v>507.15000000000003</v>
      </c>
    </row>
    <row r="97" spans="3:20" x14ac:dyDescent="0.35">
      <c r="C97" s="1" t="s">
        <v>72</v>
      </c>
      <c r="D97">
        <v>5760</v>
      </c>
      <c r="E97" s="3" t="str">
        <f>MID(C97,5,1)</f>
        <v>D</v>
      </c>
      <c r="F97" s="3"/>
      <c r="G97" s="3"/>
      <c r="H97" s="3"/>
      <c r="I97" s="3"/>
      <c r="J97" s="3"/>
      <c r="K97" s="3"/>
      <c r="L97" s="1" t="str">
        <f>MID(C97,3,17)</f>
        <v>ACDP-55D26RX-B1C3</v>
      </c>
      <c r="M97" s="1" t="str">
        <f>VLOOKUP(L97,'[1]Plate Infor'!$B:$C,2,FALSE)</f>
        <v>W-FOPL-CG80PXX-L870-02-7S00</v>
      </c>
      <c r="N97" s="1" t="str">
        <f>VLOOKUP(MID(M97,8,4),'[1]Tipe Plate'!$C:$D,2,FALSE)</f>
        <v>Grid Casting</v>
      </c>
      <c r="O97" s="4">
        <f>VLOOKUP(L97,'[1]Plate Infor'!$B:$D,3,FALSE)*D97</f>
        <v>86400</v>
      </c>
      <c r="P97" s="4">
        <f>IFERROR(VLOOKUP(IF(MID(M97,3,1)="F","W-UNPL-"&amp;RIGHT(M97,20),M97),'[1]Data Pule'!$C:$E,3,FALSE),0)*O97</f>
        <v>13055.039999999999</v>
      </c>
      <c r="Q97" s="1" t="str">
        <f>VLOOKUP(L97,'[1]Plate Infor'!$B:$E,4,FALSE)</f>
        <v>W-FOPL-CG87NXX-T3L0-02-7S00</v>
      </c>
      <c r="R97" s="1" t="str">
        <f>VLOOKUP(MID(Q97,8,4),'[1]Tipe Plate'!$C:$D,2,FALSE)</f>
        <v>Grid Casting</v>
      </c>
      <c r="S97" s="4">
        <f>VLOOKUP(L97,'[1]Plate Infor'!$B:$F,5,FALSE)*D97</f>
        <v>103680</v>
      </c>
      <c r="T97" s="4">
        <f>IFERROR(VLOOKUP(IF(MID(Q97,3,1)="F","W-UNPL-"&amp;RIGHT(Q97,20),Q97),'[1]Data Pule'!$C:$E,3,FALSE),0)*S97</f>
        <v>11923.2</v>
      </c>
    </row>
    <row r="98" spans="3:20" x14ac:dyDescent="0.35">
      <c r="C98" s="1" t="s">
        <v>73</v>
      </c>
      <c r="D98">
        <v>4080</v>
      </c>
      <c r="E98" s="3" t="str">
        <f>MID(C98,5,1)</f>
        <v>D</v>
      </c>
      <c r="F98" s="3"/>
      <c r="G98" s="3"/>
      <c r="H98" s="3"/>
      <c r="I98" s="3"/>
      <c r="J98" s="3"/>
      <c r="K98" s="3"/>
      <c r="L98" s="1" t="str">
        <f>MID(C98,3,17)</f>
        <v>ACDP-48D26RX-A9C3</v>
      </c>
      <c r="M98" s="1" t="str">
        <f>VLOOKUP(L98,'[1]Plate Infor'!$B:$C,2,FALSE)</f>
        <v>W-FOPL-CG80PXX-L870-02-7S00</v>
      </c>
      <c r="N98" s="1" t="str">
        <f>VLOOKUP(MID(M98,8,4),'[1]Tipe Plate'!$C:$D,2,FALSE)</f>
        <v>Grid Casting</v>
      </c>
      <c r="O98" s="4">
        <f>VLOOKUP(L98,'[1]Plate Infor'!$B:$D,3,FALSE)*D98</f>
        <v>48960</v>
      </c>
      <c r="P98" s="4">
        <f>IFERROR(VLOOKUP(IF(MID(M98,3,1)="F","W-UNPL-"&amp;RIGHT(M98,20),M98),'[1]Data Pule'!$C:$E,3,FALSE),0)*O98</f>
        <v>7397.8559999999989</v>
      </c>
      <c r="Q98" s="1" t="str">
        <f>VLOOKUP(L98,'[1]Plate Infor'!$B:$E,4,FALSE)</f>
        <v>W-FOPL-CG87NXX-T3L0-02-7S00</v>
      </c>
      <c r="R98" s="1" t="str">
        <f>VLOOKUP(MID(Q98,8,4),'[1]Tipe Plate'!$C:$D,2,FALSE)</f>
        <v>Grid Casting</v>
      </c>
      <c r="S98" s="4">
        <f>VLOOKUP(L98,'[1]Plate Infor'!$B:$F,5,FALSE)*D98</f>
        <v>61200</v>
      </c>
      <c r="T98" s="4">
        <f>IFERROR(VLOOKUP(IF(MID(Q98,3,1)="F","W-UNPL-"&amp;RIGHT(Q98,20),Q98),'[1]Data Pule'!$C:$E,3,FALSE),0)*S98</f>
        <v>7038</v>
      </c>
    </row>
    <row r="99" spans="3:20" x14ac:dyDescent="0.35">
      <c r="C99" s="1" t="s">
        <v>74</v>
      </c>
      <c r="D99">
        <v>420</v>
      </c>
      <c r="E99" s="3" t="str">
        <f>MID(C99,5,1)</f>
        <v>D</v>
      </c>
      <c r="F99" s="3"/>
      <c r="G99" s="3"/>
      <c r="H99" s="3"/>
      <c r="I99" s="3"/>
      <c r="J99" s="3"/>
      <c r="K99" s="3"/>
      <c r="L99" s="1" t="str">
        <f>MID(C99,3,17)</f>
        <v>ACDP-55D23LX-B0C3</v>
      </c>
      <c r="M99" s="1" t="str">
        <f>VLOOKUP(L99,'[1]Plate Infor'!$B:$C,2,FALSE)</f>
        <v>W-FOPL-CG80PXX-L870-02-7S00</v>
      </c>
      <c r="N99" s="1" t="str">
        <f>VLOOKUP(MID(M99,8,4),'[1]Tipe Plate'!$C:$D,2,FALSE)</f>
        <v>Grid Casting</v>
      </c>
      <c r="O99" s="4">
        <f>VLOOKUP(L99,'[1]Plate Infor'!$B:$D,3,FALSE)*D99</f>
        <v>6300</v>
      </c>
      <c r="P99" s="4">
        <f>IFERROR(VLOOKUP(IF(MID(M99,3,1)="F","W-UNPL-"&amp;RIGHT(M99,20),M99),'[1]Data Pule'!$C:$E,3,FALSE),0)*O99</f>
        <v>951.93</v>
      </c>
      <c r="Q99" s="1" t="str">
        <f>VLOOKUP(L99,'[1]Plate Infor'!$B:$E,4,FALSE)</f>
        <v>W-FOPL-CG85NXX-T3L0-02-7S00</v>
      </c>
      <c r="R99" s="1" t="str">
        <f>VLOOKUP(MID(Q99,8,4),'[1]Tipe Plate'!$C:$D,2,FALSE)</f>
        <v>Grid Casting</v>
      </c>
      <c r="S99" s="4">
        <f>VLOOKUP(L99,'[1]Plate Infor'!$B:$F,5,FALSE)*D99</f>
        <v>6300</v>
      </c>
      <c r="T99" s="4">
        <f>IFERROR(VLOOKUP(IF(MID(Q99,3,1)="F","W-UNPL-"&amp;RIGHT(Q99,20),Q99),'[1]Data Pule'!$C:$E,3,FALSE),0)*S99</f>
        <v>823.40999999999985</v>
      </c>
    </row>
    <row r="100" spans="3:20" x14ac:dyDescent="0.35">
      <c r="C100" s="1" t="s">
        <v>75</v>
      </c>
      <c r="D100">
        <v>2250</v>
      </c>
      <c r="E100" s="3" t="str">
        <f>MID(C100,5,1)</f>
        <v>D</v>
      </c>
      <c r="F100" s="3"/>
      <c r="G100" s="3"/>
      <c r="H100" s="3"/>
      <c r="I100" s="3"/>
      <c r="J100" s="3"/>
      <c r="K100" s="3"/>
      <c r="L100" s="1" t="str">
        <f>MID(C100,3,17)</f>
        <v>ACDP-36B20RX-B0C3</v>
      </c>
      <c r="M100" s="1" t="str">
        <f>VLOOKUP(L100,'[1]Plate Infor'!$B:$C,2,FALSE)</f>
        <v>W-FOPL-CM84APX-L870-02-7S00</v>
      </c>
      <c r="N100" s="1" t="str">
        <f>VLOOKUP(MID(M100,8,4),'[1]Tipe Plate'!$C:$D,2,FALSE)</f>
        <v>Grid Casting</v>
      </c>
      <c r="O100" s="4">
        <f>VLOOKUP(L100,'[1]Plate Infor'!$B:$D,3,FALSE)*D100</f>
        <v>33750</v>
      </c>
      <c r="P100" s="4">
        <f>IFERROR(VLOOKUP(IF(MID(M100,3,1)="F","W-UNPL-"&amp;RIGHT(M100,20),M100),'[1]Data Pule'!$C:$E,3,FALSE),0)*O100</f>
        <v>3027.375</v>
      </c>
      <c r="Q100" s="1" t="str">
        <f>VLOOKUP(L100,'[1]Plate Infor'!$B:$E,4,FALSE)</f>
        <v>W-FOPL-CM8786N-T3L0-02-7S00</v>
      </c>
      <c r="R100" s="1" t="str">
        <f>VLOOKUP(MID(Q100,8,4),'[1]Tipe Plate'!$C:$D,2,FALSE)</f>
        <v>Grid Casting</v>
      </c>
      <c r="S100" s="4">
        <f>VLOOKUP(L100,'[1]Plate Infor'!$B:$F,5,FALSE)*D100</f>
        <v>33750</v>
      </c>
      <c r="T100" s="4">
        <f>IFERROR(VLOOKUP(IF(MID(Q100,3,1)="F","W-UNPL-"&amp;RIGHT(Q100,20),Q100),'[1]Data Pule'!$C:$E,3,FALSE),0)*S100</f>
        <v>3182.6250000000005</v>
      </c>
    </row>
    <row r="101" spans="3:20" x14ac:dyDescent="0.35">
      <c r="C101" s="1" t="s">
        <v>76</v>
      </c>
      <c r="D101">
        <v>2925</v>
      </c>
      <c r="E101" s="3" t="str">
        <f>MID(C101,5,1)</f>
        <v>D</v>
      </c>
      <c r="F101" s="3"/>
      <c r="G101" s="3"/>
      <c r="H101" s="3"/>
      <c r="I101" s="3"/>
      <c r="J101" s="3"/>
      <c r="K101" s="3"/>
      <c r="L101" s="1" t="str">
        <f>MID(C101,3,17)</f>
        <v>ACDP-36B20LX-B0C3</v>
      </c>
      <c r="M101" s="1" t="str">
        <f>VLOOKUP(L101,'[1]Plate Infor'!$B:$C,2,FALSE)</f>
        <v>W-FOPL-CM84APX-L870-02-7S00</v>
      </c>
      <c r="N101" s="1" t="str">
        <f>VLOOKUP(MID(M101,8,4),'[1]Tipe Plate'!$C:$D,2,FALSE)</f>
        <v>Grid Casting</v>
      </c>
      <c r="O101" s="4">
        <f>VLOOKUP(L101,'[1]Plate Infor'!$B:$D,3,FALSE)*D101</f>
        <v>43875</v>
      </c>
      <c r="P101" s="4">
        <f>IFERROR(VLOOKUP(IF(MID(M101,3,1)="F","W-UNPL-"&amp;RIGHT(M101,20),M101),'[1]Data Pule'!$C:$E,3,FALSE),0)*O101</f>
        <v>3935.5875000000001</v>
      </c>
      <c r="Q101" s="1" t="str">
        <f>VLOOKUP(L101,'[1]Plate Infor'!$B:$E,4,FALSE)</f>
        <v>W-FOPL-CM8786N-T3L0-02-7S00</v>
      </c>
      <c r="R101" s="1" t="str">
        <f>VLOOKUP(MID(Q101,8,4),'[1]Tipe Plate'!$C:$D,2,FALSE)</f>
        <v>Grid Casting</v>
      </c>
      <c r="S101" s="4">
        <f>VLOOKUP(L101,'[1]Plate Infor'!$B:$F,5,FALSE)*D101</f>
        <v>43875</v>
      </c>
      <c r="T101" s="4">
        <f>IFERROR(VLOOKUP(IF(MID(Q101,3,1)="F","W-UNPL-"&amp;RIGHT(Q101,20),Q101),'[1]Data Pule'!$C:$E,3,FALSE),0)*S101</f>
        <v>4137.4125000000004</v>
      </c>
    </row>
    <row r="102" spans="3:20" x14ac:dyDescent="0.35">
      <c r="C102" s="1" t="s">
        <v>77</v>
      </c>
      <c r="D102">
        <v>2475</v>
      </c>
      <c r="E102" s="3" t="str">
        <f>MID(C102,5,1)</f>
        <v>D</v>
      </c>
      <c r="F102" s="3"/>
      <c r="G102" s="3"/>
      <c r="H102" s="3"/>
      <c r="I102" s="3"/>
      <c r="J102" s="3"/>
      <c r="K102" s="3"/>
      <c r="L102" s="1" t="str">
        <f>MID(C102,3,17)</f>
        <v>ACDP-32B20RX-A9C3</v>
      </c>
      <c r="M102" s="1" t="str">
        <f>VLOOKUP(L102,'[1]Plate Infor'!$B:$C,2,FALSE)</f>
        <v>W-FOPL-CM84APX-L870-02-7S00</v>
      </c>
      <c r="N102" s="1" t="str">
        <f>VLOOKUP(MID(M102,8,4),'[1]Tipe Plate'!$C:$D,2,FALSE)</f>
        <v>Grid Casting</v>
      </c>
      <c r="O102" s="4">
        <f>VLOOKUP(L102,'[1]Plate Infor'!$B:$D,3,FALSE)*D102</f>
        <v>29700</v>
      </c>
      <c r="P102" s="4">
        <f>IFERROR(VLOOKUP(IF(MID(M102,3,1)="F","W-UNPL-"&amp;RIGHT(M102,20),M102),'[1]Data Pule'!$C:$E,3,FALSE),0)*O102</f>
        <v>2664.09</v>
      </c>
      <c r="Q102" s="1" t="str">
        <f>VLOOKUP(L102,'[1]Plate Infor'!$B:$E,4,FALSE)</f>
        <v>W-FOPL-CM8786N-T3L0-02-7S00</v>
      </c>
      <c r="R102" s="1" t="str">
        <f>VLOOKUP(MID(Q102,8,4),'[1]Tipe Plate'!$C:$D,2,FALSE)</f>
        <v>Grid Casting</v>
      </c>
      <c r="S102" s="4">
        <f>VLOOKUP(L102,'[1]Plate Infor'!$B:$F,5,FALSE)*D102</f>
        <v>37125</v>
      </c>
      <c r="T102" s="4">
        <f>IFERROR(VLOOKUP(IF(MID(Q102,3,1)="F","W-UNPL-"&amp;RIGHT(Q102,20),Q102),'[1]Data Pule'!$C:$E,3,FALSE),0)*S102</f>
        <v>3500.8875000000003</v>
      </c>
    </row>
    <row r="103" spans="3:20" x14ac:dyDescent="0.35">
      <c r="C103" s="1" t="s">
        <v>78</v>
      </c>
      <c r="D103">
        <v>675</v>
      </c>
      <c r="E103" s="3" t="str">
        <f>MID(C103,5,1)</f>
        <v>D</v>
      </c>
      <c r="F103" s="3"/>
      <c r="G103" s="3"/>
      <c r="H103" s="3"/>
      <c r="I103" s="3"/>
      <c r="J103" s="3"/>
      <c r="K103" s="3"/>
      <c r="L103" s="1" t="str">
        <f>MID(C103,3,17)</f>
        <v>ACDP-32B20LX-A9C3</v>
      </c>
      <c r="M103" s="1" t="str">
        <f>VLOOKUP(L103,'[1]Plate Infor'!$B:$C,2,FALSE)</f>
        <v>W-FOPL-CM84APX-L870-02-7S00</v>
      </c>
      <c r="N103" s="1" t="str">
        <f>VLOOKUP(MID(M103,8,4),'[1]Tipe Plate'!$C:$D,2,FALSE)</f>
        <v>Grid Casting</v>
      </c>
      <c r="O103" s="4">
        <f>VLOOKUP(L103,'[1]Plate Infor'!$B:$D,3,FALSE)*D103</f>
        <v>8100</v>
      </c>
      <c r="P103" s="4">
        <f>IFERROR(VLOOKUP(IF(MID(M103,3,1)="F","W-UNPL-"&amp;RIGHT(M103,20),M103),'[1]Data Pule'!$C:$E,3,FALSE),0)*O103</f>
        <v>726.57</v>
      </c>
      <c r="Q103" s="1" t="str">
        <f>VLOOKUP(L103,'[1]Plate Infor'!$B:$E,4,FALSE)</f>
        <v>W-FOPL-CM8786N-T3L0-02-7S00</v>
      </c>
      <c r="R103" s="1" t="str">
        <f>VLOOKUP(MID(Q103,8,4),'[1]Tipe Plate'!$C:$D,2,FALSE)</f>
        <v>Grid Casting</v>
      </c>
      <c r="S103" s="4">
        <f>VLOOKUP(L103,'[1]Plate Infor'!$B:$F,5,FALSE)*D103</f>
        <v>10125</v>
      </c>
      <c r="T103" s="4">
        <f>IFERROR(VLOOKUP(IF(MID(Q103,3,1)="F","W-UNPL-"&amp;RIGHT(Q103,20),Q103),'[1]Data Pule'!$C:$E,3,FALSE),0)*S103</f>
        <v>954.78750000000014</v>
      </c>
    </row>
    <row r="104" spans="3:20" x14ac:dyDescent="0.35">
      <c r="C104" s="1" t="s">
        <v>79</v>
      </c>
      <c r="D104">
        <v>5400</v>
      </c>
      <c r="E104" s="3" t="str">
        <f>MID(C104,5,1)</f>
        <v>D</v>
      </c>
      <c r="F104" s="3"/>
      <c r="G104" s="3"/>
      <c r="H104" s="3"/>
      <c r="I104" s="3"/>
      <c r="J104" s="3"/>
      <c r="K104" s="3"/>
      <c r="L104" s="1" t="str">
        <f>MID(C104,3,17)</f>
        <v>ACDP-46B24RX-B1C3</v>
      </c>
      <c r="M104" s="1" t="str">
        <f>VLOOKUP(L104,'[1]Plate Infor'!$B:$C,2,FALSE)</f>
        <v>W-FOPL-CM84APX-L870-02-7S00</v>
      </c>
      <c r="N104" s="1" t="str">
        <f>VLOOKUP(MID(M104,8,4),'[1]Tipe Plate'!$C:$D,2,FALSE)</f>
        <v>Grid Casting</v>
      </c>
      <c r="O104" s="4">
        <f>VLOOKUP(L104,'[1]Plate Infor'!$B:$D,3,FALSE)*D104</f>
        <v>97200</v>
      </c>
      <c r="P104" s="4">
        <f>IFERROR(VLOOKUP(IF(MID(M104,3,1)="F","W-UNPL-"&amp;RIGHT(M104,20),M104),'[1]Data Pule'!$C:$E,3,FALSE),0)*O104</f>
        <v>8718.84</v>
      </c>
      <c r="Q104" s="1" t="str">
        <f>VLOOKUP(L104,'[1]Plate Infor'!$B:$E,4,FALSE)</f>
        <v>W-FOPL-CM8786N-T3L0-02-7S00</v>
      </c>
      <c r="R104" s="1" t="str">
        <f>VLOOKUP(MID(Q104,8,4),'[1]Tipe Plate'!$C:$D,2,FALSE)</f>
        <v>Grid Casting</v>
      </c>
      <c r="S104" s="4">
        <f>VLOOKUP(L104,'[1]Plate Infor'!$B:$F,5,FALSE)*D104</f>
        <v>81000</v>
      </c>
      <c r="T104" s="4">
        <f>IFERROR(VLOOKUP(IF(MID(Q104,3,1)="F","W-UNPL-"&amp;RIGHT(Q104,20),Q104),'[1]Data Pule'!$C:$E,3,FALSE),0)*S104</f>
        <v>7638.3000000000011</v>
      </c>
    </row>
    <row r="105" spans="3:20" x14ac:dyDescent="0.35">
      <c r="C105" s="1" t="s">
        <v>80</v>
      </c>
      <c r="D105">
        <v>1440</v>
      </c>
      <c r="E105" s="3" t="str">
        <f>MID(C105,5,1)</f>
        <v>D</v>
      </c>
      <c r="F105" s="3"/>
      <c r="G105" s="3"/>
      <c r="H105" s="3"/>
      <c r="I105" s="3"/>
      <c r="J105" s="3"/>
      <c r="K105" s="3"/>
      <c r="L105" s="1" t="str">
        <f>MID(C105,3,17)</f>
        <v>ACDP-46B24LX-B1C3</v>
      </c>
      <c r="M105" s="1" t="str">
        <f>VLOOKUP(L105,'[1]Plate Infor'!$B:$C,2,FALSE)</f>
        <v>W-FOPL-CM84APX-L870-02-7S00</v>
      </c>
      <c r="N105" s="1" t="str">
        <f>VLOOKUP(MID(M105,8,4),'[1]Tipe Plate'!$C:$D,2,FALSE)</f>
        <v>Grid Casting</v>
      </c>
      <c r="O105" s="4">
        <f>VLOOKUP(L105,'[1]Plate Infor'!$B:$D,3,FALSE)*D105</f>
        <v>25920</v>
      </c>
      <c r="P105" s="4">
        <f>IFERROR(VLOOKUP(IF(MID(M105,3,1)="F","W-UNPL-"&amp;RIGHT(M105,20),M105),'[1]Data Pule'!$C:$E,3,FALSE),0)*O105</f>
        <v>2325.0239999999999</v>
      </c>
      <c r="Q105" s="1" t="str">
        <f>VLOOKUP(L105,'[1]Plate Infor'!$B:$E,4,FALSE)</f>
        <v>W-FOPL-CM8786N-T3L0-02-7S00</v>
      </c>
      <c r="R105" s="1" t="str">
        <f>VLOOKUP(MID(Q105,8,4),'[1]Tipe Plate'!$C:$D,2,FALSE)</f>
        <v>Grid Casting</v>
      </c>
      <c r="S105" s="4">
        <f>VLOOKUP(L105,'[1]Plate Infor'!$B:$F,5,FALSE)*D105</f>
        <v>21600</v>
      </c>
      <c r="T105" s="4">
        <f>IFERROR(VLOOKUP(IF(MID(Q105,3,1)="F","W-UNPL-"&amp;RIGHT(Q105,20),Q105),'[1]Data Pule'!$C:$E,3,FALSE),0)*S105</f>
        <v>2036.88</v>
      </c>
    </row>
    <row r="106" spans="3:20" x14ac:dyDescent="0.35">
      <c r="C106" s="1" t="s">
        <v>81</v>
      </c>
      <c r="D106">
        <v>540</v>
      </c>
      <c r="E106" s="3" t="str">
        <f>MID(C106,5,1)</f>
        <v>D</v>
      </c>
      <c r="F106" s="3"/>
      <c r="G106" s="3"/>
      <c r="H106" s="3"/>
      <c r="I106" s="3"/>
      <c r="J106" s="3"/>
      <c r="K106" s="3"/>
      <c r="L106" s="1" t="str">
        <f>MID(C106,3,17)</f>
        <v>ACDP-46B24LS-B1C3</v>
      </c>
      <c r="M106" s="1" t="str">
        <f>VLOOKUP(L106,'[1]Plate Infor'!$B:$C,2,FALSE)</f>
        <v>W-FOPL-CM84APX-L870-02-7S00</v>
      </c>
      <c r="N106" s="1" t="str">
        <f>VLOOKUP(MID(M106,8,4),'[1]Tipe Plate'!$C:$D,2,FALSE)</f>
        <v>Grid Casting</v>
      </c>
      <c r="O106" s="4">
        <f>VLOOKUP(L106,'[1]Plate Infor'!$B:$D,3,FALSE)*D106</f>
        <v>9720</v>
      </c>
      <c r="P106" s="4">
        <f>IFERROR(VLOOKUP(IF(MID(M106,3,1)="F","W-UNPL-"&amp;RIGHT(M106,20),M106),'[1]Data Pule'!$C:$E,3,FALSE),0)*O106</f>
        <v>871.88400000000001</v>
      </c>
      <c r="Q106" s="1" t="str">
        <f>VLOOKUP(L106,'[1]Plate Infor'!$B:$E,4,FALSE)</f>
        <v>W-FOPL-CM8786N-T3L0-02-7S00</v>
      </c>
      <c r="R106" s="1" t="str">
        <f>VLOOKUP(MID(Q106,8,4),'[1]Tipe Plate'!$C:$D,2,FALSE)</f>
        <v>Grid Casting</v>
      </c>
      <c r="S106" s="4">
        <f>VLOOKUP(L106,'[1]Plate Infor'!$B:$F,5,FALSE)*D106</f>
        <v>8100</v>
      </c>
      <c r="T106" s="4">
        <f>IFERROR(VLOOKUP(IF(MID(Q106,3,1)="F","W-UNPL-"&amp;RIGHT(Q106,20),Q106),'[1]Data Pule'!$C:$E,3,FALSE),0)*S106</f>
        <v>763.83</v>
      </c>
    </row>
    <row r="107" spans="3:20" x14ac:dyDescent="0.35">
      <c r="C107" s="1" t="s">
        <v>82</v>
      </c>
      <c r="D107">
        <v>5740</v>
      </c>
      <c r="E107" s="3" t="str">
        <f>MID(C107,5,1)</f>
        <v>D</v>
      </c>
      <c r="F107" s="3"/>
      <c r="G107" s="3"/>
      <c r="H107" s="3"/>
      <c r="I107" s="3"/>
      <c r="J107" s="3"/>
      <c r="K107" s="3"/>
      <c r="L107" s="1" t="str">
        <f>MID(C107,3,17)</f>
        <v>ACDP-95E41RX-B7C3</v>
      </c>
      <c r="M107" s="1" t="str">
        <f>VLOOKUP(L107,'[1]Plate Infor'!$B:$C,2,FALSE)</f>
        <v>W-FOPL-CG80PXX-L870-02-7S00</v>
      </c>
      <c r="N107" s="1" t="str">
        <f>VLOOKUP(MID(M107,8,4),'[1]Tipe Plate'!$C:$D,2,FALSE)</f>
        <v>Grid Casting</v>
      </c>
      <c r="O107" s="4">
        <f>VLOOKUP(L107,'[1]Plate Infor'!$B:$D,3,FALSE)*D107</f>
        <v>137760</v>
      </c>
      <c r="P107" s="4">
        <f>IFERROR(VLOOKUP(IF(MID(M107,3,1)="F","W-UNPL-"&amp;RIGHT(M107,20),M107),'[1]Data Pule'!$C:$E,3,FALSE),0)*O107</f>
        <v>20815.535999999996</v>
      </c>
      <c r="Q107" s="1" t="str">
        <f>VLOOKUP(L107,'[1]Plate Infor'!$B:$E,4,FALSE)</f>
        <v>W-FOPL-CG87NXX-T3L0-02-7S00</v>
      </c>
      <c r="R107" s="1" t="str">
        <f>VLOOKUP(MID(Q107,8,4),'[1]Tipe Plate'!$C:$D,2,FALSE)</f>
        <v>Grid Casting</v>
      </c>
      <c r="S107" s="4">
        <f>VLOOKUP(L107,'[1]Plate Infor'!$B:$F,5,FALSE)*D107</f>
        <v>154980</v>
      </c>
      <c r="T107" s="4">
        <f>IFERROR(VLOOKUP(IF(MID(Q107,3,1)="F","W-UNPL-"&amp;RIGHT(Q107,20),Q107),'[1]Data Pule'!$C:$E,3,FALSE),0)*S107</f>
        <v>17822.7</v>
      </c>
    </row>
    <row r="108" spans="3:20" x14ac:dyDescent="0.35">
      <c r="C108" s="1" t="s">
        <v>83</v>
      </c>
      <c r="D108">
        <v>3120</v>
      </c>
      <c r="E108" s="3" t="str">
        <f>MID(C108,5,1)</f>
        <v>D</v>
      </c>
      <c r="F108" s="3"/>
      <c r="G108" s="3"/>
      <c r="H108" s="3"/>
      <c r="I108" s="3"/>
      <c r="J108" s="3"/>
      <c r="K108" s="3"/>
      <c r="L108" s="1" t="str">
        <f>MID(C108,3,17)</f>
        <v>ACDP-115F51X-C1C3</v>
      </c>
      <c r="M108" s="1" t="str">
        <f>VLOOKUP(L108,'[1]Plate Infor'!$B:$C,2,FALSE)</f>
        <v>W-FOPL-CG80PXX-L870-02-7S00</v>
      </c>
      <c r="N108" s="1" t="str">
        <f>VLOOKUP(MID(M108,8,4),'[1]Tipe Plate'!$C:$D,2,FALSE)</f>
        <v>Grid Casting</v>
      </c>
      <c r="O108" s="4">
        <f>VLOOKUP(L108,'[1]Plate Infor'!$B:$D,3,FALSE)*D108</f>
        <v>93600</v>
      </c>
      <c r="P108" s="4">
        <f>IFERROR(VLOOKUP(IF(MID(M108,3,1)="F","W-UNPL-"&amp;RIGHT(M108,20),M108),'[1]Data Pule'!$C:$E,3,FALSE),0)*O108</f>
        <v>14142.96</v>
      </c>
      <c r="Q108" s="1" t="str">
        <f>VLOOKUP(L108,'[1]Plate Infor'!$B:$E,4,FALSE)</f>
        <v>W-FOPL-CG87NXX-T3L0-02-7S00</v>
      </c>
      <c r="R108" s="1" t="str">
        <f>VLOOKUP(MID(Q108,8,4),'[1]Tipe Plate'!$C:$D,2,FALSE)</f>
        <v>Grid Casting</v>
      </c>
      <c r="S108" s="4">
        <f>VLOOKUP(L108,'[1]Plate Infor'!$B:$F,5,FALSE)*D108</f>
        <v>102960</v>
      </c>
      <c r="T108" s="4">
        <f>IFERROR(VLOOKUP(IF(MID(Q108,3,1)="F","W-UNPL-"&amp;RIGHT(Q108,20),Q108),'[1]Data Pule'!$C:$E,3,FALSE),0)*S108</f>
        <v>11840.4</v>
      </c>
    </row>
    <row r="109" spans="3:20" x14ac:dyDescent="0.35">
      <c r="C109" s="1" t="s">
        <v>84</v>
      </c>
      <c r="D109">
        <v>1040</v>
      </c>
      <c r="E109" s="3" t="str">
        <f>MID(C109,5,1)</f>
        <v>D</v>
      </c>
      <c r="F109" s="3"/>
      <c r="G109" s="3"/>
      <c r="H109" s="3"/>
      <c r="I109" s="3"/>
      <c r="J109" s="3"/>
      <c r="K109" s="3"/>
      <c r="L109" s="1" t="str">
        <f>MID(C109,3,17)</f>
        <v>ACDP-145G51X-C7C3</v>
      </c>
      <c r="M109" s="1" t="str">
        <f>VLOOKUP(L109,'[1]Plate Infor'!$B:$C,2,FALSE)</f>
        <v>W-FOPL-CG82PXX-L870-02-7S00</v>
      </c>
      <c r="N109" s="1" t="str">
        <f>VLOOKUP(MID(M109,8,4),'[1]Tipe Plate'!$C:$D,2,FALSE)</f>
        <v>Grid Casting</v>
      </c>
      <c r="O109" s="4">
        <f>VLOOKUP(L109,'[1]Plate Infor'!$B:$D,3,FALSE)*D109</f>
        <v>40560</v>
      </c>
      <c r="P109" s="4">
        <f>IFERROR(VLOOKUP(IF(MID(M109,3,1)="F","W-UNPL-"&amp;RIGHT(M109,20),M109),'[1]Data Pule'!$C:$E,3,FALSE),0)*O109</f>
        <v>5211.9599999999991</v>
      </c>
      <c r="Q109" s="1" t="str">
        <f>VLOOKUP(L109,'[1]Plate Infor'!$B:$E,4,FALSE)</f>
        <v>W-FOPL-CG87NXX-T3L0-02-7S00</v>
      </c>
      <c r="R109" s="1" t="str">
        <f>VLOOKUP(MID(Q109,8,4),'[1]Tipe Plate'!$C:$D,2,FALSE)</f>
        <v>Grid Casting</v>
      </c>
      <c r="S109" s="4">
        <f>VLOOKUP(L109,'[1]Plate Infor'!$B:$F,5,FALSE)*D109</f>
        <v>43680</v>
      </c>
      <c r="T109" s="4">
        <f>IFERROR(VLOOKUP(IF(MID(Q109,3,1)="F","W-UNPL-"&amp;RIGHT(Q109,20),Q109),'[1]Data Pule'!$C:$E,3,FALSE),0)*S109</f>
        <v>5023.2</v>
      </c>
    </row>
    <row r="110" spans="3:20" x14ac:dyDescent="0.35">
      <c r="C110" s="1" t="s">
        <v>85</v>
      </c>
      <c r="D110">
        <v>528</v>
      </c>
      <c r="E110" s="3" t="str">
        <f>MID(C110,5,1)</f>
        <v>D</v>
      </c>
      <c r="F110" s="3"/>
      <c r="G110" s="3"/>
      <c r="H110" s="3"/>
      <c r="I110" s="3"/>
      <c r="J110" s="3"/>
      <c r="K110" s="3"/>
      <c r="L110" s="1" t="str">
        <f>MID(C110,3,17)</f>
        <v>ACDP-190H52X-D7C3</v>
      </c>
      <c r="M110" s="1" t="str">
        <f>VLOOKUP(L110,'[1]Plate Infor'!$B:$C,2,FALSE)</f>
        <v>W-FOPL-CG82PXX-L870-02-7S00</v>
      </c>
      <c r="N110" s="1" t="str">
        <f>VLOOKUP(MID(M110,8,4),'[1]Tipe Plate'!$C:$D,2,FALSE)</f>
        <v>Grid Casting</v>
      </c>
      <c r="O110" s="4">
        <f>VLOOKUP(L110,'[1]Plate Infor'!$B:$D,3,FALSE)*D110</f>
        <v>28512</v>
      </c>
      <c r="P110" s="4">
        <f>IFERROR(VLOOKUP(IF(MID(M110,3,1)="F","W-UNPL-"&amp;RIGHT(M110,20),M110),'[1]Data Pule'!$C:$E,3,FALSE),0)*O110</f>
        <v>3663.7919999999995</v>
      </c>
      <c r="Q110" s="1" t="str">
        <f>VLOOKUP(L110,'[1]Plate Infor'!$B:$E,4,FALSE)</f>
        <v>W-FOPL-CG87NXX-T3L0-02-7S00</v>
      </c>
      <c r="R110" s="1" t="str">
        <f>VLOOKUP(MID(Q110,8,4),'[1]Tipe Plate'!$C:$D,2,FALSE)</f>
        <v>Grid Casting</v>
      </c>
      <c r="S110" s="4">
        <f>VLOOKUP(L110,'[1]Plate Infor'!$B:$F,5,FALSE)*D110</f>
        <v>30096</v>
      </c>
      <c r="T110" s="4">
        <f>IFERROR(VLOOKUP(IF(MID(Q110,3,1)="F","W-UNPL-"&amp;RIGHT(Q110,20),Q110),'[1]Data Pule'!$C:$E,3,FALSE),0)*S110</f>
        <v>3461.04</v>
      </c>
    </row>
    <row r="111" spans="3:20" x14ac:dyDescent="0.35">
      <c r="C111" s="1" t="s">
        <v>86</v>
      </c>
      <c r="D111">
        <v>160</v>
      </c>
      <c r="E111" s="3" t="str">
        <f>MID(C111,5,1)</f>
        <v>D</v>
      </c>
      <c r="F111" s="3"/>
      <c r="G111" s="3"/>
      <c r="H111" s="3"/>
      <c r="I111" s="3"/>
      <c r="J111" s="3"/>
      <c r="K111" s="3"/>
      <c r="L111" s="1" t="str">
        <f>MID(C111,3,17)</f>
        <v>ACDP-145G51L-C7C3</v>
      </c>
      <c r="M111" s="1" t="str">
        <f>VLOOKUP(L111,'[1]Plate Infor'!$B:$C,2,FALSE)</f>
        <v>W-FOPL-CG82PXX-L870-02-7S00</v>
      </c>
      <c r="N111" s="1" t="str">
        <f>VLOOKUP(MID(M111,8,4),'[1]Tipe Plate'!$C:$D,2,FALSE)</f>
        <v>Grid Casting</v>
      </c>
      <c r="O111" s="4">
        <f>VLOOKUP(L111,'[1]Plate Infor'!$B:$D,3,FALSE)*D111</f>
        <v>6240</v>
      </c>
      <c r="P111" s="4">
        <f>IFERROR(VLOOKUP(IF(MID(M111,3,1)="F","W-UNPL-"&amp;RIGHT(M111,20),M111),'[1]Data Pule'!$C:$E,3,FALSE),0)*O111</f>
        <v>801.8399999999998</v>
      </c>
      <c r="Q111" s="1" t="str">
        <f>VLOOKUP(L111,'[1]Plate Infor'!$B:$E,4,FALSE)</f>
        <v>W-FOPL-CG87NXX-T3L0-02-7S00</v>
      </c>
      <c r="R111" s="1" t="str">
        <f>VLOOKUP(MID(Q111,8,4),'[1]Tipe Plate'!$C:$D,2,FALSE)</f>
        <v>Grid Casting</v>
      </c>
      <c r="S111" s="4">
        <f>VLOOKUP(L111,'[1]Plate Infor'!$B:$F,5,FALSE)*D111</f>
        <v>6720</v>
      </c>
      <c r="T111" s="4">
        <f>IFERROR(VLOOKUP(IF(MID(Q111,3,1)="F","W-UNPL-"&amp;RIGHT(Q111,20),Q111),'[1]Data Pule'!$C:$E,3,FALSE),0)*S111</f>
        <v>772.80000000000007</v>
      </c>
    </row>
    <row r="112" spans="3:20" x14ac:dyDescent="0.35">
      <c r="C112" s="1" t="s">
        <v>87</v>
      </c>
      <c r="D112">
        <v>420</v>
      </c>
      <c r="E112" s="3" t="str">
        <f>MID(C112,5,1)</f>
        <v>D</v>
      </c>
      <c r="F112" s="3"/>
      <c r="G112" s="3"/>
      <c r="H112" s="3"/>
      <c r="I112" s="3"/>
      <c r="J112" s="3"/>
      <c r="K112" s="3"/>
      <c r="L112" s="1" t="str">
        <f>MID(C112,3,17)</f>
        <v>ACDP-95D31LX-B7C3</v>
      </c>
      <c r="M112" s="1" t="str">
        <f>VLOOKUP(L112,'[1]Plate Infor'!$B:$C,2,FALSE)</f>
        <v>W-FOPL-CG85PXX-L870-02-7S00</v>
      </c>
      <c r="N112" s="1" t="str">
        <f>VLOOKUP(MID(M112,8,4),'[1]Tipe Plate'!$C:$D,2,FALSE)</f>
        <v>Grid Casting</v>
      </c>
      <c r="O112" s="4">
        <f>VLOOKUP(L112,'[1]Plate Infor'!$B:$D,3,FALSE)*D112</f>
        <v>11340</v>
      </c>
      <c r="P112" s="4">
        <f>IFERROR(VLOOKUP(IF(MID(M112,3,1)="F","W-UNPL-"&amp;RIGHT(M112,20),M112),'[1]Data Pule'!$C:$E,3,FALSE),0)*O112</f>
        <v>1335.8520000000001</v>
      </c>
      <c r="Q112" s="1" t="str">
        <f>VLOOKUP(L112,'[1]Plate Infor'!$B:$E,4,FALSE)</f>
        <v>W-FOPL-CG85NXX-T3L0-02-7S00</v>
      </c>
      <c r="R112" s="1" t="str">
        <f>VLOOKUP(MID(Q112,8,4),'[1]Tipe Plate'!$C:$D,2,FALSE)</f>
        <v>Grid Casting</v>
      </c>
      <c r="S112" s="4">
        <f>VLOOKUP(L112,'[1]Plate Infor'!$B:$F,5,FALSE)*D112</f>
        <v>10080</v>
      </c>
      <c r="T112" s="4">
        <f>IFERROR(VLOOKUP(IF(MID(Q112,3,1)="F","W-UNPL-"&amp;RIGHT(Q112,20),Q112),'[1]Data Pule'!$C:$E,3,FALSE),0)*S112</f>
        <v>1317.4559999999999</v>
      </c>
    </row>
    <row r="113" spans="3:20" x14ac:dyDescent="0.35">
      <c r="C113" s="1" t="s">
        <v>88</v>
      </c>
      <c r="D113">
        <v>360</v>
      </c>
      <c r="E113" s="3" t="str">
        <f>MID(C113,5,1)</f>
        <v>D</v>
      </c>
      <c r="F113" s="3"/>
      <c r="G113" s="3"/>
      <c r="H113" s="3"/>
      <c r="I113" s="3"/>
      <c r="J113" s="3"/>
      <c r="K113" s="3"/>
      <c r="L113" s="1" t="str">
        <f>MID(C113,3,17)</f>
        <v>ACDP-80D26LX-B4C3</v>
      </c>
      <c r="M113" s="1" t="str">
        <f>VLOOKUP(L113,'[1]Plate Infor'!$B:$C,2,FALSE)</f>
        <v>W-FOPL-CG82PXX-L870-02-7S00</v>
      </c>
      <c r="N113" s="1" t="str">
        <f>VLOOKUP(MID(M113,8,4),'[1]Tipe Plate'!$C:$D,2,FALSE)</f>
        <v>Grid Casting</v>
      </c>
      <c r="O113" s="4">
        <f>VLOOKUP(L113,'[1]Plate Infor'!$B:$D,3,FALSE)*D113</f>
        <v>7560</v>
      </c>
      <c r="P113" s="4">
        <f>IFERROR(VLOOKUP(IF(MID(M113,3,1)="F","W-UNPL-"&amp;RIGHT(M113,20),M113),'[1]Data Pule'!$C:$E,3,FALSE),0)*O113</f>
        <v>971.45999999999981</v>
      </c>
      <c r="Q113" s="1" t="str">
        <f>VLOOKUP(L113,'[1]Plate Infor'!$B:$E,4,FALSE)</f>
        <v>W-FOPL-CG87NXX-T3L0-02-7S00</v>
      </c>
      <c r="R113" s="1" t="str">
        <f>VLOOKUP(MID(Q113,8,4),'[1]Tipe Plate'!$C:$D,2,FALSE)</f>
        <v>Grid Casting</v>
      </c>
      <c r="S113" s="4">
        <f>VLOOKUP(L113,'[1]Plate Infor'!$B:$F,5,FALSE)*D113</f>
        <v>7560</v>
      </c>
      <c r="T113" s="4">
        <f>IFERROR(VLOOKUP(IF(MID(Q113,3,1)="F","W-UNPL-"&amp;RIGHT(Q113,20),Q113),'[1]Data Pule'!$C:$E,3,FALSE),0)*S113</f>
        <v>869.40000000000009</v>
      </c>
    </row>
    <row r="114" spans="3:20" x14ac:dyDescent="0.35">
      <c r="C114" s="1" t="s">
        <v>89</v>
      </c>
      <c r="D114">
        <v>105</v>
      </c>
      <c r="E114" s="3" t="str">
        <f>MID(C114,5,1)</f>
        <v>D</v>
      </c>
      <c r="F114" s="3"/>
      <c r="G114" s="3"/>
      <c r="H114" s="3"/>
      <c r="I114" s="3"/>
      <c r="J114" s="3"/>
      <c r="K114" s="3"/>
      <c r="L114" s="1" t="str">
        <f>MID(C114,3,17)</f>
        <v>ACDP-58024LX-B5C3</v>
      </c>
      <c r="M114" s="1" t="str">
        <f>VLOOKUP(L114,'[1]Plate Infor'!$B:$C,2,FALSE)</f>
        <v>W-FOPL-CG80PXX-L870-02-7S00</v>
      </c>
      <c r="N114" s="1" t="str">
        <f>VLOOKUP(MID(M114,8,4),'[1]Tipe Plate'!$C:$D,2,FALSE)</f>
        <v>Grid Casting</v>
      </c>
      <c r="O114" s="4">
        <f>VLOOKUP(L114,'[1]Plate Infor'!$B:$D,3,FALSE)*D114</f>
        <v>2205</v>
      </c>
      <c r="P114" s="4">
        <f>IFERROR(VLOOKUP(IF(MID(M114,3,1)="F","W-UNPL-"&amp;RIGHT(M114,20),M114),'[1]Data Pule'!$C:$E,3,FALSE),0)*O114</f>
        <v>333.17549999999994</v>
      </c>
      <c r="Q114" s="1" t="str">
        <f>VLOOKUP(L114,'[1]Plate Infor'!$B:$E,4,FALSE)</f>
        <v>W-FOPL-CG87NXX-T3L0-02-7S00</v>
      </c>
      <c r="R114" s="1" t="str">
        <f>VLOOKUP(MID(Q114,8,4),'[1]Tipe Plate'!$C:$D,2,FALSE)</f>
        <v>Grid Casting</v>
      </c>
      <c r="S114" s="4">
        <f>VLOOKUP(L114,'[1]Plate Infor'!$B:$F,5,FALSE)*D114</f>
        <v>2520</v>
      </c>
      <c r="T114" s="4">
        <f>IFERROR(VLOOKUP(IF(MID(Q114,3,1)="F","W-UNPL-"&amp;RIGHT(Q114,20),Q114),'[1]Data Pule'!$C:$E,3,FALSE),0)*S114</f>
        <v>289.8</v>
      </c>
    </row>
    <row r="115" spans="3:20" x14ac:dyDescent="0.35">
      <c r="C115" s="1" t="s">
        <v>90</v>
      </c>
      <c r="D115">
        <v>180</v>
      </c>
      <c r="E115" s="3" t="str">
        <f>MID(C115,5,1)</f>
        <v>D</v>
      </c>
      <c r="F115" s="3"/>
      <c r="G115" s="3"/>
      <c r="H115" s="3"/>
      <c r="I115" s="3"/>
      <c r="J115" s="3"/>
      <c r="K115" s="3"/>
      <c r="L115" s="1" t="str">
        <f>MID(C115,3,17)</f>
        <v>ACDP-46B24RX-B1C3</v>
      </c>
      <c r="M115" s="1" t="str">
        <f>VLOOKUP(L115,'[1]Plate Infor'!$B:$C,2,FALSE)</f>
        <v>W-FOPL-CM84APX-L870-02-7S00</v>
      </c>
      <c r="N115" s="1" t="str">
        <f>VLOOKUP(MID(M115,8,4),'[1]Tipe Plate'!$C:$D,2,FALSE)</f>
        <v>Grid Casting</v>
      </c>
      <c r="O115" s="4">
        <f>VLOOKUP(L115,'[1]Plate Infor'!$B:$D,3,FALSE)*D115</f>
        <v>3240</v>
      </c>
      <c r="P115" s="4">
        <f>IFERROR(VLOOKUP(IF(MID(M115,3,1)="F","W-UNPL-"&amp;RIGHT(M115,20),M115),'[1]Data Pule'!$C:$E,3,FALSE),0)*O115</f>
        <v>290.62799999999999</v>
      </c>
      <c r="Q115" s="1" t="str">
        <f>VLOOKUP(L115,'[1]Plate Infor'!$B:$E,4,FALSE)</f>
        <v>W-FOPL-CM8786N-T3L0-02-7S00</v>
      </c>
      <c r="R115" s="1" t="str">
        <f>VLOOKUP(MID(Q115,8,4),'[1]Tipe Plate'!$C:$D,2,FALSE)</f>
        <v>Grid Casting</v>
      </c>
      <c r="S115" s="4">
        <f>VLOOKUP(L115,'[1]Plate Infor'!$B:$F,5,FALSE)*D115</f>
        <v>2700</v>
      </c>
      <c r="T115" s="4">
        <f>IFERROR(VLOOKUP(IF(MID(Q115,3,1)="F","W-UNPL-"&amp;RIGHT(Q115,20),Q115),'[1]Data Pule'!$C:$E,3,FALSE),0)*S115</f>
        <v>254.61</v>
      </c>
    </row>
    <row r="116" spans="3:20" x14ac:dyDescent="0.35">
      <c r="C116" s="1" t="s">
        <v>91</v>
      </c>
      <c r="D116">
        <v>180</v>
      </c>
      <c r="E116" s="3" t="str">
        <f>MID(C116,5,1)</f>
        <v>D</v>
      </c>
      <c r="F116" s="3"/>
      <c r="G116" s="3"/>
      <c r="H116" s="3"/>
      <c r="I116" s="3"/>
      <c r="J116" s="3"/>
      <c r="K116" s="3"/>
      <c r="L116" s="1" t="str">
        <f>MID(C116,3,17)</f>
        <v>ACDP-46B24LX-B1C3</v>
      </c>
      <c r="M116" s="1" t="str">
        <f>VLOOKUP(L116,'[1]Plate Infor'!$B:$C,2,FALSE)</f>
        <v>W-FOPL-CM84APX-L870-02-7S00</v>
      </c>
      <c r="N116" s="1" t="str">
        <f>VLOOKUP(MID(M116,8,4),'[1]Tipe Plate'!$C:$D,2,FALSE)</f>
        <v>Grid Casting</v>
      </c>
      <c r="O116" s="4">
        <f>VLOOKUP(L116,'[1]Plate Infor'!$B:$D,3,FALSE)*D116</f>
        <v>3240</v>
      </c>
      <c r="P116" s="4">
        <f>IFERROR(VLOOKUP(IF(MID(M116,3,1)="F","W-UNPL-"&amp;RIGHT(M116,20),M116),'[1]Data Pule'!$C:$E,3,FALSE),0)*O116</f>
        <v>290.62799999999999</v>
      </c>
      <c r="Q116" s="1" t="str">
        <f>VLOOKUP(L116,'[1]Plate Infor'!$B:$E,4,FALSE)</f>
        <v>W-FOPL-CM8786N-T3L0-02-7S00</v>
      </c>
      <c r="R116" s="1" t="str">
        <f>VLOOKUP(MID(Q116,8,4),'[1]Tipe Plate'!$C:$D,2,FALSE)</f>
        <v>Grid Casting</v>
      </c>
      <c r="S116" s="4">
        <f>VLOOKUP(L116,'[1]Plate Infor'!$B:$F,5,FALSE)*D116</f>
        <v>2700</v>
      </c>
      <c r="T116" s="4">
        <f>IFERROR(VLOOKUP(IF(MID(Q116,3,1)="F","W-UNPL-"&amp;RIGHT(Q116,20),Q116),'[1]Data Pule'!$C:$E,3,FALSE),0)*S116</f>
        <v>254.61</v>
      </c>
    </row>
    <row r="117" spans="3:20" x14ac:dyDescent="0.35">
      <c r="C117" s="1" t="s">
        <v>92</v>
      </c>
      <c r="D117">
        <v>50</v>
      </c>
      <c r="E117" s="3" t="str">
        <f>MID(C117,5,1)</f>
        <v>D</v>
      </c>
      <c r="F117" s="3"/>
      <c r="G117" s="3"/>
      <c r="H117" s="3"/>
      <c r="I117" s="3"/>
      <c r="J117" s="3"/>
      <c r="K117" s="3"/>
      <c r="L117" s="1" t="str">
        <f>MID(C117,3,17)</f>
        <v>ACDP-46B24LS-B1C3</v>
      </c>
      <c r="M117" s="1" t="str">
        <f>VLOOKUP(L117,'[1]Plate Infor'!$B:$C,2,FALSE)</f>
        <v>W-FOPL-CM84APX-L870-02-7S00</v>
      </c>
      <c r="N117" s="1" t="str">
        <f>VLOOKUP(MID(M117,8,4),'[1]Tipe Plate'!$C:$D,2,FALSE)</f>
        <v>Grid Casting</v>
      </c>
      <c r="O117" s="4">
        <f>VLOOKUP(L117,'[1]Plate Infor'!$B:$D,3,FALSE)*D117</f>
        <v>900</v>
      </c>
      <c r="P117" s="4">
        <f>IFERROR(VLOOKUP(IF(MID(M117,3,1)="F","W-UNPL-"&amp;RIGHT(M117,20),M117),'[1]Data Pule'!$C:$E,3,FALSE),0)*O117</f>
        <v>80.73</v>
      </c>
      <c r="Q117" s="1" t="str">
        <f>VLOOKUP(L117,'[1]Plate Infor'!$B:$E,4,FALSE)</f>
        <v>W-FOPL-CM8786N-T3L0-02-7S00</v>
      </c>
      <c r="R117" s="1" t="str">
        <f>VLOOKUP(MID(Q117,8,4),'[1]Tipe Plate'!$C:$D,2,FALSE)</f>
        <v>Grid Casting</v>
      </c>
      <c r="S117" s="4">
        <f>VLOOKUP(L117,'[1]Plate Infor'!$B:$F,5,FALSE)*D117</f>
        <v>750</v>
      </c>
      <c r="T117" s="4">
        <f>IFERROR(VLOOKUP(IF(MID(Q117,3,1)="F","W-UNPL-"&amp;RIGHT(Q117,20),Q117),'[1]Data Pule'!$C:$E,3,FALSE),0)*S117</f>
        <v>70.725000000000009</v>
      </c>
    </row>
    <row r="118" spans="3:20" x14ac:dyDescent="0.35">
      <c r="C118" s="1" t="s">
        <v>93</v>
      </c>
      <c r="D118">
        <v>225</v>
      </c>
      <c r="E118" s="3" t="str">
        <f>MID(C118,5,1)</f>
        <v>D</v>
      </c>
      <c r="F118" s="3"/>
      <c r="G118" s="3"/>
      <c r="H118" s="3"/>
      <c r="I118" s="3"/>
      <c r="J118" s="3"/>
      <c r="K118" s="3"/>
      <c r="L118" s="1" t="str">
        <f>MID(C118,3,17)</f>
        <v>ACDP-32B20RX-A9C3</v>
      </c>
      <c r="M118" s="1" t="str">
        <f>VLOOKUP(L118,'[1]Plate Infor'!$B:$C,2,FALSE)</f>
        <v>W-FOPL-CM84APX-L870-02-7S00</v>
      </c>
      <c r="N118" s="1" t="str">
        <f>VLOOKUP(MID(M118,8,4),'[1]Tipe Plate'!$C:$D,2,FALSE)</f>
        <v>Grid Casting</v>
      </c>
      <c r="O118" s="4">
        <f>VLOOKUP(L118,'[1]Plate Infor'!$B:$D,3,FALSE)*D118</f>
        <v>2700</v>
      </c>
      <c r="P118" s="4">
        <f>IFERROR(VLOOKUP(IF(MID(M118,3,1)="F","W-UNPL-"&amp;RIGHT(M118,20),M118),'[1]Data Pule'!$C:$E,3,FALSE),0)*O118</f>
        <v>242.19</v>
      </c>
      <c r="Q118" s="1" t="str">
        <f>VLOOKUP(L118,'[1]Plate Infor'!$B:$E,4,FALSE)</f>
        <v>W-FOPL-CM8786N-T3L0-02-7S00</v>
      </c>
      <c r="R118" s="1" t="str">
        <f>VLOOKUP(MID(Q118,8,4),'[1]Tipe Plate'!$C:$D,2,FALSE)</f>
        <v>Grid Casting</v>
      </c>
      <c r="S118" s="4">
        <f>VLOOKUP(L118,'[1]Plate Infor'!$B:$F,5,FALSE)*D118</f>
        <v>3375</v>
      </c>
      <c r="T118" s="4">
        <f>IFERROR(VLOOKUP(IF(MID(Q118,3,1)="F","W-UNPL-"&amp;RIGHT(Q118,20),Q118),'[1]Data Pule'!$C:$E,3,FALSE),0)*S118</f>
        <v>318.26250000000005</v>
      </c>
    </row>
    <row r="119" spans="3:20" x14ac:dyDescent="0.35">
      <c r="C119" s="1" t="s">
        <v>94</v>
      </c>
      <c r="D119">
        <v>225</v>
      </c>
      <c r="E119" s="3" t="str">
        <f>MID(C119,5,1)</f>
        <v>D</v>
      </c>
      <c r="F119" s="3"/>
      <c r="G119" s="3"/>
      <c r="H119" s="3"/>
      <c r="I119" s="3"/>
      <c r="J119" s="3"/>
      <c r="K119" s="3"/>
      <c r="L119" s="1" t="str">
        <f>MID(C119,3,17)</f>
        <v>ACDP-36B20LX-B0C3</v>
      </c>
      <c r="M119" s="1" t="str">
        <f>VLOOKUP(L119,'[1]Plate Infor'!$B:$C,2,FALSE)</f>
        <v>W-FOPL-CM84APX-L870-02-7S00</v>
      </c>
      <c r="N119" s="1" t="str">
        <f>VLOOKUP(MID(M119,8,4),'[1]Tipe Plate'!$C:$D,2,FALSE)</f>
        <v>Grid Casting</v>
      </c>
      <c r="O119" s="4">
        <f>VLOOKUP(L119,'[1]Plate Infor'!$B:$D,3,FALSE)*D119</f>
        <v>3375</v>
      </c>
      <c r="P119" s="4">
        <f>IFERROR(VLOOKUP(IF(MID(M119,3,1)="F","W-UNPL-"&amp;RIGHT(M119,20),M119),'[1]Data Pule'!$C:$E,3,FALSE),0)*O119</f>
        <v>302.73750000000001</v>
      </c>
      <c r="Q119" s="1" t="str">
        <f>VLOOKUP(L119,'[1]Plate Infor'!$B:$E,4,FALSE)</f>
        <v>W-FOPL-CM8786N-T3L0-02-7S00</v>
      </c>
      <c r="R119" s="1" t="str">
        <f>VLOOKUP(MID(Q119,8,4),'[1]Tipe Plate'!$C:$D,2,FALSE)</f>
        <v>Grid Casting</v>
      </c>
      <c r="S119" s="4">
        <f>VLOOKUP(L119,'[1]Plate Infor'!$B:$F,5,FALSE)*D119</f>
        <v>3375</v>
      </c>
      <c r="T119" s="4">
        <f>IFERROR(VLOOKUP(IF(MID(Q119,3,1)="F","W-UNPL-"&amp;RIGHT(Q119,20),Q119),'[1]Data Pule'!$C:$E,3,FALSE),0)*S119</f>
        <v>318.26250000000005</v>
      </c>
    </row>
    <row r="120" spans="3:20" x14ac:dyDescent="0.35">
      <c r="C120" s="1" t="s">
        <v>95</v>
      </c>
      <c r="D120">
        <v>100</v>
      </c>
      <c r="E120" s="3" t="str">
        <f>MID(C120,5,1)</f>
        <v>D</v>
      </c>
      <c r="F120" s="3"/>
      <c r="G120" s="3"/>
      <c r="H120" s="3"/>
      <c r="I120" s="3"/>
      <c r="J120" s="3"/>
      <c r="K120" s="3"/>
      <c r="L120" s="1" t="str">
        <f>MID(C120,3,17)</f>
        <v>ACDP-36B20RX-B0C3</v>
      </c>
      <c r="M120" s="1" t="str">
        <f>VLOOKUP(L120,'[1]Plate Infor'!$B:$C,2,FALSE)</f>
        <v>W-FOPL-CM84APX-L870-02-7S00</v>
      </c>
      <c r="N120" s="1" t="str">
        <f>VLOOKUP(MID(M120,8,4),'[1]Tipe Plate'!$C:$D,2,FALSE)</f>
        <v>Grid Casting</v>
      </c>
      <c r="O120" s="4">
        <f>VLOOKUP(L120,'[1]Plate Infor'!$B:$D,3,FALSE)*D120</f>
        <v>1500</v>
      </c>
      <c r="P120" s="4">
        <f>IFERROR(VLOOKUP(IF(MID(M120,3,1)="F","W-UNPL-"&amp;RIGHT(M120,20),M120),'[1]Data Pule'!$C:$E,3,FALSE),0)*O120</f>
        <v>134.55000000000001</v>
      </c>
      <c r="Q120" s="1" t="str">
        <f>VLOOKUP(L120,'[1]Plate Infor'!$B:$E,4,FALSE)</f>
        <v>W-FOPL-CM8786N-T3L0-02-7S00</v>
      </c>
      <c r="R120" s="1" t="str">
        <f>VLOOKUP(MID(Q120,8,4),'[1]Tipe Plate'!$C:$D,2,FALSE)</f>
        <v>Grid Casting</v>
      </c>
      <c r="S120" s="4">
        <f>VLOOKUP(L120,'[1]Plate Infor'!$B:$F,5,FALSE)*D120</f>
        <v>1500</v>
      </c>
      <c r="T120" s="4">
        <f>IFERROR(VLOOKUP(IF(MID(Q120,3,1)="F","W-UNPL-"&amp;RIGHT(Q120,20),Q120),'[1]Data Pule'!$C:$E,3,FALSE),0)*S120</f>
        <v>141.45000000000002</v>
      </c>
    </row>
    <row r="121" spans="3:20" x14ac:dyDescent="0.35">
      <c r="C121" s="1" t="s">
        <v>96</v>
      </c>
      <c r="D121">
        <v>150</v>
      </c>
      <c r="E121" s="3" t="str">
        <f>MID(C121,5,1)</f>
        <v>D</v>
      </c>
      <c r="F121" s="3"/>
      <c r="G121" s="3"/>
      <c r="H121" s="3"/>
      <c r="I121" s="3"/>
      <c r="J121" s="3"/>
      <c r="K121" s="3"/>
      <c r="L121" s="1" t="str">
        <f>MID(C121,3,17)</f>
        <v>ACDP-32B20LX-A9C3</v>
      </c>
      <c r="M121" s="1" t="str">
        <f>VLOOKUP(L121,'[1]Plate Infor'!$B:$C,2,FALSE)</f>
        <v>W-FOPL-CM84APX-L870-02-7S00</v>
      </c>
      <c r="N121" s="1" t="str">
        <f>VLOOKUP(MID(M121,8,4),'[1]Tipe Plate'!$C:$D,2,FALSE)</f>
        <v>Grid Casting</v>
      </c>
      <c r="O121" s="4">
        <f>VLOOKUP(L121,'[1]Plate Infor'!$B:$D,3,FALSE)*D121</f>
        <v>1800</v>
      </c>
      <c r="P121" s="4">
        <f>IFERROR(VLOOKUP(IF(MID(M121,3,1)="F","W-UNPL-"&amp;RIGHT(M121,20),M121),'[1]Data Pule'!$C:$E,3,FALSE),0)*O121</f>
        <v>161.46</v>
      </c>
      <c r="Q121" s="1" t="str">
        <f>VLOOKUP(L121,'[1]Plate Infor'!$B:$E,4,FALSE)</f>
        <v>W-FOPL-CM8786N-T3L0-02-7S00</v>
      </c>
      <c r="R121" s="1" t="str">
        <f>VLOOKUP(MID(Q121,8,4),'[1]Tipe Plate'!$C:$D,2,FALSE)</f>
        <v>Grid Casting</v>
      </c>
      <c r="S121" s="4">
        <f>VLOOKUP(L121,'[1]Plate Infor'!$B:$F,5,FALSE)*D121</f>
        <v>2250</v>
      </c>
      <c r="T121" s="4">
        <f>IFERROR(VLOOKUP(IF(MID(Q121,3,1)="F","W-UNPL-"&amp;RIGHT(Q121,20),Q121),'[1]Data Pule'!$C:$E,3,FALSE),0)*S121</f>
        <v>212.17500000000001</v>
      </c>
    </row>
    <row r="122" spans="3:20" x14ac:dyDescent="0.35">
      <c r="C122" s="1" t="s">
        <v>97</v>
      </c>
      <c r="D122">
        <v>105</v>
      </c>
      <c r="E122" s="3" t="str">
        <f>MID(C122,5,1)</f>
        <v>D</v>
      </c>
      <c r="F122" s="3"/>
      <c r="G122" s="3"/>
      <c r="H122" s="3"/>
      <c r="I122" s="3"/>
      <c r="J122" s="3"/>
      <c r="K122" s="3"/>
      <c r="L122" s="1" t="str">
        <f>MID(C122,3,17)</f>
        <v>ACDP-65D31RX-B3C3</v>
      </c>
      <c r="M122" s="1" t="str">
        <f>VLOOKUP(L122,'[1]Plate Infor'!$B:$C,2,FALSE)</f>
        <v>W-FOPL-CG82PXX-L870-02-7S00</v>
      </c>
      <c r="N122" s="1" t="str">
        <f>VLOOKUP(MID(M122,8,4),'[1]Tipe Plate'!$C:$D,2,FALSE)</f>
        <v>Grid Casting</v>
      </c>
      <c r="O122" s="4">
        <f>VLOOKUP(L122,'[1]Plate Infor'!$B:$D,3,FALSE)*D122</f>
        <v>1890</v>
      </c>
      <c r="P122" s="4">
        <f>IFERROR(VLOOKUP(IF(MID(M122,3,1)="F","W-UNPL-"&amp;RIGHT(M122,20),M122),'[1]Data Pule'!$C:$E,3,FALSE),0)*O122</f>
        <v>242.86499999999995</v>
      </c>
      <c r="Q122" s="1" t="str">
        <f>VLOOKUP(L122,'[1]Plate Infor'!$B:$E,4,FALSE)</f>
        <v>W-FOPL-CG87NXX-T3L0-02-7S00</v>
      </c>
      <c r="R122" s="1" t="str">
        <f>VLOOKUP(MID(Q122,8,4),'[1]Tipe Plate'!$C:$D,2,FALSE)</f>
        <v>Grid Casting</v>
      </c>
      <c r="S122" s="4">
        <f>VLOOKUP(L122,'[1]Plate Infor'!$B:$F,5,FALSE)*D122</f>
        <v>2205</v>
      </c>
      <c r="T122" s="4">
        <f>IFERROR(VLOOKUP(IF(MID(Q122,3,1)="F","W-UNPL-"&amp;RIGHT(Q122,20),Q122),'[1]Data Pule'!$C:$E,3,FALSE),0)*S122</f>
        <v>253.57500000000002</v>
      </c>
    </row>
    <row r="123" spans="3:20" x14ac:dyDescent="0.35">
      <c r="C123" s="1" t="s">
        <v>98</v>
      </c>
      <c r="D123">
        <v>480</v>
      </c>
      <c r="E123" s="3" t="str">
        <f>MID(C123,5,1)</f>
        <v>D</v>
      </c>
      <c r="F123" s="3"/>
      <c r="G123" s="3"/>
      <c r="H123" s="3"/>
      <c r="I123" s="3"/>
      <c r="J123" s="3"/>
      <c r="K123" s="3"/>
      <c r="L123" s="1" t="str">
        <f>MID(C123,3,17)</f>
        <v>ACDP-55D26RX-B1C3</v>
      </c>
      <c r="M123" s="1" t="str">
        <f>VLOOKUP(L123,'[1]Plate Infor'!$B:$C,2,FALSE)</f>
        <v>W-FOPL-CG80PXX-L870-02-7S00</v>
      </c>
      <c r="N123" s="1" t="str">
        <f>VLOOKUP(MID(M123,8,4),'[1]Tipe Plate'!$C:$D,2,FALSE)</f>
        <v>Grid Casting</v>
      </c>
      <c r="O123" s="4">
        <f>VLOOKUP(L123,'[1]Plate Infor'!$B:$D,3,FALSE)*D123</f>
        <v>7200</v>
      </c>
      <c r="P123" s="4">
        <f>IFERROR(VLOOKUP(IF(MID(M123,3,1)="F","W-UNPL-"&amp;RIGHT(M123,20),M123),'[1]Data Pule'!$C:$E,3,FALSE),0)*O123</f>
        <v>1087.9199999999998</v>
      </c>
      <c r="Q123" s="1" t="str">
        <f>VLOOKUP(L123,'[1]Plate Infor'!$B:$E,4,FALSE)</f>
        <v>W-FOPL-CG87NXX-T3L0-02-7S00</v>
      </c>
      <c r="R123" s="1" t="str">
        <f>VLOOKUP(MID(Q123,8,4),'[1]Tipe Plate'!$C:$D,2,FALSE)</f>
        <v>Grid Casting</v>
      </c>
      <c r="S123" s="4">
        <f>VLOOKUP(L123,'[1]Plate Infor'!$B:$F,5,FALSE)*D123</f>
        <v>8640</v>
      </c>
      <c r="T123" s="4">
        <f>IFERROR(VLOOKUP(IF(MID(Q123,3,1)="F","W-UNPL-"&amp;RIGHT(Q123,20),Q123),'[1]Data Pule'!$C:$E,3,FALSE),0)*S123</f>
        <v>993.6</v>
      </c>
    </row>
    <row r="124" spans="3:20" x14ac:dyDescent="0.35">
      <c r="C124" s="1" t="s">
        <v>99</v>
      </c>
      <c r="D124">
        <v>240</v>
      </c>
      <c r="E124" s="3" t="str">
        <f>MID(C124,5,1)</f>
        <v>D</v>
      </c>
      <c r="F124" s="3"/>
      <c r="G124" s="3"/>
      <c r="H124" s="3"/>
      <c r="I124" s="3"/>
      <c r="J124" s="3"/>
      <c r="K124" s="3"/>
      <c r="L124" s="1" t="str">
        <f>MID(C124,3,17)</f>
        <v>ACDP-48D26RX-A9C3</v>
      </c>
      <c r="M124" s="1" t="str">
        <f>VLOOKUP(L124,'[1]Plate Infor'!$B:$C,2,FALSE)</f>
        <v>W-FOPL-CG80PXX-L870-02-7S00</v>
      </c>
      <c r="N124" s="1" t="str">
        <f>VLOOKUP(MID(M124,8,4),'[1]Tipe Plate'!$C:$D,2,FALSE)</f>
        <v>Grid Casting</v>
      </c>
      <c r="O124" s="4">
        <f>VLOOKUP(L124,'[1]Plate Infor'!$B:$D,3,FALSE)*D124</f>
        <v>2880</v>
      </c>
      <c r="P124" s="4">
        <f>IFERROR(VLOOKUP(IF(MID(M124,3,1)="F","W-UNPL-"&amp;RIGHT(M124,20),M124),'[1]Data Pule'!$C:$E,3,FALSE),0)*O124</f>
        <v>435.16799999999995</v>
      </c>
      <c r="Q124" s="1" t="str">
        <f>VLOOKUP(L124,'[1]Plate Infor'!$B:$E,4,FALSE)</f>
        <v>W-FOPL-CG87NXX-T3L0-02-7S00</v>
      </c>
      <c r="R124" s="1" t="str">
        <f>VLOOKUP(MID(Q124,8,4),'[1]Tipe Plate'!$C:$D,2,FALSE)</f>
        <v>Grid Casting</v>
      </c>
      <c r="S124" s="4">
        <f>VLOOKUP(L124,'[1]Plate Infor'!$B:$F,5,FALSE)*D124</f>
        <v>3600</v>
      </c>
      <c r="T124" s="4">
        <f>IFERROR(VLOOKUP(IF(MID(Q124,3,1)="F","W-UNPL-"&amp;RIGHT(Q124,20),Q124),'[1]Data Pule'!$C:$E,3,FALSE),0)*S124</f>
        <v>414</v>
      </c>
    </row>
    <row r="125" spans="3:20" x14ac:dyDescent="0.35">
      <c r="C125" s="1" t="s">
        <v>100</v>
      </c>
      <c r="D125">
        <v>350</v>
      </c>
      <c r="E125" s="3" t="str">
        <f>MID(C125,5,1)</f>
        <v>D</v>
      </c>
      <c r="F125" s="3"/>
      <c r="G125" s="3"/>
      <c r="H125" s="3"/>
      <c r="I125" s="3"/>
      <c r="J125" s="3"/>
      <c r="K125" s="3"/>
      <c r="L125" s="1" t="str">
        <f>MID(C125,3,17)</f>
        <v>ACDP-95E41RX-B7C3</v>
      </c>
      <c r="M125" s="1" t="str">
        <f>VLOOKUP(L125,'[1]Plate Infor'!$B:$C,2,FALSE)</f>
        <v>W-FOPL-CG80PXX-L870-02-7S00</v>
      </c>
      <c r="N125" s="1" t="str">
        <f>VLOOKUP(MID(M125,8,4),'[1]Tipe Plate'!$C:$D,2,FALSE)</f>
        <v>Grid Casting</v>
      </c>
      <c r="O125" s="4">
        <f>VLOOKUP(L125,'[1]Plate Infor'!$B:$D,3,FALSE)*D125</f>
        <v>8400</v>
      </c>
      <c r="P125" s="4">
        <f>IFERROR(VLOOKUP(IF(MID(M125,3,1)="F","W-UNPL-"&amp;RIGHT(M125,20),M125),'[1]Data Pule'!$C:$E,3,FALSE),0)*O125</f>
        <v>1269.2399999999998</v>
      </c>
      <c r="Q125" s="1" t="str">
        <f>VLOOKUP(L125,'[1]Plate Infor'!$B:$E,4,FALSE)</f>
        <v>W-FOPL-CG87NXX-T3L0-02-7S00</v>
      </c>
      <c r="R125" s="1" t="str">
        <f>VLOOKUP(MID(Q125,8,4),'[1]Tipe Plate'!$C:$D,2,FALSE)</f>
        <v>Grid Casting</v>
      </c>
      <c r="S125" s="4">
        <f>VLOOKUP(L125,'[1]Plate Infor'!$B:$F,5,FALSE)*D125</f>
        <v>9450</v>
      </c>
      <c r="T125" s="4">
        <f>IFERROR(VLOOKUP(IF(MID(Q125,3,1)="F","W-UNPL-"&amp;RIGHT(Q125,20),Q125),'[1]Data Pule'!$C:$E,3,FALSE),0)*S125</f>
        <v>1086.75</v>
      </c>
    </row>
    <row r="126" spans="3:20" x14ac:dyDescent="0.35">
      <c r="C126" s="1" t="s">
        <v>101</v>
      </c>
      <c r="D126">
        <v>48</v>
      </c>
      <c r="E126" s="3" t="str">
        <f>MID(C126,5,1)</f>
        <v>D</v>
      </c>
      <c r="F126" s="3"/>
      <c r="G126" s="3"/>
      <c r="H126" s="3"/>
      <c r="I126" s="3"/>
      <c r="J126" s="3"/>
      <c r="K126" s="3"/>
      <c r="L126" s="1" t="str">
        <f>MID(C126,3,17)</f>
        <v>ACDP-115F51X-C1C3</v>
      </c>
      <c r="M126" s="1" t="str">
        <f>VLOOKUP(L126,'[1]Plate Infor'!$B:$C,2,FALSE)</f>
        <v>W-FOPL-CG80PXX-L870-02-7S00</v>
      </c>
      <c r="N126" s="1" t="str">
        <f>VLOOKUP(MID(M126,8,4),'[1]Tipe Plate'!$C:$D,2,FALSE)</f>
        <v>Grid Casting</v>
      </c>
      <c r="O126" s="4">
        <f>VLOOKUP(L126,'[1]Plate Infor'!$B:$D,3,FALSE)*D126</f>
        <v>1440</v>
      </c>
      <c r="P126" s="4">
        <f>IFERROR(VLOOKUP(IF(MID(M126,3,1)="F","W-UNPL-"&amp;RIGHT(M126,20),M126),'[1]Data Pule'!$C:$E,3,FALSE),0)*O126</f>
        <v>217.58399999999997</v>
      </c>
      <c r="Q126" s="1" t="str">
        <f>VLOOKUP(L126,'[1]Plate Infor'!$B:$E,4,FALSE)</f>
        <v>W-FOPL-CG87NXX-T3L0-02-7S00</v>
      </c>
      <c r="R126" s="1" t="str">
        <f>VLOOKUP(MID(Q126,8,4),'[1]Tipe Plate'!$C:$D,2,FALSE)</f>
        <v>Grid Casting</v>
      </c>
      <c r="S126" s="4">
        <f>VLOOKUP(L126,'[1]Plate Infor'!$B:$F,5,FALSE)*D126</f>
        <v>1584</v>
      </c>
      <c r="T126" s="4">
        <f>IFERROR(VLOOKUP(IF(MID(Q126,3,1)="F","W-UNPL-"&amp;RIGHT(Q126,20),Q126),'[1]Data Pule'!$C:$E,3,FALSE),0)*S126</f>
        <v>182.16</v>
      </c>
    </row>
    <row r="127" spans="3:20" x14ac:dyDescent="0.35">
      <c r="C127" s="1" t="s">
        <v>102</v>
      </c>
      <c r="D127">
        <v>40</v>
      </c>
      <c r="E127" s="3" t="str">
        <f>MID(C127,5,1)</f>
        <v>D</v>
      </c>
      <c r="F127" s="3"/>
      <c r="G127" s="3"/>
      <c r="H127" s="3"/>
      <c r="I127" s="3"/>
      <c r="J127" s="3"/>
      <c r="K127" s="3"/>
      <c r="L127" s="1" t="str">
        <f>MID(C127,3,17)</f>
        <v>ACDP-145G51X-C7C3</v>
      </c>
      <c r="M127" s="1" t="str">
        <f>VLOOKUP(L127,'[1]Plate Infor'!$B:$C,2,FALSE)</f>
        <v>W-FOPL-CG82PXX-L870-02-7S00</v>
      </c>
      <c r="N127" s="1" t="str">
        <f>VLOOKUP(MID(M127,8,4),'[1]Tipe Plate'!$C:$D,2,FALSE)</f>
        <v>Grid Casting</v>
      </c>
      <c r="O127" s="4">
        <f>VLOOKUP(L127,'[1]Plate Infor'!$B:$D,3,FALSE)*D127</f>
        <v>1560</v>
      </c>
      <c r="P127" s="4">
        <f>IFERROR(VLOOKUP(IF(MID(M127,3,1)="F","W-UNPL-"&amp;RIGHT(M127,20),M127),'[1]Data Pule'!$C:$E,3,FALSE),0)*O127</f>
        <v>200.45999999999995</v>
      </c>
      <c r="Q127" s="1" t="str">
        <f>VLOOKUP(L127,'[1]Plate Infor'!$B:$E,4,FALSE)</f>
        <v>W-FOPL-CG87NXX-T3L0-02-7S00</v>
      </c>
      <c r="R127" s="1" t="str">
        <f>VLOOKUP(MID(Q127,8,4),'[1]Tipe Plate'!$C:$D,2,FALSE)</f>
        <v>Grid Casting</v>
      </c>
      <c r="S127" s="4">
        <f>VLOOKUP(L127,'[1]Plate Infor'!$B:$F,5,FALSE)*D127</f>
        <v>1680</v>
      </c>
      <c r="T127" s="4">
        <f>IFERROR(VLOOKUP(IF(MID(Q127,3,1)="F","W-UNPL-"&amp;RIGHT(Q127,20),Q127),'[1]Data Pule'!$C:$E,3,FALSE),0)*S127</f>
        <v>193.20000000000002</v>
      </c>
    </row>
    <row r="128" spans="3:20" x14ac:dyDescent="0.35">
      <c r="C128" s="1" t="s">
        <v>103</v>
      </c>
      <c r="D128">
        <v>675</v>
      </c>
      <c r="E128" s="3" t="str">
        <f>MID(C128,5,1)</f>
        <v>W</v>
      </c>
      <c r="F128" s="3"/>
      <c r="G128" s="3"/>
      <c r="H128" s="3"/>
      <c r="I128" s="3"/>
      <c r="J128" s="3"/>
      <c r="K128" s="3"/>
      <c r="L128" s="1" t="str">
        <f>MID(C128,3,17)</f>
        <v>AHWP-32B20RX-A8A3</v>
      </c>
      <c r="M128" s="1" t="str">
        <f>VLOOKUP(L128,'[1]Plate Infor'!$B:$C,2,FALSE)</f>
        <v>W-UNPL-CM84APX-L870-02-7S00</v>
      </c>
      <c r="N128" s="1" t="str">
        <f>VLOOKUP(MID(M128,8,4),'[1]Tipe Plate'!$C:$D,2,FALSE)</f>
        <v>Grid Casting</v>
      </c>
      <c r="O128" s="4">
        <f>VLOOKUP(L128,'[1]Plate Infor'!$B:$D,3,FALSE)*D128</f>
        <v>8100</v>
      </c>
      <c r="P128" s="4">
        <f>IFERROR(VLOOKUP(IF(MID(M128,3,1)="F","W-UNPL-"&amp;RIGHT(M128,20),M128),'[1]Data Pule'!$C:$E,3,FALSE),0)*O128</f>
        <v>726.57</v>
      </c>
      <c r="Q128" s="1" t="str">
        <f>VLOOKUP(L128,'[1]Plate Infor'!$B:$E,4,FALSE)</f>
        <v>W-UNPL-WM85NXX-T3AF-00-7S00</v>
      </c>
      <c r="R128" s="1" t="str">
        <f>VLOOKUP(MID(Q128,8,4),'[1]Tipe Plate'!$C:$D,2,FALSE)</f>
        <v>Grid Punching</v>
      </c>
      <c r="S128" s="4">
        <f>VLOOKUP(L128,'[1]Plate Infor'!$B:$F,5,FALSE)*D128</f>
        <v>8100</v>
      </c>
      <c r="T128" s="4">
        <f>IFERROR(VLOOKUP(IF(MID(Q128,3,1)="F","W-UNPL-"&amp;RIGHT(Q128,20),Q128),'[1]Data Pule'!$C:$E,3,FALSE),0)*S128</f>
        <v>861.03000000000009</v>
      </c>
    </row>
    <row r="129" spans="3:20" x14ac:dyDescent="0.35">
      <c r="C129" s="1" t="s">
        <v>104</v>
      </c>
      <c r="D129">
        <v>540</v>
      </c>
      <c r="E129" s="3" t="str">
        <f>MID(C129,5,1)</f>
        <v>W</v>
      </c>
      <c r="F129" s="3"/>
      <c r="G129" s="3"/>
      <c r="H129" s="3"/>
      <c r="I129" s="3"/>
      <c r="J129" s="3"/>
      <c r="K129" s="3"/>
      <c r="L129" s="1" t="str">
        <f>MID(C129,3,17)</f>
        <v>AHWP-32B20LX-A8A3</v>
      </c>
      <c r="M129" s="1" t="str">
        <f>VLOOKUP(L129,'[1]Plate Infor'!$B:$C,2,FALSE)</f>
        <v>W-UNPL-CM84APX-L870-02-7S00</v>
      </c>
      <c r="N129" s="1" t="str">
        <f>VLOOKUP(MID(M129,8,4),'[1]Tipe Plate'!$C:$D,2,FALSE)</f>
        <v>Grid Casting</v>
      </c>
      <c r="O129" s="4">
        <f>VLOOKUP(L129,'[1]Plate Infor'!$B:$D,3,FALSE)*D129</f>
        <v>6480</v>
      </c>
      <c r="P129" s="4">
        <f>IFERROR(VLOOKUP(IF(MID(M129,3,1)="F","W-UNPL-"&amp;RIGHT(M129,20),M129),'[1]Data Pule'!$C:$E,3,FALSE),0)*O129</f>
        <v>581.25599999999997</v>
      </c>
      <c r="Q129" s="1" t="str">
        <f>VLOOKUP(L129,'[1]Plate Infor'!$B:$E,4,FALSE)</f>
        <v>W-UNPL-WM85NXX-T3AF-00-7S00</v>
      </c>
      <c r="R129" s="1" t="str">
        <f>VLOOKUP(MID(Q129,8,4),'[1]Tipe Plate'!$C:$D,2,FALSE)</f>
        <v>Grid Punching</v>
      </c>
      <c r="S129" s="4">
        <f>VLOOKUP(L129,'[1]Plate Infor'!$B:$F,5,FALSE)*D129</f>
        <v>6480</v>
      </c>
      <c r="T129" s="4">
        <f>IFERROR(VLOOKUP(IF(MID(Q129,3,1)="F","W-UNPL-"&amp;RIGHT(Q129,20),Q129),'[1]Data Pule'!$C:$E,3,FALSE),0)*S129</f>
        <v>688.82400000000007</v>
      </c>
    </row>
    <row r="130" spans="3:20" x14ac:dyDescent="0.35">
      <c r="C130" s="1" t="s">
        <v>105</v>
      </c>
      <c r="D130">
        <v>405</v>
      </c>
      <c r="E130" s="3" t="str">
        <f>MID(C130,5,1)</f>
        <v>W</v>
      </c>
      <c r="F130" s="3"/>
      <c r="G130" s="3"/>
      <c r="H130" s="3"/>
      <c r="I130" s="3"/>
      <c r="J130" s="3"/>
      <c r="K130" s="3"/>
      <c r="L130" s="1" t="str">
        <f>MID(C130,3,17)</f>
        <v>AHWP-36B20LX-B0A3</v>
      </c>
      <c r="M130" s="1" t="str">
        <f>VLOOKUP(L130,'[1]Plate Infor'!$B:$C,2,FALSE)</f>
        <v>W-UNPL-CM84APX-L870-02-7S00</v>
      </c>
      <c r="N130" s="1" t="str">
        <f>VLOOKUP(MID(M130,8,4),'[1]Tipe Plate'!$C:$D,2,FALSE)</f>
        <v>Grid Casting</v>
      </c>
      <c r="O130" s="4">
        <f>VLOOKUP(L130,'[1]Plate Infor'!$B:$D,3,FALSE)*D130</f>
        <v>6075</v>
      </c>
      <c r="P130" s="4">
        <f>IFERROR(VLOOKUP(IF(MID(M130,3,1)="F","W-UNPL-"&amp;RIGHT(M130,20),M130),'[1]Data Pule'!$C:$E,3,FALSE),0)*O130</f>
        <v>544.92750000000001</v>
      </c>
      <c r="Q130" s="1" t="str">
        <f>VLOOKUP(L130,'[1]Plate Infor'!$B:$E,4,FALSE)</f>
        <v>W-UNPL-WM85NXX-T3AF-00-7S00</v>
      </c>
      <c r="R130" s="1" t="str">
        <f>VLOOKUP(MID(Q130,8,4),'[1]Tipe Plate'!$C:$D,2,FALSE)</f>
        <v>Grid Punching</v>
      </c>
      <c r="S130" s="4">
        <f>VLOOKUP(L130,'[1]Plate Infor'!$B:$F,5,FALSE)*D130</f>
        <v>6075</v>
      </c>
      <c r="T130" s="4">
        <f>IFERROR(VLOOKUP(IF(MID(Q130,3,1)="F","W-UNPL-"&amp;RIGHT(Q130,20),Q130),'[1]Data Pule'!$C:$E,3,FALSE),0)*S130</f>
        <v>645.77250000000004</v>
      </c>
    </row>
    <row r="131" spans="3:20" x14ac:dyDescent="0.35">
      <c r="C131" s="1" t="s">
        <v>106</v>
      </c>
      <c r="D131">
        <v>270</v>
      </c>
      <c r="E131" s="3" t="str">
        <f>MID(C131,5,1)</f>
        <v>W</v>
      </c>
      <c r="F131" s="3"/>
      <c r="G131" s="3"/>
      <c r="H131" s="3"/>
      <c r="I131" s="3"/>
      <c r="J131" s="3"/>
      <c r="K131" s="3"/>
      <c r="L131" s="1" t="str">
        <f>MID(C131,3,17)</f>
        <v>AHWP-36B20RX-B0A3</v>
      </c>
      <c r="M131" s="1" t="str">
        <f>VLOOKUP(L131,'[1]Plate Infor'!$B:$C,2,FALSE)</f>
        <v>W-UNPL-CM84APX-L870-02-7S00</v>
      </c>
      <c r="N131" s="1" t="str">
        <f>VLOOKUP(MID(M131,8,4),'[1]Tipe Plate'!$C:$D,2,FALSE)</f>
        <v>Grid Casting</v>
      </c>
      <c r="O131" s="4">
        <f>VLOOKUP(L131,'[1]Plate Infor'!$B:$D,3,FALSE)*D131</f>
        <v>4050</v>
      </c>
      <c r="P131" s="4">
        <f>IFERROR(VLOOKUP(IF(MID(M131,3,1)="F","W-UNPL-"&amp;RIGHT(M131,20),M131),'[1]Data Pule'!$C:$E,3,FALSE),0)*O131</f>
        <v>363.28500000000003</v>
      </c>
      <c r="Q131" s="1" t="str">
        <f>VLOOKUP(L131,'[1]Plate Infor'!$B:$E,4,FALSE)</f>
        <v>W-UNPL-WM85NXX-T3AF-00-7S00</v>
      </c>
      <c r="R131" s="1" t="str">
        <f>VLOOKUP(MID(Q131,8,4),'[1]Tipe Plate'!$C:$D,2,FALSE)</f>
        <v>Grid Punching</v>
      </c>
      <c r="S131" s="4">
        <f>VLOOKUP(L131,'[1]Plate Infor'!$B:$F,5,FALSE)*D131</f>
        <v>4050</v>
      </c>
      <c r="T131" s="4">
        <f>IFERROR(VLOOKUP(IF(MID(Q131,3,1)="F","W-UNPL-"&amp;RIGHT(Q131,20),Q131),'[1]Data Pule'!$C:$E,3,FALSE),0)*S131</f>
        <v>430.51500000000004</v>
      </c>
    </row>
    <row r="132" spans="3:20" x14ac:dyDescent="0.35">
      <c r="C132" s="1" t="s">
        <v>107</v>
      </c>
      <c r="D132">
        <v>972</v>
      </c>
      <c r="E132" s="3" t="str">
        <f>MID(C132,5,1)</f>
        <v>W</v>
      </c>
      <c r="F132" s="3"/>
      <c r="G132" s="3"/>
      <c r="H132" s="3"/>
      <c r="I132" s="3"/>
      <c r="J132" s="3"/>
      <c r="K132" s="3"/>
      <c r="L132" s="1" t="str">
        <f>MID(C132,3,17)</f>
        <v>AHWP-46B24RX-B1A3</v>
      </c>
      <c r="M132" s="1" t="str">
        <f>VLOOKUP(L132,'[1]Plate Infor'!$B:$C,2,FALSE)</f>
        <v>W-UNPL-CM84APX-L870-02-7S00</v>
      </c>
      <c r="N132" s="1" t="str">
        <f>VLOOKUP(MID(M132,8,4),'[1]Tipe Plate'!$C:$D,2,FALSE)</f>
        <v>Grid Casting</v>
      </c>
      <c r="O132" s="4">
        <f>VLOOKUP(L132,'[1]Plate Infor'!$B:$D,3,FALSE)*D132</f>
        <v>17496</v>
      </c>
      <c r="P132" s="4">
        <f>IFERROR(VLOOKUP(IF(MID(M132,3,1)="F","W-UNPL-"&amp;RIGHT(M132,20),M132),'[1]Data Pule'!$C:$E,3,FALSE),0)*O132</f>
        <v>1569.3912</v>
      </c>
      <c r="Q132" s="1" t="str">
        <f>VLOOKUP(L132,'[1]Plate Infor'!$B:$E,4,FALSE)</f>
        <v>W-UNPL-WM85NXX-T3AF-00-7S00</v>
      </c>
      <c r="R132" s="1" t="str">
        <f>VLOOKUP(MID(Q132,8,4),'[1]Tipe Plate'!$C:$D,2,FALSE)</f>
        <v>Grid Punching</v>
      </c>
      <c r="S132" s="4">
        <f>VLOOKUP(L132,'[1]Plate Infor'!$B:$F,5,FALSE)*D132</f>
        <v>14580</v>
      </c>
      <c r="T132" s="4">
        <f>IFERROR(VLOOKUP(IF(MID(Q132,3,1)="F","W-UNPL-"&amp;RIGHT(Q132,20),Q132),'[1]Data Pule'!$C:$E,3,FALSE),0)*S132</f>
        <v>1549.854</v>
      </c>
    </row>
    <row r="133" spans="3:20" x14ac:dyDescent="0.35">
      <c r="C133" s="1" t="s">
        <v>108</v>
      </c>
      <c r="D133">
        <v>432</v>
      </c>
      <c r="E133" s="3" t="str">
        <f>MID(C133,5,1)</f>
        <v>W</v>
      </c>
      <c r="F133" s="3"/>
      <c r="G133" s="3"/>
      <c r="H133" s="3"/>
      <c r="I133" s="3"/>
      <c r="J133" s="3"/>
      <c r="K133" s="3"/>
      <c r="L133" s="1" t="str">
        <f>MID(C133,3,17)</f>
        <v>AHWP-46B24LX-B1A3</v>
      </c>
      <c r="M133" s="1" t="str">
        <f>VLOOKUP(L133,'[1]Plate Infor'!$B:$C,2,FALSE)</f>
        <v>W-UNPL-CM84APX-L870-02-7S00</v>
      </c>
      <c r="N133" s="1" t="str">
        <f>VLOOKUP(MID(M133,8,4),'[1]Tipe Plate'!$C:$D,2,FALSE)</f>
        <v>Grid Casting</v>
      </c>
      <c r="O133" s="4">
        <f>VLOOKUP(L133,'[1]Plate Infor'!$B:$D,3,FALSE)*D133</f>
        <v>7776</v>
      </c>
      <c r="P133" s="4">
        <f>IFERROR(VLOOKUP(IF(MID(M133,3,1)="F","W-UNPL-"&amp;RIGHT(M133,20),M133),'[1]Data Pule'!$C:$E,3,FALSE),0)*O133</f>
        <v>697.50720000000001</v>
      </c>
      <c r="Q133" s="1" t="str">
        <f>VLOOKUP(L133,'[1]Plate Infor'!$B:$E,4,FALSE)</f>
        <v>W-UNPL-WM85NXX-T3AF-00-7S00</v>
      </c>
      <c r="R133" s="1" t="str">
        <f>VLOOKUP(MID(Q133,8,4),'[1]Tipe Plate'!$C:$D,2,FALSE)</f>
        <v>Grid Punching</v>
      </c>
      <c r="S133" s="4">
        <f>VLOOKUP(L133,'[1]Plate Infor'!$B:$F,5,FALSE)*D133</f>
        <v>6480</v>
      </c>
      <c r="T133" s="4">
        <f>IFERROR(VLOOKUP(IF(MID(Q133,3,1)="F","W-UNPL-"&amp;RIGHT(Q133,20),Q133),'[1]Data Pule'!$C:$E,3,FALSE),0)*S133</f>
        <v>688.82400000000007</v>
      </c>
    </row>
    <row r="134" spans="3:20" x14ac:dyDescent="0.35">
      <c r="C134" s="1" t="s">
        <v>109</v>
      </c>
      <c r="D134">
        <v>80</v>
      </c>
      <c r="E134" s="3" t="str">
        <f>MID(C134,5,1)</f>
        <v>W</v>
      </c>
      <c r="F134" s="3"/>
      <c r="G134" s="3"/>
      <c r="H134" s="3"/>
      <c r="I134" s="3"/>
      <c r="J134" s="3"/>
      <c r="K134" s="3"/>
      <c r="L134" s="1" t="str">
        <f>MID(C134,3,17)</f>
        <v>AHWP-46B24LS-B1A3</v>
      </c>
      <c r="M134" s="1" t="str">
        <f>VLOOKUP(L134,'[1]Plate Infor'!$B:$C,2,FALSE)</f>
        <v>W-UNPL-CM84APX-L870-02-7S00</v>
      </c>
      <c r="N134" s="1" t="str">
        <f>VLOOKUP(MID(M134,8,4),'[1]Tipe Plate'!$C:$D,2,FALSE)</f>
        <v>Grid Casting</v>
      </c>
      <c r="O134" s="4">
        <f>VLOOKUP(L134,'[1]Plate Infor'!$B:$D,3,FALSE)*D134</f>
        <v>1440</v>
      </c>
      <c r="P134" s="4">
        <f>IFERROR(VLOOKUP(IF(MID(M134,3,1)="F","W-UNPL-"&amp;RIGHT(M134,20),M134),'[1]Data Pule'!$C:$E,3,FALSE),0)*O134</f>
        <v>129.16800000000001</v>
      </c>
      <c r="Q134" s="1" t="str">
        <f>VLOOKUP(L134,'[1]Plate Infor'!$B:$E,4,FALSE)</f>
        <v>W-UNPL-WM85NXX-T3AF-00-7S00</v>
      </c>
      <c r="R134" s="1" t="str">
        <f>VLOOKUP(MID(Q134,8,4),'[1]Tipe Plate'!$C:$D,2,FALSE)</f>
        <v>Grid Punching</v>
      </c>
      <c r="S134" s="4">
        <f>VLOOKUP(L134,'[1]Plate Infor'!$B:$F,5,FALSE)*D134</f>
        <v>1200</v>
      </c>
      <c r="T134" s="4">
        <f>IFERROR(VLOOKUP(IF(MID(Q134,3,1)="F","W-UNPL-"&amp;RIGHT(Q134,20),Q134),'[1]Data Pule'!$C:$E,3,FALSE),0)*S134</f>
        <v>127.56</v>
      </c>
    </row>
    <row r="135" spans="3:20" x14ac:dyDescent="0.35">
      <c r="C135" s="1" t="s">
        <v>110</v>
      </c>
      <c r="D135">
        <v>720</v>
      </c>
      <c r="E135" s="3" t="str">
        <f>MID(C135,5,1)</f>
        <v>W</v>
      </c>
      <c r="F135" s="3"/>
      <c r="G135" s="3"/>
      <c r="H135" s="3"/>
      <c r="I135" s="3"/>
      <c r="J135" s="3"/>
      <c r="K135" s="3"/>
      <c r="L135" s="1" t="str">
        <f>MID(C135,3,17)</f>
        <v>AHWP-55D26RX-B0A3</v>
      </c>
      <c r="M135" s="1" t="str">
        <f>VLOOKUP(L135,'[1]Plate Infor'!$B:$C,2,FALSE)</f>
        <v>W-UNPL-CG85EPX-L870-02-7C00</v>
      </c>
      <c r="N135" s="1" t="str">
        <f>VLOOKUP(MID(M135,8,4),'[1]Tipe Plate'!$C:$D,2,FALSE)</f>
        <v>Grid Casting</v>
      </c>
      <c r="O135" s="4">
        <f>VLOOKUP(L135,'[1]Plate Infor'!$B:$D,3,FALSE)*D135</f>
        <v>10800</v>
      </c>
      <c r="P135" s="4">
        <f>IFERROR(VLOOKUP(IF(MID(M135,3,1)="F","W-UNPL-"&amp;RIGHT(M135,20),M135),'[1]Data Pule'!$C:$E,3,FALSE),0)*O135</f>
        <v>1319.76</v>
      </c>
      <c r="Q135" s="1" t="str">
        <f>VLOOKUP(L135,'[1]Plate Infor'!$B:$E,4,FALSE)</f>
        <v>W-UNPL-WG87NXX-T3AF-00-7C00</v>
      </c>
      <c r="R135" s="1" t="str">
        <f>VLOOKUP(MID(Q135,8,4),'[1]Tipe Plate'!$C:$D,2,FALSE)</f>
        <v>Grid Punching</v>
      </c>
      <c r="S135" s="4">
        <f>VLOOKUP(L135,'[1]Plate Infor'!$B:$F,5,FALSE)*D135</f>
        <v>10800</v>
      </c>
      <c r="T135" s="4">
        <f>IFERROR(VLOOKUP(IF(MID(Q135,3,1)="F","W-UNPL-"&amp;RIGHT(Q135,20),Q135),'[1]Data Pule'!$C:$E,3,FALSE),0)*S135</f>
        <v>1411.5599999999997</v>
      </c>
    </row>
    <row r="136" spans="3:20" x14ac:dyDescent="0.35">
      <c r="C136" s="1" t="s">
        <v>111</v>
      </c>
      <c r="D136">
        <v>288</v>
      </c>
      <c r="E136" s="3" t="str">
        <f>MID(C136,5,1)</f>
        <v>W</v>
      </c>
      <c r="F136" s="3"/>
      <c r="G136" s="3"/>
      <c r="H136" s="3"/>
      <c r="I136" s="3"/>
      <c r="J136" s="3"/>
      <c r="K136" s="3"/>
      <c r="L136" s="1" t="str">
        <f>MID(C136,3,17)</f>
        <v>AHWP-48D26RX-A8A3</v>
      </c>
      <c r="M136" s="1" t="str">
        <f>VLOOKUP(L136,'[1]Plate Infor'!$B:$C,2,FALSE)</f>
        <v>W-UNPL-CG85EPX-L870-02-7C00</v>
      </c>
      <c r="N136" s="1" t="str">
        <f>VLOOKUP(MID(M136,8,4),'[1]Tipe Plate'!$C:$D,2,FALSE)</f>
        <v>Grid Casting</v>
      </c>
      <c r="O136" s="4">
        <f>VLOOKUP(L136,'[1]Plate Infor'!$B:$D,3,FALSE)*D136</f>
        <v>3456</v>
      </c>
      <c r="P136" s="4">
        <f>IFERROR(VLOOKUP(IF(MID(M136,3,1)="F","W-UNPL-"&amp;RIGHT(M136,20),M136),'[1]Data Pule'!$C:$E,3,FALSE),0)*O136</f>
        <v>422.32319999999999</v>
      </c>
      <c r="Q136" s="1" t="str">
        <f>VLOOKUP(L136,'[1]Plate Infor'!$B:$E,4,FALSE)</f>
        <v>W-UNPL-WG87NXX-T3AF-00-7C00</v>
      </c>
      <c r="R136" s="1" t="str">
        <f>VLOOKUP(MID(Q136,8,4),'[1]Tipe Plate'!$C:$D,2,FALSE)</f>
        <v>Grid Punching</v>
      </c>
      <c r="S136" s="4">
        <f>VLOOKUP(L136,'[1]Plate Infor'!$B:$F,5,FALSE)*D136</f>
        <v>3456</v>
      </c>
      <c r="T136" s="4">
        <f>IFERROR(VLOOKUP(IF(MID(Q136,3,1)="F","W-UNPL-"&amp;RIGHT(Q136,20),Q136),'[1]Data Pule'!$C:$E,3,FALSE),0)*S136</f>
        <v>451.69919999999996</v>
      </c>
    </row>
    <row r="137" spans="3:20" x14ac:dyDescent="0.35">
      <c r="C137" s="1" t="s">
        <v>112</v>
      </c>
      <c r="D137">
        <v>576</v>
      </c>
      <c r="E137" s="3" t="str">
        <f>MID(C137,5,1)</f>
        <v>W</v>
      </c>
      <c r="F137" s="3"/>
      <c r="G137" s="3"/>
      <c r="H137" s="3"/>
      <c r="I137" s="3"/>
      <c r="J137" s="3"/>
      <c r="K137" s="3"/>
      <c r="L137" s="1" t="str">
        <f>MID(C137,3,17)</f>
        <v>AHWP-65D26RX-B2A3</v>
      </c>
      <c r="M137" s="1" t="str">
        <f>VLOOKUP(L137,'[1]Plate Infor'!$B:$C,2,FALSE)</f>
        <v>W-UNPL-CG85EPX-L870-02-7C00</v>
      </c>
      <c r="N137" s="1" t="str">
        <f>VLOOKUP(MID(M137,8,4),'[1]Tipe Plate'!$C:$D,2,FALSE)</f>
        <v>Grid Casting</v>
      </c>
      <c r="O137" s="4">
        <f>VLOOKUP(L137,'[1]Plate Infor'!$B:$D,3,FALSE)*D137</f>
        <v>10368</v>
      </c>
      <c r="P137" s="4">
        <f>IFERROR(VLOOKUP(IF(MID(M137,3,1)="F","W-UNPL-"&amp;RIGHT(M137,20),M137),'[1]Data Pule'!$C:$E,3,FALSE),0)*O137</f>
        <v>1266.9696000000001</v>
      </c>
      <c r="Q137" s="1" t="str">
        <f>VLOOKUP(L137,'[1]Plate Infor'!$B:$E,4,FALSE)</f>
        <v>W-UNPL-WG87NXX-T3AF-00-7C00</v>
      </c>
      <c r="R137" s="1" t="str">
        <f>VLOOKUP(MID(Q137,8,4),'[1]Tipe Plate'!$C:$D,2,FALSE)</f>
        <v>Grid Punching</v>
      </c>
      <c r="S137" s="4">
        <f>VLOOKUP(L137,'[1]Plate Infor'!$B:$F,5,FALSE)*D137</f>
        <v>10368</v>
      </c>
      <c r="T137" s="4">
        <f>IFERROR(VLOOKUP(IF(MID(Q137,3,1)="F","W-UNPL-"&amp;RIGHT(Q137,20),Q137),'[1]Data Pule'!$C:$E,3,FALSE),0)*S137</f>
        <v>1355.0975999999998</v>
      </c>
    </row>
    <row r="138" spans="3:20" x14ac:dyDescent="0.35">
      <c r="C138" s="1" t="s">
        <v>113</v>
      </c>
      <c r="D138">
        <v>378</v>
      </c>
      <c r="E138" s="3" t="str">
        <f>MID(C138,5,1)</f>
        <v>W</v>
      </c>
      <c r="F138" s="3"/>
      <c r="G138" s="3"/>
      <c r="H138" s="3"/>
      <c r="I138" s="3"/>
      <c r="J138" s="3"/>
      <c r="K138" s="3"/>
      <c r="L138" s="1" t="str">
        <f>MID(C138,3,17)</f>
        <v>AHWP-75D31RX-B4A3</v>
      </c>
      <c r="M138" s="1" t="str">
        <f>VLOOKUP(L138,'[1]Plate Infor'!$B:$C,2,FALSE)</f>
        <v>W-UNPL-CG85EPX-L870-02-7C00</v>
      </c>
      <c r="N138" s="1" t="str">
        <f>VLOOKUP(MID(M138,8,4),'[1]Tipe Plate'!$C:$D,2,FALSE)</f>
        <v>Grid Casting</v>
      </c>
      <c r="O138" s="4">
        <f>VLOOKUP(L138,'[1]Plate Infor'!$B:$D,3,FALSE)*D138</f>
        <v>7938</v>
      </c>
      <c r="P138" s="4">
        <f>IFERROR(VLOOKUP(IF(MID(M138,3,1)="F","W-UNPL-"&amp;RIGHT(M138,20),M138),'[1]Data Pule'!$C:$E,3,FALSE),0)*O138</f>
        <v>970.02359999999999</v>
      </c>
      <c r="Q138" s="1" t="str">
        <f>VLOOKUP(L138,'[1]Plate Infor'!$B:$E,4,FALSE)</f>
        <v>W-UNPL-WG87NXX-T3AF-00-7C00</v>
      </c>
      <c r="R138" s="1" t="str">
        <f>VLOOKUP(MID(Q138,8,4),'[1]Tipe Plate'!$C:$D,2,FALSE)</f>
        <v>Grid Punching</v>
      </c>
      <c r="S138" s="4">
        <f>VLOOKUP(L138,'[1]Plate Infor'!$B:$F,5,FALSE)*D138</f>
        <v>7938</v>
      </c>
      <c r="T138" s="4">
        <f>IFERROR(VLOOKUP(IF(MID(Q138,3,1)="F","W-UNPL-"&amp;RIGHT(Q138,20),Q138),'[1]Data Pule'!$C:$E,3,FALSE),0)*S138</f>
        <v>1037.4965999999999</v>
      </c>
    </row>
    <row r="139" spans="3:20" x14ac:dyDescent="0.35">
      <c r="C139" s="1" t="s">
        <v>114</v>
      </c>
      <c r="D139">
        <v>63</v>
      </c>
      <c r="E139" s="3" t="str">
        <f>MID(C139,5,1)</f>
        <v>W</v>
      </c>
      <c r="F139" s="3"/>
      <c r="G139" s="3"/>
      <c r="H139" s="3"/>
      <c r="I139" s="3"/>
      <c r="J139" s="3"/>
      <c r="K139" s="3"/>
      <c r="L139" s="1" t="str">
        <f>MID(C139,3,17)</f>
        <v>AHWP-65D31RX-B2A3</v>
      </c>
      <c r="M139" s="1" t="str">
        <f>VLOOKUP(L139,'[1]Plate Infor'!$B:$C,2,FALSE)</f>
        <v>W-UNPL-CG85EPX-L870-02-7C00</v>
      </c>
      <c r="N139" s="1" t="str">
        <f>VLOOKUP(MID(M139,8,4),'[1]Tipe Plate'!$C:$D,2,FALSE)</f>
        <v>Grid Casting</v>
      </c>
      <c r="O139" s="4">
        <f>VLOOKUP(L139,'[1]Plate Infor'!$B:$D,3,FALSE)*D139</f>
        <v>1134</v>
      </c>
      <c r="P139" s="4">
        <f>IFERROR(VLOOKUP(IF(MID(M139,3,1)="F","W-UNPL-"&amp;RIGHT(M139,20),M139),'[1]Data Pule'!$C:$E,3,FALSE),0)*O139</f>
        <v>138.57480000000001</v>
      </c>
      <c r="Q139" s="1" t="str">
        <f>VLOOKUP(L139,'[1]Plate Infor'!$B:$E,4,FALSE)</f>
        <v>W-UNPL-WG87NXX-T3AF-00-7C00</v>
      </c>
      <c r="R139" s="1" t="str">
        <f>VLOOKUP(MID(Q139,8,4),'[1]Tipe Plate'!$C:$D,2,FALSE)</f>
        <v>Grid Punching</v>
      </c>
      <c r="S139" s="4">
        <f>VLOOKUP(L139,'[1]Plate Infor'!$B:$F,5,FALSE)*D139</f>
        <v>1134</v>
      </c>
      <c r="T139" s="4">
        <f>IFERROR(VLOOKUP(IF(MID(Q139,3,1)="F","W-UNPL-"&amp;RIGHT(Q139,20),Q139),'[1]Data Pule'!$C:$E,3,FALSE),0)*S139</f>
        <v>148.21379999999999</v>
      </c>
    </row>
    <row r="140" spans="3:20" x14ac:dyDescent="0.35">
      <c r="C140" s="1" t="s">
        <v>115</v>
      </c>
      <c r="D140">
        <v>540</v>
      </c>
      <c r="E140" s="3" t="str">
        <f>MID(C140,5,1)</f>
        <v>W</v>
      </c>
      <c r="F140" s="3"/>
      <c r="G140" s="3"/>
      <c r="H140" s="3"/>
      <c r="I140" s="3"/>
      <c r="J140" s="3"/>
      <c r="K140" s="3"/>
      <c r="L140" s="1" t="str">
        <f>MID(C140,3,17)</f>
        <v>AMWP-36B20RX-B0P3</v>
      </c>
      <c r="M140" s="1" t="str">
        <f>VLOOKUP(L140,'[1]Plate Infor'!$B:$C,2,FALSE)</f>
        <v>W-UNPL-WM84PXX-L65F-00-7S00</v>
      </c>
      <c r="N140" s="1" t="str">
        <f>VLOOKUP(MID(M140,8,4),'[1]Tipe Plate'!$C:$D,2,FALSE)</f>
        <v>Grid Casting</v>
      </c>
      <c r="O140" s="4">
        <f>VLOOKUP(L140,'[1]Plate Infor'!$B:$D,3,FALSE)*D140</f>
        <v>8100</v>
      </c>
      <c r="P140" s="4">
        <f>IFERROR(VLOOKUP(IF(MID(M140,3,1)="F","W-UNPL-"&amp;RIGHT(M140,20),M140),'[1]Data Pule'!$C:$E,3,FALSE),0)*O140</f>
        <v>922.59</v>
      </c>
      <c r="Q140" s="1" t="str">
        <f>VLOOKUP(L140,'[1]Plate Infor'!$B:$E,4,FALSE)</f>
        <v>W-UNPL-WM85NXX-T3AF-00-7S00</v>
      </c>
      <c r="R140" s="1" t="str">
        <f>VLOOKUP(MID(Q140,8,4),'[1]Tipe Plate'!$C:$D,2,FALSE)</f>
        <v>Grid Punching</v>
      </c>
      <c r="S140" s="4">
        <f>VLOOKUP(L140,'[1]Plate Infor'!$B:$F,5,FALSE)*D140</f>
        <v>8100</v>
      </c>
      <c r="T140" s="4">
        <f>IFERROR(VLOOKUP(IF(MID(Q140,3,1)="F","W-UNPL-"&amp;RIGHT(Q140,20),Q140),'[1]Data Pule'!$C:$E,3,FALSE),0)*S140</f>
        <v>861.03000000000009</v>
      </c>
    </row>
    <row r="141" spans="3:20" x14ac:dyDescent="0.35">
      <c r="C141" s="1" t="s">
        <v>116</v>
      </c>
      <c r="D141">
        <v>945</v>
      </c>
      <c r="E141" s="3" t="str">
        <f>MID(C141,5,1)</f>
        <v>W</v>
      </c>
      <c r="F141" s="3"/>
      <c r="G141" s="3"/>
      <c r="H141" s="3"/>
      <c r="I141" s="3"/>
      <c r="J141" s="3"/>
      <c r="K141" s="3"/>
      <c r="L141" s="1" t="str">
        <f>MID(C141,3,17)</f>
        <v>AMWP-36B20LX-B0P3</v>
      </c>
      <c r="M141" s="1" t="str">
        <f>VLOOKUP(L141,'[1]Plate Infor'!$B:$C,2,FALSE)</f>
        <v>W-UNPL-WM84PXX-L65F-00-7S00</v>
      </c>
      <c r="N141" s="1" t="str">
        <f>VLOOKUP(MID(M141,8,4),'[1]Tipe Plate'!$C:$D,2,FALSE)</f>
        <v>Grid Casting</v>
      </c>
      <c r="O141" s="4">
        <f>VLOOKUP(L141,'[1]Plate Infor'!$B:$D,3,FALSE)*D141</f>
        <v>14175</v>
      </c>
      <c r="P141" s="4">
        <f>IFERROR(VLOOKUP(IF(MID(M141,3,1)="F","W-UNPL-"&amp;RIGHT(M141,20),M141),'[1]Data Pule'!$C:$E,3,FALSE),0)*O141</f>
        <v>1614.5325</v>
      </c>
      <c r="Q141" s="1" t="str">
        <f>VLOOKUP(L141,'[1]Plate Infor'!$B:$E,4,FALSE)</f>
        <v>W-UNPL-WM85NXX-T3AF-00-7S00</v>
      </c>
      <c r="R141" s="1" t="str">
        <f>VLOOKUP(MID(Q141,8,4),'[1]Tipe Plate'!$C:$D,2,FALSE)</f>
        <v>Grid Punching</v>
      </c>
      <c r="S141" s="4">
        <f>VLOOKUP(L141,'[1]Plate Infor'!$B:$F,5,FALSE)*D141</f>
        <v>14175</v>
      </c>
      <c r="T141" s="4">
        <f>IFERROR(VLOOKUP(IF(MID(Q141,3,1)="F","W-UNPL-"&amp;RIGHT(Q141,20),Q141),'[1]Data Pule'!$C:$E,3,FALSE),0)*S141</f>
        <v>1506.8025</v>
      </c>
    </row>
    <row r="142" spans="3:20" x14ac:dyDescent="0.35">
      <c r="C142" s="1" t="s">
        <v>117</v>
      </c>
      <c r="D142">
        <v>540</v>
      </c>
      <c r="E142" s="3" t="str">
        <f>MID(C142,5,1)</f>
        <v>W</v>
      </c>
      <c r="F142" s="3"/>
      <c r="G142" s="3"/>
      <c r="H142" s="3"/>
      <c r="I142" s="3"/>
      <c r="J142" s="3"/>
      <c r="K142" s="3"/>
      <c r="L142" s="1" t="str">
        <f>MID(C142,3,17)</f>
        <v>AMWP-46B24RX-B1P3</v>
      </c>
      <c r="M142" s="1" t="str">
        <f>VLOOKUP(L142,'[1]Plate Infor'!$B:$C,2,FALSE)</f>
        <v>W-UNPL-WM84PXX-L65F-00-7S00</v>
      </c>
      <c r="N142" s="1" t="str">
        <f>VLOOKUP(MID(M142,8,4),'[1]Tipe Plate'!$C:$D,2,FALSE)</f>
        <v>Grid Casting</v>
      </c>
      <c r="O142" s="4">
        <f>VLOOKUP(L142,'[1]Plate Infor'!$B:$D,3,FALSE)*D142</f>
        <v>9720</v>
      </c>
      <c r="P142" s="4">
        <f>IFERROR(VLOOKUP(IF(MID(M142,3,1)="F","W-UNPL-"&amp;RIGHT(M142,20),M142),'[1]Data Pule'!$C:$E,3,FALSE),0)*O142</f>
        <v>1107.1079999999999</v>
      </c>
      <c r="Q142" s="1" t="str">
        <f>VLOOKUP(L142,'[1]Plate Infor'!$B:$E,4,FALSE)</f>
        <v>W-UNPL-WM85NXX-T3AF-00-7S00</v>
      </c>
      <c r="R142" s="1" t="str">
        <f>VLOOKUP(MID(Q142,8,4),'[1]Tipe Plate'!$C:$D,2,FALSE)</f>
        <v>Grid Punching</v>
      </c>
      <c r="S142" s="4">
        <f>VLOOKUP(L142,'[1]Plate Infor'!$B:$F,5,FALSE)*D142</f>
        <v>8100</v>
      </c>
      <c r="T142" s="4">
        <f>IFERROR(VLOOKUP(IF(MID(Q142,3,1)="F","W-UNPL-"&amp;RIGHT(Q142,20),Q142),'[1]Data Pule'!$C:$E,3,FALSE),0)*S142</f>
        <v>861.03000000000009</v>
      </c>
    </row>
    <row r="143" spans="3:20" x14ac:dyDescent="0.35">
      <c r="C143" s="1" t="s">
        <v>118</v>
      </c>
      <c r="D143">
        <v>432</v>
      </c>
      <c r="E143" s="3" t="str">
        <f>MID(C143,5,1)</f>
        <v>W</v>
      </c>
      <c r="F143" s="3"/>
      <c r="G143" s="3"/>
      <c r="H143" s="3"/>
      <c r="I143" s="3"/>
      <c r="J143" s="3"/>
      <c r="K143" s="3"/>
      <c r="L143" s="1" t="str">
        <f>MID(C143,3,17)</f>
        <v>AMWP-46B24LX-B1P3</v>
      </c>
      <c r="M143" s="1" t="str">
        <f>VLOOKUP(L143,'[1]Plate Infor'!$B:$C,2,FALSE)</f>
        <v>W-UNPL-WM84PXX-L65F-00-7S00</v>
      </c>
      <c r="N143" s="1" t="str">
        <f>VLOOKUP(MID(M143,8,4),'[1]Tipe Plate'!$C:$D,2,FALSE)</f>
        <v>Grid Casting</v>
      </c>
      <c r="O143" s="4">
        <f>VLOOKUP(L143,'[1]Plate Infor'!$B:$D,3,FALSE)*D143</f>
        <v>7776</v>
      </c>
      <c r="P143" s="4">
        <f>IFERROR(VLOOKUP(IF(MID(M143,3,1)="F","W-UNPL-"&amp;RIGHT(M143,20),M143),'[1]Data Pule'!$C:$E,3,FALSE),0)*O143</f>
        <v>885.68640000000005</v>
      </c>
      <c r="Q143" s="1" t="str">
        <f>VLOOKUP(L143,'[1]Plate Infor'!$B:$E,4,FALSE)</f>
        <v>W-UNPL-WM85NXX-T3AF-00-7S00</v>
      </c>
      <c r="R143" s="1" t="str">
        <f>VLOOKUP(MID(Q143,8,4),'[1]Tipe Plate'!$C:$D,2,FALSE)</f>
        <v>Grid Punching</v>
      </c>
      <c r="S143" s="4">
        <f>VLOOKUP(L143,'[1]Plate Infor'!$B:$F,5,FALSE)*D143</f>
        <v>6480</v>
      </c>
      <c r="T143" s="4">
        <f>IFERROR(VLOOKUP(IF(MID(Q143,3,1)="F","W-UNPL-"&amp;RIGHT(Q143,20),Q143),'[1]Data Pule'!$C:$E,3,FALSE),0)*S143</f>
        <v>688.82400000000007</v>
      </c>
    </row>
    <row r="144" spans="3:20" x14ac:dyDescent="0.35">
      <c r="C144" s="1" t="s">
        <v>119</v>
      </c>
      <c r="D144">
        <v>108</v>
      </c>
      <c r="E144" s="3" t="str">
        <f>MID(C144,5,1)</f>
        <v>W</v>
      </c>
      <c r="F144" s="3"/>
      <c r="G144" s="3"/>
      <c r="H144" s="3"/>
      <c r="I144" s="3"/>
      <c r="J144" s="3"/>
      <c r="K144" s="3"/>
      <c r="L144" s="1" t="str">
        <f>MID(C144,3,17)</f>
        <v>AMWP-46B24LS-B1P3</v>
      </c>
      <c r="M144" s="1" t="str">
        <f>VLOOKUP(L144,'[1]Plate Infor'!$B:$C,2,FALSE)</f>
        <v>W-UNPL-WM84PXX-L65F-00-7S00</v>
      </c>
      <c r="N144" s="1" t="str">
        <f>VLOOKUP(MID(M144,8,4),'[1]Tipe Plate'!$C:$D,2,FALSE)</f>
        <v>Grid Casting</v>
      </c>
      <c r="O144" s="4">
        <f>VLOOKUP(L144,'[1]Plate Infor'!$B:$D,3,FALSE)*D144</f>
        <v>1944</v>
      </c>
      <c r="P144" s="4">
        <f>IFERROR(VLOOKUP(IF(MID(M144,3,1)="F","W-UNPL-"&amp;RIGHT(M144,20),M144),'[1]Data Pule'!$C:$E,3,FALSE),0)*O144</f>
        <v>221.42160000000001</v>
      </c>
      <c r="Q144" s="1" t="str">
        <f>VLOOKUP(L144,'[1]Plate Infor'!$B:$E,4,FALSE)</f>
        <v>W-UNPL-WM85NXX-T3AF-00-7S00</v>
      </c>
      <c r="R144" s="1" t="str">
        <f>VLOOKUP(MID(Q144,8,4),'[1]Tipe Plate'!$C:$D,2,FALSE)</f>
        <v>Grid Punching</v>
      </c>
      <c r="S144" s="4">
        <f>VLOOKUP(L144,'[1]Plate Infor'!$B:$F,5,FALSE)*D144</f>
        <v>1620</v>
      </c>
      <c r="T144" s="4">
        <f>IFERROR(VLOOKUP(IF(MID(Q144,3,1)="F","W-UNPL-"&amp;RIGHT(Q144,20),Q144),'[1]Data Pule'!$C:$E,3,FALSE),0)*S144</f>
        <v>172.20600000000002</v>
      </c>
    </row>
    <row r="145" spans="3:20" x14ac:dyDescent="0.35">
      <c r="C145" s="1" t="s">
        <v>120</v>
      </c>
      <c r="D145">
        <v>84</v>
      </c>
      <c r="E145" s="3" t="str">
        <f>MID(C145,5,1)</f>
        <v>W</v>
      </c>
      <c r="F145" s="3"/>
      <c r="G145" s="3"/>
      <c r="H145" s="3"/>
      <c r="I145" s="3"/>
      <c r="J145" s="3"/>
      <c r="K145" s="3"/>
      <c r="L145" s="1" t="str">
        <f>MID(C145,3,17)</f>
        <v>AMWP-55D23LX-B0P3</v>
      </c>
      <c r="M145" s="1" t="str">
        <f>VLOOKUP(L145,'[1]Plate Infor'!$B:$C,2,FALSE)</f>
        <v>W-UNPL-WG83PXX-L65F-00-7C00</v>
      </c>
      <c r="N145" s="1" t="str">
        <f>VLOOKUP(MID(M145,8,4),'[1]Tipe Plate'!$C:$D,2,FALSE)</f>
        <v>Grid Punching</v>
      </c>
      <c r="O145" s="4">
        <f>VLOOKUP(L145,'[1]Plate Infor'!$B:$D,3,FALSE)*D145</f>
        <v>1260</v>
      </c>
      <c r="P145" s="4">
        <f>IFERROR(VLOOKUP(IF(MID(M145,3,1)="F","W-UNPL-"&amp;RIGHT(M145,20),M145),'[1]Data Pule'!$C:$E,3,FALSE),0)*O145</f>
        <v>213.31799999999998</v>
      </c>
      <c r="Q145" s="1" t="str">
        <f>VLOOKUP(L145,'[1]Plate Infor'!$B:$E,4,FALSE)</f>
        <v>W-UNPL-WG87NXX-T3AF-00-7C00</v>
      </c>
      <c r="R145" s="1" t="str">
        <f>VLOOKUP(MID(Q145,8,4),'[1]Tipe Plate'!$C:$D,2,FALSE)</f>
        <v>Grid Punching</v>
      </c>
      <c r="S145" s="4">
        <f>VLOOKUP(L145,'[1]Plate Infor'!$B:$F,5,FALSE)*D145</f>
        <v>1260</v>
      </c>
      <c r="T145" s="4">
        <f>IFERROR(VLOOKUP(IF(MID(Q145,3,1)="F","W-UNPL-"&amp;RIGHT(Q145,20),Q145),'[1]Data Pule'!$C:$E,3,FALSE),0)*S145</f>
        <v>164.68199999999999</v>
      </c>
    </row>
    <row r="146" spans="3:20" x14ac:dyDescent="0.35">
      <c r="C146" s="1" t="s">
        <v>121</v>
      </c>
      <c r="D146">
        <v>72</v>
      </c>
      <c r="E146" s="3" t="str">
        <f>MID(C146,5,1)</f>
        <v>W</v>
      </c>
      <c r="F146" s="3"/>
      <c r="G146" s="3"/>
      <c r="H146" s="3"/>
      <c r="I146" s="3"/>
      <c r="J146" s="3"/>
      <c r="K146" s="3"/>
      <c r="L146" s="1" t="str">
        <f>MID(C146,3,17)</f>
        <v>AMWP-80D26LX-B3P3</v>
      </c>
      <c r="M146" s="1" t="str">
        <f>VLOOKUP(L146,'[1]Plate Infor'!$B:$C,2,FALSE)</f>
        <v>W-UNPL-WG83PXX-L65F-00-7C00</v>
      </c>
      <c r="N146" s="1" t="str">
        <f>VLOOKUP(MID(M146,8,4),'[1]Tipe Plate'!$C:$D,2,FALSE)</f>
        <v>Grid Punching</v>
      </c>
      <c r="O146" s="4">
        <f>VLOOKUP(L146,'[1]Plate Infor'!$B:$D,3,FALSE)*D146</f>
        <v>1512</v>
      </c>
      <c r="P146" s="4">
        <f>IFERROR(VLOOKUP(IF(MID(M146,3,1)="F","W-UNPL-"&amp;RIGHT(M146,20),M146),'[1]Data Pule'!$C:$E,3,FALSE),0)*O146</f>
        <v>255.98159999999996</v>
      </c>
      <c r="Q146" s="1" t="str">
        <f>VLOOKUP(L146,'[1]Plate Infor'!$B:$E,4,FALSE)</f>
        <v>W-UNPL-WG87NXX-T3AF-00-7C00</v>
      </c>
      <c r="R146" s="1" t="str">
        <f>VLOOKUP(MID(Q146,8,4),'[1]Tipe Plate'!$C:$D,2,FALSE)</f>
        <v>Grid Punching</v>
      </c>
      <c r="S146" s="4">
        <f>VLOOKUP(L146,'[1]Plate Infor'!$B:$F,5,FALSE)*D146</f>
        <v>1296</v>
      </c>
      <c r="T146" s="4">
        <f>IFERROR(VLOOKUP(IF(MID(Q146,3,1)="F","W-UNPL-"&amp;RIGHT(Q146,20),Q146),'[1]Data Pule'!$C:$E,3,FALSE),0)*S146</f>
        <v>169.38719999999998</v>
      </c>
    </row>
    <row r="147" spans="3:20" x14ac:dyDescent="0.35">
      <c r="C147" s="1" t="s">
        <v>122</v>
      </c>
      <c r="D147">
        <v>63</v>
      </c>
      <c r="E147" s="3" t="str">
        <f>MID(C147,5,1)</f>
        <v>W</v>
      </c>
      <c r="F147" s="3"/>
      <c r="G147" s="3"/>
      <c r="H147" s="3"/>
      <c r="I147" s="3"/>
      <c r="J147" s="3"/>
      <c r="K147" s="3"/>
      <c r="L147" s="1" t="str">
        <f>MID(C147,3,17)</f>
        <v>AMWP-95D31LX-B4P3</v>
      </c>
      <c r="M147" s="1" t="str">
        <f>VLOOKUP(L147,'[1]Plate Infor'!$B:$C,2,FALSE)</f>
        <v>W-UNPL-WG83PXX-L65F-00-7C00</v>
      </c>
      <c r="N147" s="1" t="str">
        <f>VLOOKUP(MID(M147,8,4),'[1]Tipe Plate'!$C:$D,2,FALSE)</f>
        <v>Grid Punching</v>
      </c>
      <c r="O147" s="4">
        <f>VLOOKUP(L147,'[1]Plate Infor'!$B:$D,3,FALSE)*D147</f>
        <v>1323</v>
      </c>
      <c r="P147" s="4">
        <f>IFERROR(VLOOKUP(IF(MID(M147,3,1)="F","W-UNPL-"&amp;RIGHT(M147,20),M147),'[1]Data Pule'!$C:$E,3,FALSE),0)*O147</f>
        <v>223.98389999999998</v>
      </c>
      <c r="Q147" s="1" t="str">
        <f>VLOOKUP(L147,'[1]Plate Infor'!$B:$E,4,FALSE)</f>
        <v>W-UNPL-WG87NXX-T3AF-00-7C00</v>
      </c>
      <c r="R147" s="1" t="str">
        <f>VLOOKUP(MID(Q147,8,4),'[1]Tipe Plate'!$C:$D,2,FALSE)</f>
        <v>Grid Punching</v>
      </c>
      <c r="S147" s="4">
        <f>VLOOKUP(L147,'[1]Plate Infor'!$B:$F,5,FALSE)*D147</f>
        <v>1323</v>
      </c>
      <c r="T147" s="4">
        <f>IFERROR(VLOOKUP(IF(MID(Q147,3,1)="F","W-UNPL-"&amp;RIGHT(Q147,20),Q147),'[1]Data Pule'!$C:$E,3,FALSE),0)*S147</f>
        <v>172.91609999999997</v>
      </c>
    </row>
    <row r="148" spans="3:20" x14ac:dyDescent="0.35">
      <c r="C148" s="1" t="s">
        <v>123</v>
      </c>
      <c r="D148">
        <v>90</v>
      </c>
      <c r="E148" s="3" t="str">
        <f>MID(C148,5,1)</f>
        <v>D</v>
      </c>
      <c r="F148" s="3"/>
      <c r="G148" s="3"/>
      <c r="H148" s="3"/>
      <c r="I148" s="3"/>
      <c r="J148" s="3"/>
      <c r="K148" s="3"/>
      <c r="L148" s="1" t="str">
        <f>MID(C148,3,17)</f>
        <v>ACDP-48D26RX-B2C2</v>
      </c>
      <c r="M148" s="1" t="str">
        <f>VLOOKUP(L148,'[1]Plate Infor'!$B:$C,2,FALSE)</f>
        <v>W-FOPL-CG82PXX-L870-02-7S00</v>
      </c>
      <c r="N148" s="1" t="str">
        <f>VLOOKUP(MID(M148,8,4),'[1]Tipe Plate'!$C:$D,2,FALSE)</f>
        <v>Grid Casting</v>
      </c>
      <c r="O148" s="4">
        <f>VLOOKUP(L148,'[1]Plate Infor'!$B:$D,3,FALSE)*D148</f>
        <v>1620</v>
      </c>
      <c r="P148" s="4">
        <f>IFERROR(VLOOKUP(IF(MID(M148,3,1)="F","W-UNPL-"&amp;RIGHT(M148,20),M148),'[1]Data Pule'!$C:$E,3,FALSE),0)*O148</f>
        <v>208.16999999999996</v>
      </c>
      <c r="Q148" s="1" t="str">
        <f>VLOOKUP(L148,'[1]Plate Infor'!$B:$E,4,FALSE)</f>
        <v>W-FOPL-CG85NXX-T3L0-02-7S00</v>
      </c>
      <c r="R148" s="1" t="str">
        <f>VLOOKUP(MID(Q148,8,4),'[1]Tipe Plate'!$C:$D,2,FALSE)</f>
        <v>Grid Casting</v>
      </c>
      <c r="S148" s="4">
        <f>VLOOKUP(L148,'[1]Plate Infor'!$B:$F,5,FALSE)*D148</f>
        <v>1620</v>
      </c>
      <c r="T148" s="4">
        <f>IFERROR(VLOOKUP(IF(MID(Q148,3,1)="F","W-UNPL-"&amp;RIGHT(Q148,20),Q148),'[1]Data Pule'!$C:$E,3,FALSE),0)*S148</f>
        <v>211.73399999999998</v>
      </c>
    </row>
    <row r="149" spans="3:20" x14ac:dyDescent="0.35">
      <c r="C149" s="1" t="s">
        <v>124</v>
      </c>
      <c r="D149">
        <v>115</v>
      </c>
      <c r="E149" s="3" t="str">
        <f>MID(C149,5,1)</f>
        <v>D</v>
      </c>
      <c r="F149" s="3"/>
      <c r="G149" s="3"/>
      <c r="H149" s="3"/>
      <c r="I149" s="3"/>
      <c r="J149" s="3"/>
      <c r="K149" s="3"/>
      <c r="L149" s="1" t="str">
        <f>MID(C149,3,17)</f>
        <v>ACDP-65D31RX-B3C3</v>
      </c>
      <c r="M149" s="1" t="str">
        <f>VLOOKUP(L149,'[1]Plate Infor'!$B:$C,2,FALSE)</f>
        <v>W-FOPL-CG82PXX-L870-02-7S00</v>
      </c>
      <c r="N149" s="1" t="str">
        <f>VLOOKUP(MID(M149,8,4),'[1]Tipe Plate'!$C:$D,2,FALSE)</f>
        <v>Grid Casting</v>
      </c>
      <c r="O149" s="4">
        <f>VLOOKUP(L149,'[1]Plate Infor'!$B:$D,3,FALSE)*D149</f>
        <v>2070</v>
      </c>
      <c r="P149" s="4">
        <f>IFERROR(VLOOKUP(IF(MID(M149,3,1)="F","W-UNPL-"&amp;RIGHT(M149,20),M149),'[1]Data Pule'!$C:$E,3,FALSE),0)*O149</f>
        <v>265.99499999999995</v>
      </c>
      <c r="Q149" s="1" t="str">
        <f>VLOOKUP(L149,'[1]Plate Infor'!$B:$E,4,FALSE)</f>
        <v>W-FOPL-CG87NXX-T3L0-02-7S00</v>
      </c>
      <c r="R149" s="1" t="str">
        <f>VLOOKUP(MID(Q149,8,4),'[1]Tipe Plate'!$C:$D,2,FALSE)</f>
        <v>Grid Casting</v>
      </c>
      <c r="S149" s="4">
        <f>VLOOKUP(L149,'[1]Plate Infor'!$B:$F,5,FALSE)*D149</f>
        <v>2415</v>
      </c>
      <c r="T149" s="4">
        <f>IFERROR(VLOOKUP(IF(MID(Q149,3,1)="F","W-UNPL-"&amp;RIGHT(Q149,20),Q149),'[1]Data Pule'!$C:$E,3,FALSE),0)*S149</f>
        <v>277.72500000000002</v>
      </c>
    </row>
    <row r="150" spans="3:20" x14ac:dyDescent="0.35">
      <c r="C150" s="1" t="s">
        <v>125</v>
      </c>
      <c r="D150">
        <v>138</v>
      </c>
      <c r="E150" s="3" t="str">
        <f>MID(C150,5,1)</f>
        <v>D</v>
      </c>
      <c r="F150" s="3"/>
      <c r="G150" s="3"/>
      <c r="H150" s="3"/>
      <c r="I150" s="3"/>
      <c r="J150" s="3"/>
      <c r="K150" s="3"/>
      <c r="L150" s="1" t="str">
        <f>MID(C150,3,17)</f>
        <v>ACDP-95E41RX-B7C3</v>
      </c>
      <c r="M150" s="1" t="str">
        <f>VLOOKUP(L150,'[1]Plate Infor'!$B:$C,2,FALSE)</f>
        <v>W-FOPL-CG80PXX-L870-02-7S00</v>
      </c>
      <c r="N150" s="1" t="str">
        <f>VLOOKUP(MID(M150,8,4),'[1]Tipe Plate'!$C:$D,2,FALSE)</f>
        <v>Grid Casting</v>
      </c>
      <c r="O150" s="4">
        <f>VLOOKUP(L150,'[1]Plate Infor'!$B:$D,3,FALSE)*D150</f>
        <v>3312</v>
      </c>
      <c r="P150" s="4">
        <f>IFERROR(VLOOKUP(IF(MID(M150,3,1)="F","W-UNPL-"&amp;RIGHT(M150,20),M150),'[1]Data Pule'!$C:$E,3,FALSE),0)*O150</f>
        <v>500.44319999999993</v>
      </c>
      <c r="Q150" s="1" t="str">
        <f>VLOOKUP(L150,'[1]Plate Infor'!$B:$E,4,FALSE)</f>
        <v>W-FOPL-CG87NXX-T3L0-02-7S00</v>
      </c>
      <c r="R150" s="1" t="str">
        <f>VLOOKUP(MID(Q150,8,4),'[1]Tipe Plate'!$C:$D,2,FALSE)</f>
        <v>Grid Casting</v>
      </c>
      <c r="S150" s="4">
        <f>VLOOKUP(L150,'[1]Plate Infor'!$B:$F,5,FALSE)*D150</f>
        <v>3726</v>
      </c>
      <c r="T150" s="4">
        <f>IFERROR(VLOOKUP(IF(MID(Q150,3,1)="F","W-UNPL-"&amp;RIGHT(Q150,20),Q150),'[1]Data Pule'!$C:$E,3,FALSE),0)*S150</f>
        <v>428.49</v>
      </c>
    </row>
    <row r="151" spans="3:20" x14ac:dyDescent="0.35">
      <c r="C151" s="1" t="s">
        <v>126</v>
      </c>
      <c r="D151">
        <v>20</v>
      </c>
      <c r="E151" s="3" t="str">
        <f>MID(C151,5,1)</f>
        <v>W</v>
      </c>
      <c r="F151" s="3"/>
      <c r="G151" s="3"/>
      <c r="H151" s="3"/>
      <c r="I151" s="3"/>
      <c r="J151" s="3"/>
      <c r="K151" s="3"/>
      <c r="L151" s="1" t="str">
        <f>MID(C151,3,17)</f>
        <v>AMWP-95E41RX-B7C3</v>
      </c>
      <c r="M151" s="1" t="str">
        <f>VLOOKUP(L151,'[1]Plate Infor'!$B:$C,2,FALSE)</f>
        <v>W-UNPL-YG8079P-L650-02-7S00</v>
      </c>
      <c r="N151" s="1" t="str">
        <f>VLOOKUP(MID(M151,8,4),'[1]Tipe Plate'!$C:$D,2,FALSE)</f>
        <v>Grid Casting</v>
      </c>
      <c r="O151" s="4">
        <f>VLOOKUP(L151,'[1]Plate Infor'!$B:$D,3,FALSE)*D151</f>
        <v>480</v>
      </c>
      <c r="P151" s="4">
        <f>IFERROR(VLOOKUP(IF(MID(M151,3,1)="F","W-UNPL-"&amp;RIGHT(M151,20),M151),'[1]Data Pule'!$C:$E,3,FALSE),0)*O151</f>
        <v>75.84</v>
      </c>
      <c r="Q151" s="1" t="str">
        <f>VLOOKUP(L151,'[1]Plate Infor'!$B:$E,4,FALSE)</f>
        <v>W-UNPL-YG85NXX-T3A0-02-7S00</v>
      </c>
      <c r="R151" s="1" t="str">
        <f>VLOOKUP(MID(Q151,8,4),'[1]Tipe Plate'!$C:$D,2,FALSE)</f>
        <v>Grid Casting</v>
      </c>
      <c r="S151" s="4">
        <f>VLOOKUP(L151,'[1]Plate Infor'!$B:$F,5,FALSE)*D151</f>
        <v>540</v>
      </c>
      <c r="T151" s="4">
        <f>IFERROR(VLOOKUP(IF(MID(Q151,3,1)="F","W-UNPL-"&amp;RIGHT(Q151,20),Q151),'[1]Data Pule'!$C:$E,3,FALSE),0)*S151</f>
        <v>70.577999999999989</v>
      </c>
    </row>
    <row r="152" spans="3:20" x14ac:dyDescent="0.35">
      <c r="C152" s="1" t="s">
        <v>127</v>
      </c>
      <c r="D152">
        <v>10</v>
      </c>
      <c r="E152" s="3" t="str">
        <f>MID(C152,5,1)</f>
        <v>W</v>
      </c>
      <c r="F152" s="3"/>
      <c r="G152" s="3"/>
      <c r="H152" s="3"/>
      <c r="I152" s="3"/>
      <c r="J152" s="3"/>
      <c r="K152" s="3"/>
      <c r="L152" s="1" t="str">
        <f>MID(C152,3,17)</f>
        <v>AMWP-75D31LX-B3P3</v>
      </c>
      <c r="M152" s="1" t="str">
        <f>VLOOKUP(L152,'[1]Plate Infor'!$B:$C,2,FALSE)</f>
        <v>W-UNPL-WG83PXX-L65F-00-7C00</v>
      </c>
      <c r="N152" s="1" t="str">
        <f>VLOOKUP(MID(M152,8,4),'[1]Tipe Plate'!$C:$D,2,FALSE)</f>
        <v>Grid Punching</v>
      </c>
      <c r="O152" s="4">
        <f>VLOOKUP(L152,'[1]Plate Infor'!$B:$D,3,FALSE)*D152</f>
        <v>180</v>
      </c>
      <c r="P152" s="4">
        <f>IFERROR(VLOOKUP(IF(MID(M152,3,1)="F","W-UNPL-"&amp;RIGHT(M152,20),M152),'[1]Data Pule'!$C:$E,3,FALSE),0)*O152</f>
        <v>30.473999999999997</v>
      </c>
      <c r="Q152" s="1" t="str">
        <f>VLOOKUP(L152,'[1]Plate Infor'!$B:$E,4,FALSE)</f>
        <v>W-UNPL-WG87NXX-T3AF-00-7C00</v>
      </c>
      <c r="R152" s="1" t="str">
        <f>VLOOKUP(MID(Q152,8,4),'[1]Tipe Plate'!$C:$D,2,FALSE)</f>
        <v>Grid Punching</v>
      </c>
      <c r="S152" s="4">
        <f>VLOOKUP(L152,'[1]Plate Infor'!$B:$F,5,FALSE)*D152</f>
        <v>210</v>
      </c>
      <c r="T152" s="4">
        <f>IFERROR(VLOOKUP(IF(MID(Q152,3,1)="F","W-UNPL-"&amp;RIGHT(Q152,20),Q152),'[1]Data Pule'!$C:$E,3,FALSE),0)*S152</f>
        <v>27.446999999999996</v>
      </c>
    </row>
    <row r="153" spans="3:20" x14ac:dyDescent="0.35">
      <c r="C153" s="1" t="s">
        <v>128</v>
      </c>
      <c r="D153">
        <v>10</v>
      </c>
      <c r="E153" s="3" t="str">
        <f>MID(C153,5,1)</f>
        <v>W</v>
      </c>
      <c r="F153" s="3"/>
      <c r="G153" s="3"/>
      <c r="H153" s="3"/>
      <c r="I153" s="3"/>
      <c r="J153" s="3"/>
      <c r="K153" s="3"/>
      <c r="L153" s="1" t="str">
        <f>MID(C153,3,17)</f>
        <v>AMWA-SA65XXX-B1C3</v>
      </c>
      <c r="M153" s="1" t="str">
        <f>VLOOKUP(L153,'[1]Plate Infor'!$B:$C,2,FALSE)</f>
        <v>W-FOPL-YU67PXX-L65D-02-9S0A</v>
      </c>
      <c r="N153" s="1" t="str">
        <f>VLOOKUP(MID(M153,8,4),'[1]Tipe Plate'!$C:$D,2,FALSE)</f>
        <v>Grid Casting</v>
      </c>
      <c r="O153" s="4">
        <f>VLOOKUP(L153,'[1]Plate Infor'!$B:$D,3,FALSE)*D153</f>
        <v>150</v>
      </c>
      <c r="P153" s="4">
        <f>IFERROR(VLOOKUP(IF(MID(M153,3,1)="F","W-UNPL-"&amp;RIGHT(M153,20),M153),'[1]Data Pule'!$C:$E,3,FALSE),0)*O153</f>
        <v>0</v>
      </c>
      <c r="Q153" s="1" t="str">
        <f>VLOOKUP(L153,'[1]Plate Infor'!$B:$E,4,FALSE)</f>
        <v>W-FOPL-YU76NXX-T3AD-02-9S0A</v>
      </c>
      <c r="R153" s="1" t="str">
        <f>VLOOKUP(MID(Q153,8,4),'[1]Tipe Plate'!$C:$D,2,FALSE)</f>
        <v>Grid Casting</v>
      </c>
      <c r="S153" s="4">
        <f>VLOOKUP(L153,'[1]Plate Infor'!$B:$F,5,FALSE)*D153</f>
        <v>180</v>
      </c>
      <c r="T153" s="4">
        <f>IFERROR(VLOOKUP(IF(MID(Q153,3,1)="F","W-UNPL-"&amp;RIGHT(Q153,20),Q153),'[1]Data Pule'!$C:$E,3,FALSE),0)*S153</f>
        <v>0</v>
      </c>
    </row>
    <row r="154" spans="3:20" x14ac:dyDescent="0.35">
      <c r="C154" s="1" t="s">
        <v>129</v>
      </c>
      <c r="D154">
        <v>135</v>
      </c>
      <c r="E154" s="3" t="str">
        <f>MID(C154,5,1)</f>
        <v>W</v>
      </c>
      <c r="F154" s="3"/>
      <c r="G154" s="3"/>
      <c r="H154" s="3"/>
      <c r="I154" s="3"/>
      <c r="J154" s="3"/>
      <c r="K154" s="3"/>
      <c r="L154" s="1" t="str">
        <f>MID(C154,3,17)</f>
        <v>AMWP-40B20RX-A9P3</v>
      </c>
      <c r="M154" s="1" t="str">
        <f>VLOOKUP(L154,'[1]Plate Infor'!$B:$C,2,FALSE)</f>
        <v>W-UNPL-WM84PXX-L65F-00-7S00</v>
      </c>
      <c r="N154" s="1" t="str">
        <f>VLOOKUP(MID(M154,8,4),'[1]Tipe Plate'!$C:$D,2,FALSE)</f>
        <v>Grid Casting</v>
      </c>
      <c r="O154" s="4">
        <f>VLOOKUP(L154,'[1]Plate Infor'!$B:$D,3,FALSE)*D154</f>
        <v>2025</v>
      </c>
      <c r="P154" s="4">
        <f>IFERROR(VLOOKUP(IF(MID(M154,3,1)="F","W-UNPL-"&amp;RIGHT(M154,20),M154),'[1]Data Pule'!$C:$E,3,FALSE),0)*O154</f>
        <v>230.64750000000001</v>
      </c>
      <c r="Q154" s="1" t="str">
        <f>VLOOKUP(L154,'[1]Plate Infor'!$B:$E,4,FALSE)</f>
        <v>W-UNPL-WM85NXX-T3AF-00-7S00</v>
      </c>
      <c r="R154" s="1" t="str">
        <f>VLOOKUP(MID(Q154,8,4),'[1]Tipe Plate'!$C:$D,2,FALSE)</f>
        <v>Grid Punching</v>
      </c>
      <c r="S154" s="4">
        <f>VLOOKUP(L154,'[1]Plate Infor'!$B:$F,5,FALSE)*D154</f>
        <v>1620</v>
      </c>
      <c r="T154" s="4">
        <f>IFERROR(VLOOKUP(IF(MID(Q154,3,1)="F","W-UNPL-"&amp;RIGHT(Q154,20),Q154),'[1]Data Pule'!$C:$E,3,FALSE),0)*S154</f>
        <v>172.20600000000002</v>
      </c>
    </row>
    <row r="155" spans="3:20" x14ac:dyDescent="0.35">
      <c r="C155" s="1" t="s">
        <v>130</v>
      </c>
      <c r="D155">
        <v>135</v>
      </c>
      <c r="E155" s="3" t="str">
        <f>MID(C155,5,1)</f>
        <v>W</v>
      </c>
      <c r="F155" s="3"/>
      <c r="G155" s="3"/>
      <c r="H155" s="3"/>
      <c r="I155" s="3"/>
      <c r="J155" s="3"/>
      <c r="K155" s="3"/>
      <c r="L155" s="1" t="str">
        <f>MID(C155,3,17)</f>
        <v>AMWP-40B20LX-A9P3</v>
      </c>
      <c r="M155" s="1" t="str">
        <f>VLOOKUP(L155,'[1]Plate Infor'!$B:$C,2,FALSE)</f>
        <v>W-UNPL-WM84PXX-L65F-00-7S00</v>
      </c>
      <c r="N155" s="1" t="str">
        <f>VLOOKUP(MID(M155,8,4),'[1]Tipe Plate'!$C:$D,2,FALSE)</f>
        <v>Grid Casting</v>
      </c>
      <c r="O155" s="4">
        <f>VLOOKUP(L155,'[1]Plate Infor'!$B:$D,3,FALSE)*D155</f>
        <v>2025</v>
      </c>
      <c r="P155" s="4">
        <f>IFERROR(VLOOKUP(IF(MID(M155,3,1)="F","W-UNPL-"&amp;RIGHT(M155,20),M155),'[1]Data Pule'!$C:$E,3,FALSE),0)*O155</f>
        <v>230.64750000000001</v>
      </c>
      <c r="Q155" s="1" t="str">
        <f>VLOOKUP(L155,'[1]Plate Infor'!$B:$E,4,FALSE)</f>
        <v>W-UNPL-WM85NXX-T3AF-00-7S00</v>
      </c>
      <c r="R155" s="1" t="str">
        <f>VLOOKUP(MID(Q155,8,4),'[1]Tipe Plate'!$C:$D,2,FALSE)</f>
        <v>Grid Punching</v>
      </c>
      <c r="S155" s="4">
        <f>VLOOKUP(L155,'[1]Plate Infor'!$B:$F,5,FALSE)*D155</f>
        <v>1620</v>
      </c>
      <c r="T155" s="4">
        <f>IFERROR(VLOOKUP(IF(MID(Q155,3,1)="F","W-UNPL-"&amp;RIGHT(Q155,20),Q155),'[1]Data Pule'!$C:$E,3,FALSE),0)*S155</f>
        <v>172.20600000000002</v>
      </c>
    </row>
    <row r="156" spans="3:20" x14ac:dyDescent="0.35">
      <c r="C156" s="1" t="s">
        <v>131</v>
      </c>
      <c r="D156">
        <v>126</v>
      </c>
      <c r="E156" s="3" t="str">
        <f>MID(C156,5,1)</f>
        <v>W</v>
      </c>
      <c r="F156" s="3"/>
      <c r="G156" s="3"/>
      <c r="H156" s="3"/>
      <c r="I156" s="3"/>
      <c r="J156" s="3"/>
      <c r="K156" s="3"/>
      <c r="L156" s="1" t="str">
        <f>MID(C156,3,17)</f>
        <v>AMWP-80D31LX-B2P3</v>
      </c>
      <c r="M156" s="1" t="str">
        <f>VLOOKUP(L156,'[1]Plate Infor'!$B:$C,2,FALSE)</f>
        <v>W-UNPL-WG83PXX-L65F-00-7C00</v>
      </c>
      <c r="N156" s="1" t="str">
        <f>VLOOKUP(MID(M156,8,4),'[1]Tipe Plate'!$C:$D,2,FALSE)</f>
        <v>Grid Punching</v>
      </c>
      <c r="O156" s="4">
        <f>VLOOKUP(L156,'[1]Plate Infor'!$B:$D,3,FALSE)*D156</f>
        <v>2268</v>
      </c>
      <c r="P156" s="4">
        <f>IFERROR(VLOOKUP(IF(MID(M156,3,1)="F","W-UNPL-"&amp;RIGHT(M156,20),M156),'[1]Data Pule'!$C:$E,3,FALSE),0)*O156</f>
        <v>383.97239999999994</v>
      </c>
      <c r="Q156" s="1" t="str">
        <f>VLOOKUP(L156,'[1]Plate Infor'!$B:$E,4,FALSE)</f>
        <v>W-UNPL-WG87NXX-T3AF-00-7C00</v>
      </c>
      <c r="R156" s="1" t="str">
        <f>VLOOKUP(MID(Q156,8,4),'[1]Tipe Plate'!$C:$D,2,FALSE)</f>
        <v>Grid Punching</v>
      </c>
      <c r="S156" s="4">
        <f>VLOOKUP(L156,'[1]Plate Infor'!$B:$F,5,FALSE)*D156</f>
        <v>2268</v>
      </c>
      <c r="T156" s="4">
        <f>IFERROR(VLOOKUP(IF(MID(Q156,3,1)="F","W-UNPL-"&amp;RIGHT(Q156,20),Q156),'[1]Data Pule'!$C:$E,3,FALSE),0)*S156</f>
        <v>296.42759999999998</v>
      </c>
    </row>
    <row r="157" spans="3:20" x14ac:dyDescent="0.35">
      <c r="C157" s="1" t="s">
        <v>132</v>
      </c>
      <c r="D157">
        <v>126</v>
      </c>
      <c r="E157" s="3" t="str">
        <f>MID(C157,5,1)</f>
        <v>W</v>
      </c>
      <c r="F157" s="3"/>
      <c r="G157" s="3"/>
      <c r="H157" s="3"/>
      <c r="I157" s="3"/>
      <c r="J157" s="3"/>
      <c r="K157" s="3"/>
      <c r="L157" s="1" t="str">
        <f>MID(C157,3,17)</f>
        <v>AMWP-80D31RX-B2P3</v>
      </c>
      <c r="M157" s="1" t="str">
        <f>VLOOKUP(L157,'[1]Plate Infor'!$B:$C,2,FALSE)</f>
        <v>W-UNPL-WG83PXX-L65F-00-7C00</v>
      </c>
      <c r="N157" s="1" t="str">
        <f>VLOOKUP(MID(M157,8,4),'[1]Tipe Plate'!$C:$D,2,FALSE)</f>
        <v>Grid Punching</v>
      </c>
      <c r="O157" s="4">
        <f>VLOOKUP(L157,'[1]Plate Infor'!$B:$D,3,FALSE)*D157</f>
        <v>2268</v>
      </c>
      <c r="P157" s="4">
        <f>IFERROR(VLOOKUP(IF(MID(M157,3,1)="F","W-UNPL-"&amp;RIGHT(M157,20),M157),'[1]Data Pule'!$C:$E,3,FALSE),0)*O157</f>
        <v>383.97239999999994</v>
      </c>
      <c r="Q157" s="1" t="str">
        <f>VLOOKUP(L157,'[1]Plate Infor'!$B:$E,4,FALSE)</f>
        <v>W-UNPL-WG87NXX-T3AF-00-7C00</v>
      </c>
      <c r="R157" s="1" t="str">
        <f>VLOOKUP(MID(Q157,8,4),'[1]Tipe Plate'!$C:$D,2,FALSE)</f>
        <v>Grid Punching</v>
      </c>
      <c r="S157" s="4">
        <f>VLOOKUP(L157,'[1]Plate Infor'!$B:$F,5,FALSE)*D157</f>
        <v>2268</v>
      </c>
      <c r="T157" s="4">
        <f>IFERROR(VLOOKUP(IF(MID(Q157,3,1)="F","W-UNPL-"&amp;RIGHT(Q157,20),Q157),'[1]Data Pule'!$C:$E,3,FALSE),0)*S157</f>
        <v>296.42759999999998</v>
      </c>
    </row>
    <row r="158" spans="3:20" x14ac:dyDescent="0.35">
      <c r="C158" s="1" t="s">
        <v>133</v>
      </c>
      <c r="D158">
        <v>72</v>
      </c>
      <c r="E158" s="3" t="str">
        <f>MID(C158,5,1)</f>
        <v>D</v>
      </c>
      <c r="F158" s="3"/>
      <c r="G158" s="3"/>
      <c r="H158" s="3"/>
      <c r="I158" s="3"/>
      <c r="J158" s="3"/>
      <c r="K158" s="3"/>
      <c r="L158" s="1" t="str">
        <f>MID(C158,3,17)</f>
        <v>ACDP-48D26RX-A9C3</v>
      </c>
      <c r="M158" s="1" t="str">
        <f>VLOOKUP(L158,'[1]Plate Infor'!$B:$C,2,FALSE)</f>
        <v>W-FOPL-CG80PXX-L870-02-7S00</v>
      </c>
      <c r="N158" s="1" t="str">
        <f>VLOOKUP(MID(M158,8,4),'[1]Tipe Plate'!$C:$D,2,FALSE)</f>
        <v>Grid Casting</v>
      </c>
      <c r="O158" s="4">
        <f>VLOOKUP(L158,'[1]Plate Infor'!$B:$D,3,FALSE)*D158</f>
        <v>864</v>
      </c>
      <c r="P158" s="4">
        <f>IFERROR(VLOOKUP(IF(MID(M158,3,1)="F","W-UNPL-"&amp;RIGHT(M158,20),M158),'[1]Data Pule'!$C:$E,3,FALSE),0)*O158</f>
        <v>130.5504</v>
      </c>
      <c r="Q158" s="1" t="str">
        <f>VLOOKUP(L158,'[1]Plate Infor'!$B:$E,4,FALSE)</f>
        <v>W-FOPL-CG87NXX-T3L0-02-7S00</v>
      </c>
      <c r="R158" s="1" t="str">
        <f>VLOOKUP(MID(Q158,8,4),'[1]Tipe Plate'!$C:$D,2,FALSE)</f>
        <v>Grid Casting</v>
      </c>
      <c r="S158" s="4">
        <f>VLOOKUP(L158,'[1]Plate Infor'!$B:$F,5,FALSE)*D158</f>
        <v>1080</v>
      </c>
      <c r="T158" s="4">
        <f>IFERROR(VLOOKUP(IF(MID(Q158,3,1)="F","W-UNPL-"&amp;RIGHT(Q158,20),Q158),'[1]Data Pule'!$C:$E,3,FALSE),0)*S158</f>
        <v>124.2</v>
      </c>
    </row>
    <row r="159" spans="3:20" x14ac:dyDescent="0.35">
      <c r="C159" s="1" t="s">
        <v>134</v>
      </c>
      <c r="D159">
        <v>72</v>
      </c>
      <c r="E159" s="3" t="str">
        <f>MID(C159,5,1)</f>
        <v>D</v>
      </c>
      <c r="F159" s="3"/>
      <c r="G159" s="3"/>
      <c r="H159" s="3"/>
      <c r="I159" s="3"/>
      <c r="J159" s="3"/>
      <c r="K159" s="3"/>
      <c r="L159" s="1" t="str">
        <f>MID(C159,3,17)</f>
        <v>ACDP-48D26LX-A9C3</v>
      </c>
      <c r="M159" s="1" t="str">
        <f>VLOOKUP(L159,'[1]Plate Infor'!$B:$C,2,FALSE)</f>
        <v>W-FOPL-CG80PXX-L870-02-7S00</v>
      </c>
      <c r="N159" s="1" t="str">
        <f>VLOOKUP(MID(M159,8,4),'[1]Tipe Plate'!$C:$D,2,FALSE)</f>
        <v>Grid Casting</v>
      </c>
      <c r="O159" s="4">
        <f>VLOOKUP(L159,'[1]Plate Infor'!$B:$D,3,FALSE)*D159</f>
        <v>864</v>
      </c>
      <c r="P159" s="4">
        <f>IFERROR(VLOOKUP(IF(MID(M159,3,1)="F","W-UNPL-"&amp;RIGHT(M159,20),M159),'[1]Data Pule'!$C:$E,3,FALSE),0)*O159</f>
        <v>130.5504</v>
      </c>
      <c r="Q159" s="1" t="str">
        <f>VLOOKUP(L159,'[1]Plate Infor'!$B:$E,4,FALSE)</f>
        <v>W-FOPL-CG87NXX-T3L0-02-7S00</v>
      </c>
      <c r="R159" s="1" t="str">
        <f>VLOOKUP(MID(Q159,8,4),'[1]Tipe Plate'!$C:$D,2,FALSE)</f>
        <v>Grid Casting</v>
      </c>
      <c r="S159" s="4">
        <f>VLOOKUP(L159,'[1]Plate Infor'!$B:$F,5,FALSE)*D159</f>
        <v>1080</v>
      </c>
      <c r="T159" s="4">
        <f>IFERROR(VLOOKUP(IF(MID(Q159,3,1)="F","W-UNPL-"&amp;RIGHT(Q159,20),Q159),'[1]Data Pule'!$C:$E,3,FALSE),0)*S159</f>
        <v>124.2</v>
      </c>
    </row>
    <row r="160" spans="3:20" x14ac:dyDescent="0.35">
      <c r="C160" s="1" t="s">
        <v>135</v>
      </c>
      <c r="D160">
        <v>126</v>
      </c>
      <c r="E160" s="3" t="str">
        <f>MID(C160,5,1)</f>
        <v>D</v>
      </c>
      <c r="F160" s="3"/>
      <c r="G160" s="3"/>
      <c r="H160" s="3"/>
      <c r="I160" s="3"/>
      <c r="J160" s="3"/>
      <c r="K160" s="3"/>
      <c r="L160" s="1" t="str">
        <f>MID(C160,3,17)</f>
        <v>ACDP-65D31RX-B3C3</v>
      </c>
      <c r="M160" s="1" t="str">
        <f>VLOOKUP(L160,'[1]Plate Infor'!$B:$C,2,FALSE)</f>
        <v>W-FOPL-CG82PXX-L870-02-7S00</v>
      </c>
      <c r="N160" s="1" t="str">
        <f>VLOOKUP(MID(M160,8,4),'[1]Tipe Plate'!$C:$D,2,FALSE)</f>
        <v>Grid Casting</v>
      </c>
      <c r="O160" s="4">
        <f>VLOOKUP(L160,'[1]Plate Infor'!$B:$D,3,FALSE)*D160</f>
        <v>2268</v>
      </c>
      <c r="P160" s="4">
        <f>IFERROR(VLOOKUP(IF(MID(M160,3,1)="F","W-UNPL-"&amp;RIGHT(M160,20),M160),'[1]Data Pule'!$C:$E,3,FALSE),0)*O160</f>
        <v>291.43799999999993</v>
      </c>
      <c r="Q160" s="1" t="str">
        <f>VLOOKUP(L160,'[1]Plate Infor'!$B:$E,4,FALSE)</f>
        <v>W-FOPL-CG87NXX-T3L0-02-7S00</v>
      </c>
      <c r="R160" s="1" t="str">
        <f>VLOOKUP(MID(Q160,8,4),'[1]Tipe Plate'!$C:$D,2,FALSE)</f>
        <v>Grid Casting</v>
      </c>
      <c r="S160" s="4">
        <f>VLOOKUP(L160,'[1]Plate Infor'!$B:$F,5,FALSE)*D160</f>
        <v>2646</v>
      </c>
      <c r="T160" s="4">
        <f>IFERROR(VLOOKUP(IF(MID(Q160,3,1)="F","W-UNPL-"&amp;RIGHT(Q160,20),Q160),'[1]Data Pule'!$C:$E,3,FALSE),0)*S160</f>
        <v>304.29000000000002</v>
      </c>
    </row>
    <row r="161" spans="3:20" x14ac:dyDescent="0.35">
      <c r="C161" s="1" t="s">
        <v>136</v>
      </c>
      <c r="D161">
        <v>126</v>
      </c>
      <c r="E161" s="3" t="str">
        <f>MID(C161,5,1)</f>
        <v>D</v>
      </c>
      <c r="F161" s="3"/>
      <c r="G161" s="3"/>
      <c r="H161" s="3"/>
      <c r="I161" s="3"/>
      <c r="J161" s="3"/>
      <c r="K161" s="3"/>
      <c r="L161" s="1" t="str">
        <f>MID(C161,3,17)</f>
        <v>ACDP-65D31LX-B3C3</v>
      </c>
      <c r="M161" s="1" t="str">
        <f>VLOOKUP(L161,'[1]Plate Infor'!$B:$C,2,FALSE)</f>
        <v>W-FOPL-CG82PXX-L870-02-7S00</v>
      </c>
      <c r="N161" s="1" t="str">
        <f>VLOOKUP(MID(M161,8,4),'[1]Tipe Plate'!$C:$D,2,FALSE)</f>
        <v>Grid Casting</v>
      </c>
      <c r="O161" s="4">
        <f>VLOOKUP(L161,'[1]Plate Infor'!$B:$D,3,FALSE)*D161</f>
        <v>2268</v>
      </c>
      <c r="P161" s="4">
        <f>IFERROR(VLOOKUP(IF(MID(M161,3,1)="F","W-UNPL-"&amp;RIGHT(M161,20),M161),'[1]Data Pule'!$C:$E,3,FALSE),0)*O161</f>
        <v>291.43799999999993</v>
      </c>
      <c r="Q161" s="1" t="str">
        <f>VLOOKUP(L161,'[1]Plate Infor'!$B:$E,4,FALSE)</f>
        <v>W-FOPL-CG87NXX-T3L0-02-7S00</v>
      </c>
      <c r="R161" s="1" t="str">
        <f>VLOOKUP(MID(Q161,8,4),'[1]Tipe Plate'!$C:$D,2,FALSE)</f>
        <v>Grid Casting</v>
      </c>
      <c r="S161" s="4">
        <f>VLOOKUP(L161,'[1]Plate Infor'!$B:$F,5,FALSE)*D161</f>
        <v>2646</v>
      </c>
      <c r="T161" s="4">
        <f>IFERROR(VLOOKUP(IF(MID(Q161,3,1)="F","W-UNPL-"&amp;RIGHT(Q161,20),Q161),'[1]Data Pule'!$C:$E,3,FALSE),0)*S161</f>
        <v>304.29000000000002</v>
      </c>
    </row>
    <row r="162" spans="3:20" x14ac:dyDescent="0.35">
      <c r="C162" s="1" t="s">
        <v>137</v>
      </c>
      <c r="D162">
        <v>140</v>
      </c>
      <c r="E162" s="3" t="str">
        <f>MID(C162,5,1)</f>
        <v>D</v>
      </c>
      <c r="F162" s="3"/>
      <c r="G162" s="3"/>
      <c r="H162" s="3"/>
      <c r="I162" s="3"/>
      <c r="J162" s="3"/>
      <c r="K162" s="3"/>
      <c r="L162" s="1" t="str">
        <f>MID(C162,3,17)</f>
        <v>ACDP-95E41RX-B7C3</v>
      </c>
      <c r="M162" s="1" t="str">
        <f>VLOOKUP(L162,'[1]Plate Infor'!$B:$C,2,FALSE)</f>
        <v>W-FOPL-CG80PXX-L870-02-7S00</v>
      </c>
      <c r="N162" s="1" t="str">
        <f>VLOOKUP(MID(M162,8,4),'[1]Tipe Plate'!$C:$D,2,FALSE)</f>
        <v>Grid Casting</v>
      </c>
      <c r="O162" s="4">
        <f>VLOOKUP(L162,'[1]Plate Infor'!$B:$D,3,FALSE)*D162</f>
        <v>3360</v>
      </c>
      <c r="P162" s="4">
        <f>IFERROR(VLOOKUP(IF(MID(M162,3,1)="F","W-UNPL-"&amp;RIGHT(M162,20),M162),'[1]Data Pule'!$C:$E,3,FALSE),0)*O162</f>
        <v>507.69599999999997</v>
      </c>
      <c r="Q162" s="1" t="str">
        <f>VLOOKUP(L162,'[1]Plate Infor'!$B:$E,4,FALSE)</f>
        <v>W-FOPL-CG87NXX-T3L0-02-7S00</v>
      </c>
      <c r="R162" s="1" t="str">
        <f>VLOOKUP(MID(Q162,8,4),'[1]Tipe Plate'!$C:$D,2,FALSE)</f>
        <v>Grid Casting</v>
      </c>
      <c r="S162" s="4">
        <f>VLOOKUP(L162,'[1]Plate Infor'!$B:$F,5,FALSE)*D162</f>
        <v>3780</v>
      </c>
      <c r="T162" s="4">
        <f>IFERROR(VLOOKUP(IF(MID(Q162,3,1)="F","W-UNPL-"&amp;RIGHT(Q162,20),Q162),'[1]Data Pule'!$C:$E,3,FALSE),0)*S162</f>
        <v>434.70000000000005</v>
      </c>
    </row>
    <row r="163" spans="3:20" x14ac:dyDescent="0.35">
      <c r="C163" s="1" t="s">
        <v>138</v>
      </c>
      <c r="D163">
        <v>180</v>
      </c>
      <c r="E163" s="3" t="str">
        <f>MID(C163,5,1)</f>
        <v>D</v>
      </c>
      <c r="F163" s="3"/>
      <c r="G163" s="3"/>
      <c r="H163" s="3"/>
      <c r="I163" s="3"/>
      <c r="J163" s="3"/>
      <c r="K163" s="3"/>
      <c r="L163" s="1" t="str">
        <f>MID(C163,3,17)</f>
        <v>ACDP-115F51X-C1C3</v>
      </c>
      <c r="M163" s="1" t="str">
        <f>VLOOKUP(L163,'[1]Plate Infor'!$B:$C,2,FALSE)</f>
        <v>W-FOPL-CG80PXX-L870-02-7S00</v>
      </c>
      <c r="N163" s="1" t="str">
        <f>VLOOKUP(MID(M163,8,4),'[1]Tipe Plate'!$C:$D,2,FALSE)</f>
        <v>Grid Casting</v>
      </c>
      <c r="O163" s="4">
        <f>VLOOKUP(L163,'[1]Plate Infor'!$B:$D,3,FALSE)*D163</f>
        <v>5400</v>
      </c>
      <c r="P163" s="4">
        <f>IFERROR(VLOOKUP(IF(MID(M163,3,1)="F","W-UNPL-"&amp;RIGHT(M163,20),M163),'[1]Data Pule'!$C:$E,3,FALSE),0)*O163</f>
        <v>815.93999999999994</v>
      </c>
      <c r="Q163" s="1" t="str">
        <f>VLOOKUP(L163,'[1]Plate Infor'!$B:$E,4,FALSE)</f>
        <v>W-FOPL-CG87NXX-T3L0-02-7S00</v>
      </c>
      <c r="R163" s="1" t="str">
        <f>VLOOKUP(MID(Q163,8,4),'[1]Tipe Plate'!$C:$D,2,FALSE)</f>
        <v>Grid Casting</v>
      </c>
      <c r="S163" s="4">
        <f>VLOOKUP(L163,'[1]Plate Infor'!$B:$F,5,FALSE)*D163</f>
        <v>5940</v>
      </c>
      <c r="T163" s="4">
        <f>IFERROR(VLOOKUP(IF(MID(Q163,3,1)="F","W-UNPL-"&amp;RIGHT(Q163,20),Q163),'[1]Data Pule'!$C:$E,3,FALSE),0)*S163</f>
        <v>683.1</v>
      </c>
    </row>
    <row r="164" spans="3:20" x14ac:dyDescent="0.35">
      <c r="C164" s="1" t="s">
        <v>139</v>
      </c>
      <c r="D164">
        <v>270</v>
      </c>
      <c r="E164" s="3" t="str">
        <f>MID(C164,5,1)</f>
        <v>D</v>
      </c>
      <c r="F164" s="3"/>
      <c r="G164" s="3"/>
      <c r="H164" s="3"/>
      <c r="I164" s="3"/>
      <c r="J164" s="3"/>
      <c r="K164" s="3"/>
      <c r="L164" s="1" t="str">
        <f>MID(C164,3,17)</f>
        <v>ACDP-145G51X-C7C3</v>
      </c>
      <c r="M164" s="1" t="str">
        <f>VLOOKUP(L164,'[1]Plate Infor'!$B:$C,2,FALSE)</f>
        <v>W-FOPL-CG82PXX-L870-02-7S00</v>
      </c>
      <c r="N164" s="1" t="str">
        <f>VLOOKUP(MID(M164,8,4),'[1]Tipe Plate'!$C:$D,2,FALSE)</f>
        <v>Grid Casting</v>
      </c>
      <c r="O164" s="4">
        <f>VLOOKUP(L164,'[1]Plate Infor'!$B:$D,3,FALSE)*D164</f>
        <v>10530</v>
      </c>
      <c r="P164" s="4">
        <f>IFERROR(VLOOKUP(IF(MID(M164,3,1)="F","W-UNPL-"&amp;RIGHT(M164,20),M164),'[1]Data Pule'!$C:$E,3,FALSE),0)*O164</f>
        <v>1353.1049999999998</v>
      </c>
      <c r="Q164" s="1" t="str">
        <f>VLOOKUP(L164,'[1]Plate Infor'!$B:$E,4,FALSE)</f>
        <v>W-FOPL-CG87NXX-T3L0-02-7S00</v>
      </c>
      <c r="R164" s="1" t="str">
        <f>VLOOKUP(MID(Q164,8,4),'[1]Tipe Plate'!$C:$D,2,FALSE)</f>
        <v>Grid Casting</v>
      </c>
      <c r="S164" s="4">
        <f>VLOOKUP(L164,'[1]Plate Infor'!$B:$F,5,FALSE)*D164</f>
        <v>11340</v>
      </c>
      <c r="T164" s="4">
        <f>IFERROR(VLOOKUP(IF(MID(Q164,3,1)="F","W-UNPL-"&amp;RIGHT(Q164,20),Q164),'[1]Data Pule'!$C:$E,3,FALSE),0)*S164</f>
        <v>1304.1000000000001</v>
      </c>
    </row>
    <row r="165" spans="3:20" x14ac:dyDescent="0.35">
      <c r="C165" s="1" t="s">
        <v>140</v>
      </c>
      <c r="D165">
        <v>56</v>
      </c>
      <c r="E165" s="3" t="str">
        <f>MID(C165,5,1)</f>
        <v>D</v>
      </c>
      <c r="F165" s="3"/>
      <c r="G165" s="3"/>
      <c r="H165" s="3"/>
      <c r="I165" s="3"/>
      <c r="J165" s="3"/>
      <c r="K165" s="3"/>
      <c r="L165" s="1" t="str">
        <f>MID(C165,3,17)</f>
        <v>ACDP-95E41RX-B5C4</v>
      </c>
      <c r="M165" s="1" t="str">
        <f>VLOOKUP(L165,'[1]Plate Infor'!$B:$C,2,FALSE)</f>
        <v>W-FOPL-CG80PXX-L870-02-7S00</v>
      </c>
      <c r="N165" s="1" t="str">
        <f>VLOOKUP(MID(M165,8,4),'[1]Tipe Plate'!$C:$D,2,FALSE)</f>
        <v>Grid Casting</v>
      </c>
      <c r="O165" s="4">
        <f>VLOOKUP(L165,'[1]Plate Infor'!$B:$D,3,FALSE)*D165</f>
        <v>1176</v>
      </c>
      <c r="P165" s="4">
        <f>IFERROR(VLOOKUP(IF(MID(M165,3,1)="F","W-UNPL-"&amp;RIGHT(M165,20),M165),'[1]Data Pule'!$C:$E,3,FALSE),0)*O165</f>
        <v>177.69359999999998</v>
      </c>
      <c r="Q165" s="1" t="str">
        <f>VLOOKUP(L165,'[1]Plate Infor'!$B:$E,4,FALSE)</f>
        <v>W-FOPL-CG87NXX-T3L0-02-7S00</v>
      </c>
      <c r="R165" s="1" t="str">
        <f>VLOOKUP(MID(Q165,8,4),'[1]Tipe Plate'!$C:$D,2,FALSE)</f>
        <v>Grid Casting</v>
      </c>
      <c r="S165" s="4">
        <f>VLOOKUP(L165,'[1]Plate Infor'!$B:$F,5,FALSE)*D165</f>
        <v>1344</v>
      </c>
      <c r="T165" s="4">
        <f>IFERROR(VLOOKUP(IF(MID(Q165,3,1)="F","W-UNPL-"&amp;RIGHT(Q165,20),Q165),'[1]Data Pule'!$C:$E,3,FALSE),0)*S165</f>
        <v>154.56</v>
      </c>
    </row>
    <row r="166" spans="3:20" x14ac:dyDescent="0.35">
      <c r="C166" s="1" t="s">
        <v>141</v>
      </c>
      <c r="D166">
        <v>36</v>
      </c>
      <c r="E166" s="3" t="str">
        <f>MID(C166,5,1)</f>
        <v>D</v>
      </c>
      <c r="F166" s="3"/>
      <c r="G166" s="3"/>
      <c r="H166" s="3"/>
      <c r="I166" s="3"/>
      <c r="J166" s="3"/>
      <c r="K166" s="3"/>
      <c r="L166" s="1" t="str">
        <f>MID(C166,3,17)</f>
        <v>ACDP-115F51X-B9C4</v>
      </c>
      <c r="M166" s="1" t="str">
        <f>VLOOKUP(L166,'[1]Plate Infor'!$B:$C,2,FALSE)</f>
        <v>W-FOPL-CG82PXX-L870-02-7S00</v>
      </c>
      <c r="N166" s="1" t="str">
        <f>VLOOKUP(MID(M166,8,4),'[1]Tipe Plate'!$C:$D,2,FALSE)</f>
        <v>Grid Casting</v>
      </c>
      <c r="O166" s="4">
        <f>VLOOKUP(L166,'[1]Plate Infor'!$B:$D,3,FALSE)*D166</f>
        <v>972</v>
      </c>
      <c r="P166" s="4">
        <f>IFERROR(VLOOKUP(IF(MID(M166,3,1)="F","W-UNPL-"&amp;RIGHT(M166,20),M166),'[1]Data Pule'!$C:$E,3,FALSE),0)*O166</f>
        <v>124.90199999999997</v>
      </c>
      <c r="Q166" s="1" t="str">
        <f>VLOOKUP(L166,'[1]Plate Infor'!$B:$E,4,FALSE)</f>
        <v>W-FOPL-CG87NXX-T3L0-02-7S00</v>
      </c>
      <c r="R166" s="1" t="str">
        <f>VLOOKUP(MID(Q166,8,4),'[1]Tipe Plate'!$C:$D,2,FALSE)</f>
        <v>Grid Casting</v>
      </c>
      <c r="S166" s="4">
        <f>VLOOKUP(L166,'[1]Plate Infor'!$B:$F,5,FALSE)*D166</f>
        <v>1080</v>
      </c>
      <c r="T166" s="4">
        <f>IFERROR(VLOOKUP(IF(MID(Q166,3,1)="F","W-UNPL-"&amp;RIGHT(Q166,20),Q166),'[1]Data Pule'!$C:$E,3,FALSE),0)*S166</f>
        <v>124.2</v>
      </c>
    </row>
    <row r="167" spans="3:20" x14ac:dyDescent="0.35">
      <c r="C167" s="1" t="s">
        <v>142</v>
      </c>
      <c r="D167">
        <v>36</v>
      </c>
      <c r="E167" s="3" t="str">
        <f>MID(C167,5,1)</f>
        <v>W</v>
      </c>
      <c r="F167" s="3"/>
      <c r="G167" s="3"/>
      <c r="H167" s="3"/>
      <c r="I167" s="3"/>
      <c r="J167" s="3"/>
      <c r="K167" s="3"/>
      <c r="L167" s="1" t="str">
        <f>MID(C167,3,17)</f>
        <v>ACWP-115F51X-B9C4</v>
      </c>
      <c r="M167" s="1" t="str">
        <f>VLOOKUP(L167,'[1]Plate Infor'!$B:$C,2,FALSE)</f>
        <v>W-UNPL-CG82PXX-L870-02-7S00</v>
      </c>
      <c r="N167" s="1" t="str">
        <f>VLOOKUP(MID(M167,8,4),'[1]Tipe Plate'!$C:$D,2,FALSE)</f>
        <v>Grid Casting</v>
      </c>
      <c r="O167" s="4">
        <f>VLOOKUP(L167,'[1]Plate Infor'!$B:$D,3,FALSE)*D167</f>
        <v>972</v>
      </c>
      <c r="P167" s="4">
        <f>IFERROR(VLOOKUP(IF(MID(M167,3,1)="F","W-UNPL-"&amp;RIGHT(M167,20),M167),'[1]Data Pule'!$C:$E,3,FALSE),0)*O167</f>
        <v>124.90199999999997</v>
      </c>
      <c r="Q167" s="1" t="str">
        <f>VLOOKUP(L167,'[1]Plate Infor'!$B:$E,4,FALSE)</f>
        <v>W-UNPL-CG87NXX-T3L0-02-7S00</v>
      </c>
      <c r="R167" s="1" t="str">
        <f>VLOOKUP(MID(Q167,8,4),'[1]Tipe Plate'!$C:$D,2,FALSE)</f>
        <v>Grid Casting</v>
      </c>
      <c r="S167" s="4">
        <f>VLOOKUP(L167,'[1]Plate Infor'!$B:$F,5,FALSE)*D167</f>
        <v>1080</v>
      </c>
      <c r="T167" s="4">
        <f>IFERROR(VLOOKUP(IF(MID(Q167,3,1)="F","W-UNPL-"&amp;RIGHT(Q167,20),Q167),'[1]Data Pule'!$C:$E,3,FALSE),0)*S167</f>
        <v>124.2</v>
      </c>
    </row>
    <row r="168" spans="3:20" x14ac:dyDescent="0.35">
      <c r="C168" s="1" t="s">
        <v>143</v>
      </c>
      <c r="D168">
        <v>150</v>
      </c>
      <c r="E168" s="3" t="str">
        <f>MID(C168,5,1)</f>
        <v>W</v>
      </c>
      <c r="F168" s="3"/>
      <c r="G168" s="3"/>
      <c r="H168" s="3"/>
      <c r="I168" s="3"/>
      <c r="J168" s="3"/>
      <c r="K168" s="3"/>
      <c r="L168" s="1" t="str">
        <f>MID(C168,3,17)</f>
        <v>ACWP-145G51X-C3C5</v>
      </c>
      <c r="M168" s="1" t="str">
        <f>VLOOKUP(L168,'[1]Plate Infor'!$B:$C,2,FALSE)</f>
        <v>W-UNPL-CG82PXX-L870-02-7S00</v>
      </c>
      <c r="N168" s="1" t="str">
        <f>VLOOKUP(MID(M168,8,4),'[1]Tipe Plate'!$C:$D,2,FALSE)</f>
        <v>Grid Casting</v>
      </c>
      <c r="O168" s="4">
        <f>VLOOKUP(L168,'[1]Plate Infor'!$B:$D,3,FALSE)*D168</f>
        <v>4950</v>
      </c>
      <c r="P168" s="4">
        <f>IFERROR(VLOOKUP(IF(MID(M168,3,1)="F","W-UNPL-"&amp;RIGHT(M168,20),M168),'[1]Data Pule'!$C:$E,3,FALSE),0)*O168</f>
        <v>636.07499999999993</v>
      </c>
      <c r="Q168" s="1" t="str">
        <f>VLOOKUP(L168,'[1]Plate Infor'!$B:$E,4,FALSE)</f>
        <v>W-UNPL-CG87NXX-T3L0-02-7S00</v>
      </c>
      <c r="R168" s="1" t="str">
        <f>VLOOKUP(MID(Q168,8,4),'[1]Tipe Plate'!$C:$D,2,FALSE)</f>
        <v>Grid Casting</v>
      </c>
      <c r="S168" s="4">
        <f>VLOOKUP(L168,'[1]Plate Infor'!$B:$F,5,FALSE)*D168</f>
        <v>5400</v>
      </c>
      <c r="T168" s="4">
        <f>IFERROR(VLOOKUP(IF(MID(Q168,3,1)="F","W-UNPL-"&amp;RIGHT(Q168,20),Q168),'[1]Data Pule'!$C:$E,3,FALSE),0)*S168</f>
        <v>621</v>
      </c>
    </row>
    <row r="169" spans="3:20" x14ac:dyDescent="0.35">
      <c r="C169" s="1" t="s">
        <v>144</v>
      </c>
      <c r="D169">
        <v>120</v>
      </c>
      <c r="E169" s="3" t="str">
        <f>MID(C169,5,1)</f>
        <v>W</v>
      </c>
      <c r="F169" s="3"/>
      <c r="G169" s="3"/>
      <c r="H169" s="3"/>
      <c r="I169" s="3"/>
      <c r="J169" s="3"/>
      <c r="K169" s="3"/>
      <c r="L169" s="1" t="str">
        <f>MID(C169,3,17)</f>
        <v>ACWP-190H52X-D1C6</v>
      </c>
      <c r="M169" s="1" t="str">
        <f>VLOOKUP(L169,'[1]Plate Infor'!$B:$C,2,FALSE)</f>
        <v>W-UNPL-CG82PXX-L870-02-7S00</v>
      </c>
      <c r="N169" s="1" t="str">
        <f>VLOOKUP(MID(M169,8,4),'[1]Tipe Plate'!$C:$D,2,FALSE)</f>
        <v>Grid Casting</v>
      </c>
      <c r="O169" s="4">
        <f>VLOOKUP(L169,'[1]Plate Infor'!$B:$D,3,FALSE)*D169</f>
        <v>5400</v>
      </c>
      <c r="P169" s="4">
        <f>IFERROR(VLOOKUP(IF(MID(M169,3,1)="F","W-UNPL-"&amp;RIGHT(M169,20),M169),'[1]Data Pule'!$C:$E,3,FALSE),0)*O169</f>
        <v>693.89999999999986</v>
      </c>
      <c r="Q169" s="1" t="str">
        <f>VLOOKUP(L169,'[1]Plate Infor'!$B:$E,4,FALSE)</f>
        <v>W-UNPL-CG87NXX-T3L0-02-7S00</v>
      </c>
      <c r="R169" s="1" t="str">
        <f>VLOOKUP(MID(Q169,8,4),'[1]Tipe Plate'!$C:$D,2,FALSE)</f>
        <v>Grid Casting</v>
      </c>
      <c r="S169" s="4">
        <f>VLOOKUP(L169,'[1]Plate Infor'!$B:$F,5,FALSE)*D169</f>
        <v>5760</v>
      </c>
      <c r="T169" s="4">
        <f>IFERROR(VLOOKUP(IF(MID(Q169,3,1)="F","W-UNPL-"&amp;RIGHT(Q169,20),Q169),'[1]Data Pule'!$C:$E,3,FALSE),0)*S169</f>
        <v>662.4</v>
      </c>
    </row>
    <row r="170" spans="3:20" x14ac:dyDescent="0.35">
      <c r="C170" s="1" t="s">
        <v>145</v>
      </c>
      <c r="D170">
        <v>36</v>
      </c>
      <c r="E170" s="3" t="str">
        <f>MID(C170,5,1)</f>
        <v>W</v>
      </c>
      <c r="F170" s="3"/>
      <c r="G170" s="3"/>
      <c r="H170" s="3"/>
      <c r="I170" s="3"/>
      <c r="J170" s="3"/>
      <c r="K170" s="3"/>
      <c r="L170" s="1" t="str">
        <f>MID(C170,3,17)</f>
        <v>AMWP-135F51X-C1C3</v>
      </c>
      <c r="M170" s="1" t="str">
        <f>VLOOKUP(L170,'[1]Plate Infor'!$B:$C,2,FALSE)</f>
        <v>W-UNPL-YG8079P-L650-02-7S00</v>
      </c>
      <c r="N170" s="1" t="str">
        <f>VLOOKUP(MID(M170,8,4),'[1]Tipe Plate'!$C:$D,2,FALSE)</f>
        <v>Grid Casting</v>
      </c>
      <c r="O170" s="4">
        <f>VLOOKUP(L170,'[1]Plate Infor'!$B:$D,3,FALSE)*D170</f>
        <v>1080</v>
      </c>
      <c r="P170" s="4">
        <f>IFERROR(VLOOKUP(IF(MID(M170,3,1)="F","W-UNPL-"&amp;RIGHT(M170,20),M170),'[1]Data Pule'!$C:$E,3,FALSE),0)*O170</f>
        <v>170.64000000000001</v>
      </c>
      <c r="Q170" s="1" t="str">
        <f>VLOOKUP(L170,'[1]Plate Infor'!$B:$E,4,FALSE)</f>
        <v>W-UNPL-YG85NXX-T3A0-02-7S00</v>
      </c>
      <c r="R170" s="1" t="str">
        <f>VLOOKUP(MID(Q170,8,4),'[1]Tipe Plate'!$C:$D,2,FALSE)</f>
        <v>Grid Casting</v>
      </c>
      <c r="S170" s="4">
        <f>VLOOKUP(L170,'[1]Plate Infor'!$B:$F,5,FALSE)*D170</f>
        <v>1188</v>
      </c>
      <c r="T170" s="4">
        <f>IFERROR(VLOOKUP(IF(MID(Q170,3,1)="F","W-UNPL-"&amp;RIGHT(Q170,20),Q170),'[1]Data Pule'!$C:$E,3,FALSE),0)*S170</f>
        <v>155.27159999999998</v>
      </c>
    </row>
    <row r="171" spans="3:20" x14ac:dyDescent="0.35">
      <c r="C171" s="1" t="s">
        <v>146</v>
      </c>
      <c r="D171">
        <v>60</v>
      </c>
      <c r="E171" s="3" t="str">
        <f>MID(C171,5,1)</f>
        <v>W</v>
      </c>
      <c r="F171" s="3"/>
      <c r="G171" s="3"/>
      <c r="H171" s="3"/>
      <c r="I171" s="3"/>
      <c r="J171" s="3"/>
      <c r="K171" s="3"/>
      <c r="L171" s="1" t="str">
        <f>MID(C171,3,17)</f>
        <v>AMWP-145G51X-C5C4</v>
      </c>
      <c r="M171" s="1" t="str">
        <f>VLOOKUP(L171,'[1]Plate Infor'!$B:$C,2,FALSE)</f>
        <v>W-UNPL-YG82PXX-L650-02-7S00</v>
      </c>
      <c r="N171" s="1" t="str">
        <f>VLOOKUP(MID(M171,8,4),'[1]Tipe Plate'!$C:$D,2,FALSE)</f>
        <v>Grid Casting</v>
      </c>
      <c r="O171" s="4">
        <f>VLOOKUP(L171,'[1]Plate Infor'!$B:$D,3,FALSE)*D171</f>
        <v>2340</v>
      </c>
      <c r="P171" s="4">
        <f>IFERROR(VLOOKUP(IF(MID(M171,3,1)="F","W-UNPL-"&amp;RIGHT(M171,20),M171),'[1]Data Pule'!$C:$E,3,FALSE),0)*O171</f>
        <v>321.74999999999994</v>
      </c>
      <c r="Q171" s="1" t="str">
        <f>VLOOKUP(L171,'[1]Plate Infor'!$B:$E,4,FALSE)</f>
        <v>W-UNPL-YG85NXX-T3A0-02-7S00</v>
      </c>
      <c r="R171" s="1" t="str">
        <f>VLOOKUP(MID(Q171,8,4),'[1]Tipe Plate'!$C:$D,2,FALSE)</f>
        <v>Grid Casting</v>
      </c>
      <c r="S171" s="4">
        <f>VLOOKUP(L171,'[1]Plate Infor'!$B:$F,5,FALSE)*D171</f>
        <v>2160</v>
      </c>
      <c r="T171" s="4">
        <f>IFERROR(VLOOKUP(IF(MID(Q171,3,1)="F","W-UNPL-"&amp;RIGHT(Q171,20),Q171),'[1]Data Pule'!$C:$E,3,FALSE),0)*S171</f>
        <v>282.31199999999995</v>
      </c>
    </row>
    <row r="172" spans="3:20" x14ac:dyDescent="0.35">
      <c r="C172" s="1" t="s">
        <v>147</v>
      </c>
      <c r="D172">
        <v>108</v>
      </c>
      <c r="E172" s="3" t="str">
        <f>MID(C172,5,1)</f>
        <v>D</v>
      </c>
      <c r="F172" s="3"/>
      <c r="G172" s="3"/>
      <c r="H172" s="3"/>
      <c r="I172" s="3"/>
      <c r="J172" s="3"/>
      <c r="K172" s="3"/>
      <c r="L172" s="1" t="str">
        <f>MID(C172,3,17)</f>
        <v>ACDP-32C24RX-B1C3</v>
      </c>
      <c r="M172" s="1" t="str">
        <f>VLOOKUP(L172,'[1]Plate Infor'!$B:$C,2,FALSE)</f>
        <v>W-FOPL-CM84APX-L870-02-7S00</v>
      </c>
      <c r="N172" s="1" t="str">
        <f>VLOOKUP(MID(M172,8,4),'[1]Tipe Plate'!$C:$D,2,FALSE)</f>
        <v>Grid Casting</v>
      </c>
      <c r="O172" s="4">
        <f>VLOOKUP(L172,'[1]Plate Infor'!$B:$D,3,FALSE)*D172</f>
        <v>1620</v>
      </c>
      <c r="P172" s="4">
        <f>IFERROR(VLOOKUP(IF(MID(M172,3,1)="F","W-UNPL-"&amp;RIGHT(M172,20),M172),'[1]Data Pule'!$C:$E,3,FALSE),0)*O172</f>
        <v>145.31399999999999</v>
      </c>
      <c r="Q172" s="1" t="str">
        <f>VLOOKUP(L172,'[1]Plate Infor'!$B:$E,4,FALSE)</f>
        <v>W-FOPL-CM8786N-T3L0-02-7S00</v>
      </c>
      <c r="R172" s="1" t="str">
        <f>VLOOKUP(MID(Q172,8,4),'[1]Tipe Plate'!$C:$D,2,FALSE)</f>
        <v>Grid Casting</v>
      </c>
      <c r="S172" s="4">
        <f>VLOOKUP(L172,'[1]Plate Infor'!$B:$F,5,FALSE)*D172</f>
        <v>1944</v>
      </c>
      <c r="T172" s="4">
        <f>IFERROR(VLOOKUP(IF(MID(Q172,3,1)="F","W-UNPL-"&amp;RIGHT(Q172,20),Q172),'[1]Data Pule'!$C:$E,3,FALSE),0)*S172</f>
        <v>183.31920000000002</v>
      </c>
    </row>
    <row r="173" spans="3:20" x14ac:dyDescent="0.35">
      <c r="C173" s="1" t="s">
        <v>148</v>
      </c>
      <c r="D173">
        <v>42</v>
      </c>
      <c r="E173" s="3" t="str">
        <f>MID(C173,5,1)</f>
        <v>D</v>
      </c>
      <c r="F173" s="3"/>
      <c r="G173" s="3"/>
      <c r="H173" s="3"/>
      <c r="I173" s="3"/>
      <c r="J173" s="3"/>
      <c r="K173" s="3"/>
      <c r="L173" s="1" t="str">
        <f>MID(C173,3,17)</f>
        <v>ACDP-95E41RX-B7C3</v>
      </c>
      <c r="M173" s="1" t="str">
        <f>VLOOKUP(L173,'[1]Plate Infor'!$B:$C,2,FALSE)</f>
        <v>W-FOPL-CG80PXX-L870-02-7S00</v>
      </c>
      <c r="N173" s="1" t="str">
        <f>VLOOKUP(MID(M173,8,4),'[1]Tipe Plate'!$C:$D,2,FALSE)</f>
        <v>Grid Casting</v>
      </c>
      <c r="O173" s="4">
        <f>VLOOKUP(L173,'[1]Plate Infor'!$B:$D,3,FALSE)*D173</f>
        <v>1008</v>
      </c>
      <c r="P173" s="4">
        <f>IFERROR(VLOOKUP(IF(MID(M173,3,1)="F","W-UNPL-"&amp;RIGHT(M173,20),M173),'[1]Data Pule'!$C:$E,3,FALSE),0)*O173</f>
        <v>152.30879999999999</v>
      </c>
      <c r="Q173" s="1" t="str">
        <f>VLOOKUP(L173,'[1]Plate Infor'!$B:$E,4,FALSE)</f>
        <v>W-FOPL-CG87NXX-T3L0-02-7S00</v>
      </c>
      <c r="R173" s="1" t="str">
        <f>VLOOKUP(MID(Q173,8,4),'[1]Tipe Plate'!$C:$D,2,FALSE)</f>
        <v>Grid Casting</v>
      </c>
      <c r="S173" s="4">
        <f>VLOOKUP(L173,'[1]Plate Infor'!$B:$F,5,FALSE)*D173</f>
        <v>1134</v>
      </c>
      <c r="T173" s="4">
        <f>IFERROR(VLOOKUP(IF(MID(Q173,3,1)="F","W-UNPL-"&amp;RIGHT(Q173,20),Q173),'[1]Data Pule'!$C:$E,3,FALSE),0)*S173</f>
        <v>130.41</v>
      </c>
    </row>
    <row r="174" spans="3:20" x14ac:dyDescent="0.35">
      <c r="C174" s="1" t="s">
        <v>149</v>
      </c>
      <c r="D174">
        <v>24</v>
      </c>
      <c r="E174" s="3" t="str">
        <f>MID(C174,5,1)</f>
        <v>D</v>
      </c>
      <c r="F174" s="3"/>
      <c r="G174" s="3"/>
      <c r="H174" s="3"/>
      <c r="I174" s="3"/>
      <c r="J174" s="3"/>
      <c r="K174" s="3"/>
      <c r="L174" s="1" t="str">
        <f>MID(C174,3,17)</f>
        <v>ACDP-190H52X-D7C3</v>
      </c>
      <c r="M174" s="1" t="str">
        <f>VLOOKUP(L174,'[1]Plate Infor'!$B:$C,2,FALSE)</f>
        <v>W-FOPL-CG82PXX-L870-02-7S00</v>
      </c>
      <c r="N174" s="1" t="str">
        <f>VLOOKUP(MID(M174,8,4),'[1]Tipe Plate'!$C:$D,2,FALSE)</f>
        <v>Grid Casting</v>
      </c>
      <c r="O174" s="4">
        <f>VLOOKUP(L174,'[1]Plate Infor'!$B:$D,3,FALSE)*D174</f>
        <v>1296</v>
      </c>
      <c r="P174" s="4">
        <f>IFERROR(VLOOKUP(IF(MID(M174,3,1)="F","W-UNPL-"&amp;RIGHT(M174,20),M174),'[1]Data Pule'!$C:$E,3,FALSE),0)*O174</f>
        <v>166.53599999999997</v>
      </c>
      <c r="Q174" s="1" t="str">
        <f>VLOOKUP(L174,'[1]Plate Infor'!$B:$E,4,FALSE)</f>
        <v>W-FOPL-CG87NXX-T3L0-02-7S00</v>
      </c>
      <c r="R174" s="1" t="str">
        <f>VLOOKUP(MID(Q174,8,4),'[1]Tipe Plate'!$C:$D,2,FALSE)</f>
        <v>Grid Casting</v>
      </c>
      <c r="S174" s="4">
        <f>VLOOKUP(L174,'[1]Plate Infor'!$B:$F,5,FALSE)*D174</f>
        <v>1368</v>
      </c>
      <c r="T174" s="4">
        <f>IFERROR(VLOOKUP(IF(MID(Q174,3,1)="F","W-UNPL-"&amp;RIGHT(Q174,20),Q174),'[1]Data Pule'!$C:$E,3,FALSE),0)*S174</f>
        <v>157.32</v>
      </c>
    </row>
    <row r="175" spans="3:20" x14ac:dyDescent="0.35">
      <c r="C175" s="1" t="s">
        <v>150</v>
      </c>
      <c r="D175">
        <v>288</v>
      </c>
      <c r="E175" s="3" t="str">
        <f>MID(C175,5,1)</f>
        <v>D</v>
      </c>
      <c r="F175" s="3"/>
      <c r="G175" s="3"/>
      <c r="H175" s="3"/>
      <c r="I175" s="3"/>
      <c r="J175" s="3"/>
      <c r="K175" s="3"/>
      <c r="L175" s="1" t="str">
        <f>MID(C175,3,17)</f>
        <v>ACDP-48D26LX-A9C3</v>
      </c>
      <c r="M175" s="1" t="str">
        <f>VLOOKUP(L175,'[1]Plate Infor'!$B:$C,2,FALSE)</f>
        <v>W-FOPL-CG80PXX-L870-02-7S00</v>
      </c>
      <c r="N175" s="1" t="str">
        <f>VLOOKUP(MID(M175,8,4),'[1]Tipe Plate'!$C:$D,2,FALSE)</f>
        <v>Grid Casting</v>
      </c>
      <c r="O175" s="4">
        <f>VLOOKUP(L175,'[1]Plate Infor'!$B:$D,3,FALSE)*D175</f>
        <v>3456</v>
      </c>
      <c r="P175" s="4">
        <f>IFERROR(VLOOKUP(IF(MID(M175,3,1)="F","W-UNPL-"&amp;RIGHT(M175,20),M175),'[1]Data Pule'!$C:$E,3,FALSE),0)*O175</f>
        <v>522.20159999999998</v>
      </c>
      <c r="Q175" s="1" t="str">
        <f>VLOOKUP(L175,'[1]Plate Infor'!$B:$E,4,FALSE)</f>
        <v>W-FOPL-CG87NXX-T3L0-02-7S00</v>
      </c>
      <c r="R175" s="1" t="str">
        <f>VLOOKUP(MID(Q175,8,4),'[1]Tipe Plate'!$C:$D,2,FALSE)</f>
        <v>Grid Casting</v>
      </c>
      <c r="S175" s="4">
        <f>VLOOKUP(L175,'[1]Plate Infor'!$B:$F,5,FALSE)*D175</f>
        <v>4320</v>
      </c>
      <c r="T175" s="4">
        <f>IFERROR(VLOOKUP(IF(MID(Q175,3,1)="F","W-UNPL-"&amp;RIGHT(Q175,20),Q175),'[1]Data Pule'!$C:$E,3,FALSE),0)*S175</f>
        <v>496.8</v>
      </c>
    </row>
    <row r="176" spans="3:20" x14ac:dyDescent="0.35">
      <c r="C176" s="1" t="s">
        <v>151</v>
      </c>
      <c r="D176">
        <v>144</v>
      </c>
      <c r="E176" s="3" t="str">
        <f>MID(C176,5,1)</f>
        <v>W</v>
      </c>
      <c r="F176" s="3"/>
      <c r="G176" s="3"/>
      <c r="H176" s="3"/>
      <c r="I176" s="3"/>
      <c r="J176" s="3"/>
      <c r="K176" s="3"/>
      <c r="L176" s="1" t="str">
        <f>MID(C176,3,17)</f>
        <v>AHWP-48D26LX-A8A3</v>
      </c>
      <c r="M176" s="1" t="str">
        <f>VLOOKUP(L176,'[1]Plate Infor'!$B:$C,2,FALSE)</f>
        <v>W-UNPL-CG85EPX-L870-02-7C00</v>
      </c>
      <c r="N176" s="1" t="str">
        <f>VLOOKUP(MID(M176,8,4),'[1]Tipe Plate'!$C:$D,2,FALSE)</f>
        <v>Grid Casting</v>
      </c>
      <c r="O176" s="4">
        <f>VLOOKUP(L176,'[1]Plate Infor'!$B:$D,3,FALSE)*D176</f>
        <v>1728</v>
      </c>
      <c r="P176" s="4">
        <f>IFERROR(VLOOKUP(IF(MID(M176,3,1)="F","W-UNPL-"&amp;RIGHT(M176,20),M176),'[1]Data Pule'!$C:$E,3,FALSE),0)*O176</f>
        <v>211.16159999999999</v>
      </c>
      <c r="Q176" s="1" t="str">
        <f>VLOOKUP(L176,'[1]Plate Infor'!$B:$E,4,FALSE)</f>
        <v>W-UNPL-WG87NXX-T3AF-00-7C00</v>
      </c>
      <c r="R176" s="1" t="str">
        <f>VLOOKUP(MID(Q176,8,4),'[1]Tipe Plate'!$C:$D,2,FALSE)</f>
        <v>Grid Punching</v>
      </c>
      <c r="S176" s="4">
        <f>VLOOKUP(L176,'[1]Plate Infor'!$B:$F,5,FALSE)*D176</f>
        <v>1728</v>
      </c>
      <c r="T176" s="4">
        <f>IFERROR(VLOOKUP(IF(MID(Q176,3,1)="F","W-UNPL-"&amp;RIGHT(Q176,20),Q176),'[1]Data Pule'!$C:$E,3,FALSE),0)*S176</f>
        <v>225.84959999999998</v>
      </c>
    </row>
    <row r="177" spans="3:20" x14ac:dyDescent="0.35">
      <c r="C177" s="1" t="s">
        <v>152</v>
      </c>
      <c r="D177">
        <v>336</v>
      </c>
      <c r="E177" s="3" t="str">
        <f>MID(C177,5,1)</f>
        <v>D</v>
      </c>
      <c r="F177" s="3"/>
      <c r="G177" s="3"/>
      <c r="H177" s="3"/>
      <c r="I177" s="3"/>
      <c r="J177" s="3"/>
      <c r="K177" s="3"/>
      <c r="L177" s="1" t="str">
        <f>MID(C177,3,17)</f>
        <v>ACDP-65D31LX-B3C3</v>
      </c>
      <c r="M177" s="1" t="str">
        <f>VLOOKUP(L177,'[1]Plate Infor'!$B:$C,2,FALSE)</f>
        <v>W-FOPL-CG82PXX-L870-02-7S00</v>
      </c>
      <c r="N177" s="1" t="str">
        <f>VLOOKUP(MID(M177,8,4),'[1]Tipe Plate'!$C:$D,2,FALSE)</f>
        <v>Grid Casting</v>
      </c>
      <c r="O177" s="4">
        <f>VLOOKUP(L177,'[1]Plate Infor'!$B:$D,3,FALSE)*D177</f>
        <v>6048</v>
      </c>
      <c r="P177" s="4">
        <f>IFERROR(VLOOKUP(IF(MID(M177,3,1)="F","W-UNPL-"&amp;RIGHT(M177,20),M177),'[1]Data Pule'!$C:$E,3,FALSE),0)*O177</f>
        <v>777.16799999999989</v>
      </c>
      <c r="Q177" s="1" t="str">
        <f>VLOOKUP(L177,'[1]Plate Infor'!$B:$E,4,FALSE)</f>
        <v>W-FOPL-CG87NXX-T3L0-02-7S00</v>
      </c>
      <c r="R177" s="1" t="str">
        <f>VLOOKUP(MID(Q177,8,4),'[1]Tipe Plate'!$C:$D,2,FALSE)</f>
        <v>Grid Casting</v>
      </c>
      <c r="S177" s="4">
        <f>VLOOKUP(L177,'[1]Plate Infor'!$B:$F,5,FALSE)*D177</f>
        <v>7056</v>
      </c>
      <c r="T177" s="4">
        <f>IFERROR(VLOOKUP(IF(MID(Q177,3,1)="F","W-UNPL-"&amp;RIGHT(Q177,20),Q177),'[1]Data Pule'!$C:$E,3,FALSE),0)*S177</f>
        <v>811.44</v>
      </c>
    </row>
    <row r="178" spans="3:20" x14ac:dyDescent="0.35">
      <c r="C178" s="1" t="s">
        <v>153</v>
      </c>
      <c r="D178">
        <v>63</v>
      </c>
      <c r="E178" s="3" t="str">
        <f>MID(C178,5,1)</f>
        <v>W</v>
      </c>
      <c r="F178" s="3"/>
      <c r="G178" s="3"/>
      <c r="H178" s="3"/>
      <c r="I178" s="3"/>
      <c r="J178" s="3"/>
      <c r="K178" s="3"/>
      <c r="L178" s="1" t="str">
        <f>MID(C178,3,17)</f>
        <v>AHWP-65D31LX-B2A3</v>
      </c>
      <c r="M178" s="1" t="str">
        <f>VLOOKUP(L178,'[1]Plate Infor'!$B:$C,2,FALSE)</f>
        <v>W-UNPL-CG85EPX-L870-02-7C00</v>
      </c>
      <c r="N178" s="1" t="str">
        <f>VLOOKUP(MID(M178,8,4),'[1]Tipe Plate'!$C:$D,2,FALSE)</f>
        <v>Grid Casting</v>
      </c>
      <c r="O178" s="4">
        <f>VLOOKUP(L178,'[1]Plate Infor'!$B:$D,3,FALSE)*D178</f>
        <v>1134</v>
      </c>
      <c r="P178" s="4">
        <f>IFERROR(VLOOKUP(IF(MID(M178,3,1)="F","W-UNPL-"&amp;RIGHT(M178,20),M178),'[1]Data Pule'!$C:$E,3,FALSE),0)*O178</f>
        <v>138.57480000000001</v>
      </c>
      <c r="Q178" s="1" t="str">
        <f>VLOOKUP(L178,'[1]Plate Infor'!$B:$E,4,FALSE)</f>
        <v>W-UNPL-WG87NXX-T3AF-00-7C00</v>
      </c>
      <c r="R178" s="1" t="str">
        <f>VLOOKUP(MID(Q178,8,4),'[1]Tipe Plate'!$C:$D,2,FALSE)</f>
        <v>Grid Punching</v>
      </c>
      <c r="S178" s="4">
        <f>VLOOKUP(L178,'[1]Plate Infor'!$B:$F,5,FALSE)*D178</f>
        <v>1134</v>
      </c>
      <c r="T178" s="4">
        <f>IFERROR(VLOOKUP(IF(MID(Q178,3,1)="F","W-UNPL-"&amp;RIGHT(Q178,20),Q178),'[1]Data Pule'!$C:$E,3,FALSE),0)*S178</f>
        <v>148.21379999999999</v>
      </c>
    </row>
    <row r="179" spans="3:20" x14ac:dyDescent="0.35">
      <c r="C179" s="1" t="s">
        <v>154</v>
      </c>
      <c r="D179">
        <v>112</v>
      </c>
      <c r="E179" s="3" t="str">
        <f>MID(C179,5,1)</f>
        <v>D</v>
      </c>
      <c r="F179" s="3"/>
      <c r="G179" s="3"/>
      <c r="H179" s="3"/>
      <c r="I179" s="3"/>
      <c r="J179" s="3"/>
      <c r="K179" s="3"/>
      <c r="L179" s="1" t="str">
        <f>MID(C179,3,17)</f>
        <v>ACDP-95E41LX-B7C3</v>
      </c>
      <c r="M179" s="1" t="str">
        <f>VLOOKUP(L179,'[1]Plate Infor'!$B:$C,2,FALSE)</f>
        <v>W-FOPL-CG80PXX-L870-02-7S00</v>
      </c>
      <c r="N179" s="1" t="str">
        <f>VLOOKUP(MID(M179,8,4),'[1]Tipe Plate'!$C:$D,2,FALSE)</f>
        <v>Grid Casting</v>
      </c>
      <c r="O179" s="4">
        <f>VLOOKUP(L179,'[1]Plate Infor'!$B:$D,3,FALSE)*D179</f>
        <v>2688</v>
      </c>
      <c r="P179" s="4">
        <f>IFERROR(VLOOKUP(IF(MID(M179,3,1)="F","W-UNPL-"&amp;RIGHT(M179,20),M179),'[1]Data Pule'!$C:$E,3,FALSE),0)*O179</f>
        <v>406.15679999999998</v>
      </c>
      <c r="Q179" s="1" t="str">
        <f>VLOOKUP(L179,'[1]Plate Infor'!$B:$E,4,FALSE)</f>
        <v>W-FOPL-CG87NXX-T3L0-02-7S00</v>
      </c>
      <c r="R179" s="1" t="str">
        <f>VLOOKUP(MID(Q179,8,4),'[1]Tipe Plate'!$C:$D,2,FALSE)</f>
        <v>Grid Casting</v>
      </c>
      <c r="S179" s="4">
        <f>VLOOKUP(L179,'[1]Plate Infor'!$B:$F,5,FALSE)*D179</f>
        <v>3024</v>
      </c>
      <c r="T179" s="4">
        <f>IFERROR(VLOOKUP(IF(MID(Q179,3,1)="F","W-UNPL-"&amp;RIGHT(Q179,20),Q179),'[1]Data Pule'!$C:$E,3,FALSE),0)*S179</f>
        <v>347.76</v>
      </c>
    </row>
    <row r="180" spans="3:20" x14ac:dyDescent="0.35">
      <c r="C180" s="1" t="s">
        <v>155</v>
      </c>
      <c r="D180">
        <v>180</v>
      </c>
      <c r="E180" s="3" t="str">
        <f>MID(C180,5,1)</f>
        <v>D</v>
      </c>
      <c r="F180" s="3"/>
      <c r="G180" s="3"/>
      <c r="H180" s="3"/>
      <c r="I180" s="3"/>
      <c r="J180" s="3"/>
      <c r="K180" s="3"/>
      <c r="L180" s="1" t="str">
        <f>MID(C180,3,17)</f>
        <v>ACDP-115F51X-C1C3</v>
      </c>
      <c r="M180" s="1" t="str">
        <f>VLOOKUP(L180,'[1]Plate Infor'!$B:$C,2,FALSE)</f>
        <v>W-FOPL-CG80PXX-L870-02-7S00</v>
      </c>
      <c r="N180" s="1" t="str">
        <f>VLOOKUP(MID(M180,8,4),'[1]Tipe Plate'!$C:$D,2,FALSE)</f>
        <v>Grid Casting</v>
      </c>
      <c r="O180" s="4">
        <f>VLOOKUP(L180,'[1]Plate Infor'!$B:$D,3,FALSE)*D180</f>
        <v>5400</v>
      </c>
      <c r="P180" s="4">
        <f>IFERROR(VLOOKUP(IF(MID(M180,3,1)="F","W-UNPL-"&amp;RIGHT(M180,20),M180),'[1]Data Pule'!$C:$E,3,FALSE),0)*O180</f>
        <v>815.93999999999994</v>
      </c>
      <c r="Q180" s="1" t="str">
        <f>VLOOKUP(L180,'[1]Plate Infor'!$B:$E,4,FALSE)</f>
        <v>W-FOPL-CG87NXX-T3L0-02-7S00</v>
      </c>
      <c r="R180" s="1" t="str">
        <f>VLOOKUP(MID(Q180,8,4),'[1]Tipe Plate'!$C:$D,2,FALSE)</f>
        <v>Grid Casting</v>
      </c>
      <c r="S180" s="4">
        <f>VLOOKUP(L180,'[1]Plate Infor'!$B:$F,5,FALSE)*D180</f>
        <v>5940</v>
      </c>
      <c r="T180" s="4">
        <f>IFERROR(VLOOKUP(IF(MID(Q180,3,1)="F","W-UNPL-"&amp;RIGHT(Q180,20),Q180),'[1]Data Pule'!$C:$E,3,FALSE),0)*S180</f>
        <v>683.1</v>
      </c>
    </row>
    <row r="181" spans="3:20" x14ac:dyDescent="0.35">
      <c r="C181" s="1" t="s">
        <v>156</v>
      </c>
      <c r="D181">
        <v>180</v>
      </c>
      <c r="E181" s="3" t="str">
        <f>MID(C181,5,1)</f>
        <v>D</v>
      </c>
      <c r="F181" s="3"/>
      <c r="G181" s="3"/>
      <c r="H181" s="3"/>
      <c r="I181" s="3"/>
      <c r="J181" s="3"/>
      <c r="K181" s="3"/>
      <c r="L181" s="1" t="str">
        <f>MID(C181,3,17)</f>
        <v>ACDP-145G51X-C7C3</v>
      </c>
      <c r="M181" s="1" t="str">
        <f>VLOOKUP(L181,'[1]Plate Infor'!$B:$C,2,FALSE)</f>
        <v>W-FOPL-CG82PXX-L870-02-7S00</v>
      </c>
      <c r="N181" s="1" t="str">
        <f>VLOOKUP(MID(M181,8,4),'[1]Tipe Plate'!$C:$D,2,FALSE)</f>
        <v>Grid Casting</v>
      </c>
      <c r="O181" s="4">
        <f>VLOOKUP(L181,'[1]Plate Infor'!$B:$D,3,FALSE)*D181</f>
        <v>7020</v>
      </c>
      <c r="P181" s="4">
        <f>IFERROR(VLOOKUP(IF(MID(M181,3,1)="F","W-UNPL-"&amp;RIGHT(M181,20),M181),'[1]Data Pule'!$C:$E,3,FALSE),0)*O181</f>
        <v>902.06999999999982</v>
      </c>
      <c r="Q181" s="1" t="str">
        <f>VLOOKUP(L181,'[1]Plate Infor'!$B:$E,4,FALSE)</f>
        <v>W-FOPL-CG87NXX-T3L0-02-7S00</v>
      </c>
      <c r="R181" s="1" t="str">
        <f>VLOOKUP(MID(Q181,8,4),'[1]Tipe Plate'!$C:$D,2,FALSE)</f>
        <v>Grid Casting</v>
      </c>
      <c r="S181" s="4">
        <f>VLOOKUP(L181,'[1]Plate Infor'!$B:$F,5,FALSE)*D181</f>
        <v>7560</v>
      </c>
      <c r="T181" s="4">
        <f>IFERROR(VLOOKUP(IF(MID(Q181,3,1)="F","W-UNPL-"&amp;RIGHT(Q181,20),Q181),'[1]Data Pule'!$C:$E,3,FALSE),0)*S181</f>
        <v>869.40000000000009</v>
      </c>
    </row>
    <row r="182" spans="3:20" x14ac:dyDescent="0.35">
      <c r="C182" s="1" t="s">
        <v>157</v>
      </c>
      <c r="D182">
        <v>192</v>
      </c>
      <c r="E182" s="3" t="str">
        <f>MID(C182,5,1)</f>
        <v>D</v>
      </c>
      <c r="F182" s="3"/>
      <c r="G182" s="3"/>
      <c r="H182" s="3"/>
      <c r="I182" s="3"/>
      <c r="J182" s="3"/>
      <c r="K182" s="3"/>
      <c r="L182" s="1" t="str">
        <f>MID(C182,3,17)</f>
        <v>ACDP-190H52X-D7C3</v>
      </c>
      <c r="M182" s="1" t="str">
        <f>VLOOKUP(L182,'[1]Plate Infor'!$B:$C,2,FALSE)</f>
        <v>W-FOPL-CG82PXX-L870-02-7S00</v>
      </c>
      <c r="N182" s="1" t="str">
        <f>VLOOKUP(MID(M182,8,4),'[1]Tipe Plate'!$C:$D,2,FALSE)</f>
        <v>Grid Casting</v>
      </c>
      <c r="O182" s="4">
        <f>VLOOKUP(L182,'[1]Plate Infor'!$B:$D,3,FALSE)*D182</f>
        <v>10368</v>
      </c>
      <c r="P182" s="4">
        <f>IFERROR(VLOOKUP(IF(MID(M182,3,1)="F","W-UNPL-"&amp;RIGHT(M182,20),M182),'[1]Data Pule'!$C:$E,3,FALSE),0)*O182</f>
        <v>1332.2879999999998</v>
      </c>
      <c r="Q182" s="1" t="str">
        <f>VLOOKUP(L182,'[1]Plate Infor'!$B:$E,4,FALSE)</f>
        <v>W-FOPL-CG87NXX-T3L0-02-7S00</v>
      </c>
      <c r="R182" s="1" t="str">
        <f>VLOOKUP(MID(Q182,8,4),'[1]Tipe Plate'!$C:$D,2,FALSE)</f>
        <v>Grid Casting</v>
      </c>
      <c r="S182" s="4">
        <f>VLOOKUP(L182,'[1]Plate Infor'!$B:$F,5,FALSE)*D182</f>
        <v>10944</v>
      </c>
      <c r="T182" s="4">
        <f>IFERROR(VLOOKUP(IF(MID(Q182,3,1)="F","W-UNPL-"&amp;RIGHT(Q182,20),Q182),'[1]Data Pule'!$C:$E,3,FALSE),0)*S182</f>
        <v>1258.56</v>
      </c>
    </row>
    <row r="183" spans="3:20" x14ac:dyDescent="0.35">
      <c r="C183" s="1" t="s">
        <v>158</v>
      </c>
      <c r="D183">
        <v>135</v>
      </c>
      <c r="E183" s="3" t="str">
        <f>MID(C183,5,1)</f>
        <v>W</v>
      </c>
      <c r="F183" s="3"/>
      <c r="G183" s="3"/>
      <c r="H183" s="3"/>
      <c r="I183" s="3"/>
      <c r="J183" s="3"/>
      <c r="K183" s="3"/>
      <c r="L183" s="1" t="str">
        <f>MID(C183,3,17)</f>
        <v>AMWP-45B20LX-B0P3</v>
      </c>
      <c r="M183" s="1" t="str">
        <f>VLOOKUP(L183,'[1]Plate Infor'!$B:$C,2,FALSE)</f>
        <v>W-UNPL-WM84PXX-L65F-00-7S00</v>
      </c>
      <c r="N183" s="1" t="str">
        <f>VLOOKUP(MID(M183,8,4),'[1]Tipe Plate'!$C:$D,2,FALSE)</f>
        <v>Grid Casting</v>
      </c>
      <c r="O183" s="4">
        <f>VLOOKUP(L183,'[1]Plate Infor'!$B:$D,3,FALSE)*D183</f>
        <v>2025</v>
      </c>
      <c r="P183" s="4">
        <f>IFERROR(VLOOKUP(IF(MID(M183,3,1)="F","W-UNPL-"&amp;RIGHT(M183,20),M183),'[1]Data Pule'!$C:$E,3,FALSE),0)*O183</f>
        <v>230.64750000000001</v>
      </c>
      <c r="Q183" s="1" t="str">
        <f>VLOOKUP(L183,'[1]Plate Infor'!$B:$E,4,FALSE)</f>
        <v>W-UNPL-WM85NXX-T3AF-00-7S00</v>
      </c>
      <c r="R183" s="1" t="str">
        <f>VLOOKUP(MID(Q183,8,4),'[1]Tipe Plate'!$C:$D,2,FALSE)</f>
        <v>Grid Punching</v>
      </c>
      <c r="S183" s="4">
        <f>VLOOKUP(L183,'[1]Plate Infor'!$B:$F,5,FALSE)*D183</f>
        <v>2025</v>
      </c>
      <c r="T183" s="4">
        <f>IFERROR(VLOOKUP(IF(MID(Q183,3,1)="F","W-UNPL-"&amp;RIGHT(Q183,20),Q183),'[1]Data Pule'!$C:$E,3,FALSE),0)*S183</f>
        <v>215.25750000000002</v>
      </c>
    </row>
    <row r="184" spans="3:20" x14ac:dyDescent="0.35">
      <c r="C184" s="1" t="s">
        <v>159</v>
      </c>
      <c r="D184">
        <v>144</v>
      </c>
      <c r="E184" s="3" t="str">
        <f>MID(C184,5,1)</f>
        <v>W</v>
      </c>
      <c r="F184" s="3"/>
      <c r="G184" s="3"/>
      <c r="H184" s="3"/>
      <c r="I184" s="3"/>
      <c r="J184" s="3"/>
      <c r="K184" s="3"/>
      <c r="L184" s="1" t="str">
        <f>MID(C184,3,17)</f>
        <v>AMWP-60D26LX-B1P2</v>
      </c>
      <c r="M184" s="1" t="str">
        <f>VLOOKUP(L184,'[1]Plate Infor'!$B:$C,2,FALSE)</f>
        <v>W-UNPL-WG83PXX-L65F-00-7C00</v>
      </c>
      <c r="N184" s="1" t="str">
        <f>VLOOKUP(MID(M184,8,4),'[1]Tipe Plate'!$C:$D,2,FALSE)</f>
        <v>Grid Punching</v>
      </c>
      <c r="O184" s="4">
        <f>VLOOKUP(L184,'[1]Plate Infor'!$B:$D,3,FALSE)*D184</f>
        <v>2160</v>
      </c>
      <c r="P184" s="4">
        <f>IFERROR(VLOOKUP(IF(MID(M184,3,1)="F","W-UNPL-"&amp;RIGHT(M184,20),M184),'[1]Data Pule'!$C:$E,3,FALSE),0)*O184</f>
        <v>365.68799999999993</v>
      </c>
      <c r="Q184" s="1" t="str">
        <f>VLOOKUP(L184,'[1]Plate Infor'!$B:$E,4,FALSE)</f>
        <v>W-UNPL-WG87NXX-T3AF-00-7C00</v>
      </c>
      <c r="R184" s="1" t="str">
        <f>VLOOKUP(MID(Q184,8,4),'[1]Tipe Plate'!$C:$D,2,FALSE)</f>
        <v>Grid Punching</v>
      </c>
      <c r="S184" s="4">
        <f>VLOOKUP(L184,'[1]Plate Infor'!$B:$F,5,FALSE)*D184</f>
        <v>2592</v>
      </c>
      <c r="T184" s="4">
        <f>IFERROR(VLOOKUP(IF(MID(Q184,3,1)="F","W-UNPL-"&amp;RIGHT(Q184,20),Q184),'[1]Data Pule'!$C:$E,3,FALSE),0)*S184</f>
        <v>338.77439999999996</v>
      </c>
    </row>
    <row r="185" spans="3:20" x14ac:dyDescent="0.35">
      <c r="C185" s="1" t="s">
        <v>160</v>
      </c>
      <c r="D185">
        <v>252</v>
      </c>
      <c r="E185" s="3" t="str">
        <f>MID(C185,5,1)</f>
        <v>W</v>
      </c>
      <c r="F185" s="3"/>
      <c r="G185" s="3"/>
      <c r="H185" s="3"/>
      <c r="I185" s="3"/>
      <c r="J185" s="3"/>
      <c r="K185" s="3"/>
      <c r="L185" s="1" t="str">
        <f>MID(C185,3,17)</f>
        <v>AMWP-65D31LX-B3P2</v>
      </c>
      <c r="M185" s="1" t="str">
        <f>VLOOKUP(L185,'[1]Plate Infor'!$B:$C,2,FALSE)</f>
        <v>W-UNPL-WG83PXX-L65F-00-7C00</v>
      </c>
      <c r="N185" s="1" t="str">
        <f>VLOOKUP(MID(M185,8,4),'[1]Tipe Plate'!$C:$D,2,FALSE)</f>
        <v>Grid Punching</v>
      </c>
      <c r="O185" s="4">
        <f>VLOOKUP(L185,'[1]Plate Infor'!$B:$D,3,FALSE)*D185</f>
        <v>4536</v>
      </c>
      <c r="P185" s="4">
        <f>IFERROR(VLOOKUP(IF(MID(M185,3,1)="F","W-UNPL-"&amp;RIGHT(M185,20),M185),'[1]Data Pule'!$C:$E,3,FALSE),0)*O185</f>
        <v>767.94479999999987</v>
      </c>
      <c r="Q185" s="1" t="str">
        <f>VLOOKUP(L185,'[1]Plate Infor'!$B:$E,4,FALSE)</f>
        <v>W-UNPL-WG87NXX-T3AF-00-7C00</v>
      </c>
      <c r="R185" s="1" t="str">
        <f>VLOOKUP(MID(Q185,8,4),'[1]Tipe Plate'!$C:$D,2,FALSE)</f>
        <v>Grid Punching</v>
      </c>
      <c r="S185" s="4">
        <f>VLOOKUP(L185,'[1]Plate Infor'!$B:$F,5,FALSE)*D185</f>
        <v>5292</v>
      </c>
      <c r="T185" s="4">
        <f>IFERROR(VLOOKUP(IF(MID(Q185,3,1)="F","W-UNPL-"&amp;RIGHT(Q185,20),Q185),'[1]Data Pule'!$C:$E,3,FALSE),0)*S185</f>
        <v>691.66439999999989</v>
      </c>
    </row>
    <row r="186" spans="3:20" x14ac:dyDescent="0.35">
      <c r="C186" s="1" t="s">
        <v>161</v>
      </c>
      <c r="D186">
        <v>84</v>
      </c>
      <c r="E186" s="3" t="str">
        <f>MID(C186,5,1)</f>
        <v>W</v>
      </c>
      <c r="F186" s="3"/>
      <c r="G186" s="3"/>
      <c r="H186" s="3"/>
      <c r="I186" s="3"/>
      <c r="J186" s="3"/>
      <c r="K186" s="3"/>
      <c r="L186" s="1" t="str">
        <f>MID(C186,3,17)</f>
        <v>AMWP-115E41L-B7C3</v>
      </c>
      <c r="M186" s="1" t="str">
        <f>VLOOKUP(L186,'[1]Plate Infor'!$B:$C,2,FALSE)</f>
        <v>W-UNPL-YG8079P-L650-02-7S00</v>
      </c>
      <c r="N186" s="1" t="str">
        <f>VLOOKUP(MID(M186,8,4),'[1]Tipe Plate'!$C:$D,2,FALSE)</f>
        <v>Grid Casting</v>
      </c>
      <c r="O186" s="4">
        <f>VLOOKUP(L186,'[1]Plate Infor'!$B:$D,3,FALSE)*D186</f>
        <v>2016</v>
      </c>
      <c r="P186" s="4">
        <f>IFERROR(VLOOKUP(IF(MID(M186,3,1)="F","W-UNPL-"&amp;RIGHT(M186,20),M186),'[1]Data Pule'!$C:$E,3,FALSE),0)*O186</f>
        <v>318.52800000000002</v>
      </c>
      <c r="Q186" s="1" t="str">
        <f>VLOOKUP(L186,'[1]Plate Infor'!$B:$E,4,FALSE)</f>
        <v>W-UNPL-YG85NXX-T3A0-02-7S00</v>
      </c>
      <c r="R186" s="1" t="str">
        <f>VLOOKUP(MID(Q186,8,4),'[1]Tipe Plate'!$C:$D,2,FALSE)</f>
        <v>Grid Casting</v>
      </c>
      <c r="S186" s="4">
        <f>VLOOKUP(L186,'[1]Plate Infor'!$B:$F,5,FALSE)*D186</f>
        <v>2268</v>
      </c>
      <c r="T186" s="4">
        <f>IFERROR(VLOOKUP(IF(MID(Q186,3,1)="F","W-UNPL-"&amp;RIGHT(Q186,20),Q186),'[1]Data Pule'!$C:$E,3,FALSE),0)*S186</f>
        <v>296.42759999999998</v>
      </c>
    </row>
    <row r="187" spans="3:20" x14ac:dyDescent="0.35">
      <c r="C187" s="1" t="s">
        <v>162</v>
      </c>
      <c r="D187">
        <v>108</v>
      </c>
      <c r="E187" s="3" t="str">
        <f>MID(C187,5,1)</f>
        <v>W</v>
      </c>
      <c r="F187" s="3"/>
      <c r="G187" s="3"/>
      <c r="H187" s="3"/>
      <c r="I187" s="3"/>
      <c r="J187" s="3"/>
      <c r="K187" s="3"/>
      <c r="L187" s="1" t="str">
        <f>MID(C187,3,17)</f>
        <v>AMWP-115F51X-C1C3</v>
      </c>
      <c r="M187" s="1" t="str">
        <f>VLOOKUP(L187,'[1]Plate Infor'!$B:$C,2,FALSE)</f>
        <v>W-UNPL-YG8079P-L650-02-7S00</v>
      </c>
      <c r="N187" s="1" t="str">
        <f>VLOOKUP(MID(M187,8,4),'[1]Tipe Plate'!$C:$D,2,FALSE)</f>
        <v>Grid Casting</v>
      </c>
      <c r="O187" s="4">
        <f>VLOOKUP(L187,'[1]Plate Infor'!$B:$D,3,FALSE)*D187</f>
        <v>3240</v>
      </c>
      <c r="P187" s="4">
        <f>IFERROR(VLOOKUP(IF(MID(M187,3,1)="F","W-UNPL-"&amp;RIGHT(M187,20),M187),'[1]Data Pule'!$C:$E,3,FALSE),0)*O187</f>
        <v>511.92</v>
      </c>
      <c r="Q187" s="1" t="str">
        <f>VLOOKUP(L187,'[1]Plate Infor'!$B:$E,4,FALSE)</f>
        <v>W-UNPL-YG85NXX-T3A0-02-7S00</v>
      </c>
      <c r="R187" s="1" t="str">
        <f>VLOOKUP(MID(Q187,8,4),'[1]Tipe Plate'!$C:$D,2,FALSE)</f>
        <v>Grid Casting</v>
      </c>
      <c r="S187" s="4">
        <f>VLOOKUP(L187,'[1]Plate Infor'!$B:$F,5,FALSE)*D187</f>
        <v>3564</v>
      </c>
      <c r="T187" s="4">
        <f>IFERROR(VLOOKUP(IF(MID(Q187,3,1)="F","W-UNPL-"&amp;RIGHT(Q187,20),Q187),'[1]Data Pule'!$C:$E,3,FALSE),0)*S187</f>
        <v>465.81479999999993</v>
      </c>
    </row>
    <row r="188" spans="3:20" x14ac:dyDescent="0.35">
      <c r="C188" s="1" t="s">
        <v>163</v>
      </c>
      <c r="D188">
        <v>120</v>
      </c>
      <c r="E188" s="3" t="str">
        <f>MID(C188,5,1)</f>
        <v>W</v>
      </c>
      <c r="F188" s="3"/>
      <c r="G188" s="3"/>
      <c r="H188" s="3"/>
      <c r="I188" s="3"/>
      <c r="J188" s="3"/>
      <c r="K188" s="3"/>
      <c r="L188" s="1" t="str">
        <f>MID(C188,3,17)</f>
        <v>AMWP-170G51X-C7C3</v>
      </c>
      <c r="M188" s="1" t="str">
        <f>VLOOKUP(L188,'[1]Plate Infor'!$B:$C,2,FALSE)</f>
        <v>W-UNPL-YG82PXX-L650-02-7S00</v>
      </c>
      <c r="N188" s="1" t="str">
        <f>VLOOKUP(MID(M188,8,4),'[1]Tipe Plate'!$C:$D,2,FALSE)</f>
        <v>Grid Casting</v>
      </c>
      <c r="O188" s="4">
        <f>VLOOKUP(L188,'[1]Plate Infor'!$B:$D,3,FALSE)*D188</f>
        <v>5040</v>
      </c>
      <c r="P188" s="4">
        <f>IFERROR(VLOOKUP(IF(MID(M188,3,1)="F","W-UNPL-"&amp;RIGHT(M188,20),M188),'[1]Data Pule'!$C:$E,3,FALSE),0)*O188</f>
        <v>692.99999999999989</v>
      </c>
      <c r="Q188" s="1" t="str">
        <f>VLOOKUP(L188,'[1]Plate Infor'!$B:$E,4,FALSE)</f>
        <v>W-UNPL-YG85NXX-T3A0-02-7S00</v>
      </c>
      <c r="R188" s="1" t="str">
        <f>VLOOKUP(MID(Q188,8,4),'[1]Tipe Plate'!$C:$D,2,FALSE)</f>
        <v>Grid Casting</v>
      </c>
      <c r="S188" s="4">
        <f>VLOOKUP(L188,'[1]Plate Infor'!$B:$F,5,FALSE)*D188</f>
        <v>4680</v>
      </c>
      <c r="T188" s="4">
        <f>IFERROR(VLOOKUP(IF(MID(Q188,3,1)="F","W-UNPL-"&amp;RIGHT(Q188,20),Q188),'[1]Data Pule'!$C:$E,3,FALSE),0)*S188</f>
        <v>611.67599999999993</v>
      </c>
    </row>
    <row r="189" spans="3:20" x14ac:dyDescent="0.35">
      <c r="C189" s="1" t="s">
        <v>164</v>
      </c>
      <c r="D189">
        <v>24</v>
      </c>
      <c r="E189" s="3" t="str">
        <f>MID(C189,5,1)</f>
        <v>W</v>
      </c>
      <c r="F189" s="3"/>
      <c r="G189" s="3"/>
      <c r="H189" s="3"/>
      <c r="I189" s="3"/>
      <c r="J189" s="3"/>
      <c r="K189" s="3"/>
      <c r="L189" s="1" t="str">
        <f>MID(C189,3,17)</f>
        <v>AMWP-210H52X-D7C3</v>
      </c>
      <c r="M189" s="1" t="str">
        <f>VLOOKUP(L189,'[1]Plate Infor'!$B:$C,2,FALSE)</f>
        <v>W-UNPL-YG82PXX-L650-02-7S00</v>
      </c>
      <c r="N189" s="1" t="str">
        <f>VLOOKUP(MID(M189,8,4),'[1]Tipe Plate'!$C:$D,2,FALSE)</f>
        <v>Grid Casting</v>
      </c>
      <c r="O189" s="4">
        <f>VLOOKUP(L189,'[1]Plate Infor'!$B:$D,3,FALSE)*D189</f>
        <v>1368</v>
      </c>
      <c r="P189" s="4">
        <f>IFERROR(VLOOKUP(IF(MID(M189,3,1)="F","W-UNPL-"&amp;RIGHT(M189,20),M189),'[1]Data Pule'!$C:$E,3,FALSE),0)*O189</f>
        <v>188.09999999999997</v>
      </c>
      <c r="Q189" s="1" t="str">
        <f>VLOOKUP(L189,'[1]Plate Infor'!$B:$E,4,FALSE)</f>
        <v>W-UNPL-YG85NXX-T3A0-02-7S00</v>
      </c>
      <c r="R189" s="1" t="str">
        <f>VLOOKUP(MID(Q189,8,4),'[1]Tipe Plate'!$C:$D,2,FALSE)</f>
        <v>Grid Casting</v>
      </c>
      <c r="S189" s="4">
        <f>VLOOKUP(L189,'[1]Plate Infor'!$B:$F,5,FALSE)*D189</f>
        <v>1296</v>
      </c>
      <c r="T189" s="4">
        <f>IFERROR(VLOOKUP(IF(MID(Q189,3,1)="F","W-UNPL-"&amp;RIGHT(Q189,20),Q189),'[1]Data Pule'!$C:$E,3,FALSE),0)*S189</f>
        <v>169.38719999999998</v>
      </c>
    </row>
    <row r="190" spans="3:20" x14ac:dyDescent="0.35">
      <c r="C190" s="1" t="s">
        <v>165</v>
      </c>
      <c r="D190">
        <v>108</v>
      </c>
      <c r="E190" s="3" t="str">
        <f>MID(C190,5,1)</f>
        <v>W</v>
      </c>
      <c r="F190" s="3"/>
      <c r="G190" s="3"/>
      <c r="H190" s="3"/>
      <c r="I190" s="3"/>
      <c r="J190" s="3"/>
      <c r="K190" s="3"/>
      <c r="L190" s="1" t="str">
        <f>MID(C190,3,17)</f>
        <v>AMWP-46B24LX-B1P3</v>
      </c>
      <c r="M190" s="1" t="str">
        <f>VLOOKUP(L190,'[1]Plate Infor'!$B:$C,2,FALSE)</f>
        <v>W-UNPL-WM84PXX-L65F-00-7S00</v>
      </c>
      <c r="N190" s="1" t="str">
        <f>VLOOKUP(MID(M190,8,4),'[1]Tipe Plate'!$C:$D,2,FALSE)</f>
        <v>Grid Casting</v>
      </c>
      <c r="O190" s="4">
        <f>VLOOKUP(L190,'[1]Plate Infor'!$B:$D,3,FALSE)*D190</f>
        <v>1944</v>
      </c>
      <c r="P190" s="4">
        <f>IFERROR(VLOOKUP(IF(MID(M190,3,1)="F","W-UNPL-"&amp;RIGHT(M190,20),M190),'[1]Data Pule'!$C:$E,3,FALSE),0)*O190</f>
        <v>221.42160000000001</v>
      </c>
      <c r="Q190" s="1" t="str">
        <f>VLOOKUP(L190,'[1]Plate Infor'!$B:$E,4,FALSE)</f>
        <v>W-UNPL-WM85NXX-T3AF-00-7S00</v>
      </c>
      <c r="R190" s="1" t="str">
        <f>VLOOKUP(MID(Q190,8,4),'[1]Tipe Plate'!$C:$D,2,FALSE)</f>
        <v>Grid Punching</v>
      </c>
      <c r="S190" s="4">
        <f>VLOOKUP(L190,'[1]Plate Infor'!$B:$F,5,FALSE)*D190</f>
        <v>1620</v>
      </c>
      <c r="T190" s="4">
        <f>IFERROR(VLOOKUP(IF(MID(Q190,3,1)="F","W-UNPL-"&amp;RIGHT(Q190,20),Q190),'[1]Data Pule'!$C:$E,3,FALSE),0)*S190</f>
        <v>172.20600000000002</v>
      </c>
    </row>
    <row r="191" spans="3:20" x14ac:dyDescent="0.35">
      <c r="C191" s="1" t="s">
        <v>166</v>
      </c>
      <c r="D191">
        <v>72</v>
      </c>
      <c r="E191" s="3" t="str">
        <f>MID(C191,5,1)</f>
        <v>W</v>
      </c>
      <c r="F191" s="3"/>
      <c r="G191" s="3"/>
      <c r="H191" s="3"/>
      <c r="I191" s="3"/>
      <c r="J191" s="3"/>
      <c r="K191" s="3"/>
      <c r="L191" s="1" t="str">
        <f>MID(C191,3,17)</f>
        <v>AMWP-55D26LX-A8P3</v>
      </c>
      <c r="M191" s="1" t="str">
        <f>VLOOKUP(L191,'[1]Plate Infor'!$B:$C,2,FALSE)</f>
        <v>W-UNPL-WG83PXX-L65F-00-7C00</v>
      </c>
      <c r="N191" s="1" t="str">
        <f>VLOOKUP(MID(M191,8,4),'[1]Tipe Plate'!$C:$D,2,FALSE)</f>
        <v>Grid Punching</v>
      </c>
      <c r="O191" s="4">
        <f>VLOOKUP(L191,'[1]Plate Infor'!$B:$D,3,FALSE)*D191</f>
        <v>864</v>
      </c>
      <c r="P191" s="4">
        <f>IFERROR(VLOOKUP(IF(MID(M191,3,1)="F","W-UNPL-"&amp;RIGHT(M191,20),M191),'[1]Data Pule'!$C:$E,3,FALSE),0)*O191</f>
        <v>146.27519999999998</v>
      </c>
      <c r="Q191" s="1" t="str">
        <f>VLOOKUP(L191,'[1]Plate Infor'!$B:$E,4,FALSE)</f>
        <v>W-UNPL-WG87NXX-T3AF-00-7C00</v>
      </c>
      <c r="R191" s="1" t="str">
        <f>VLOOKUP(MID(Q191,8,4),'[1]Tipe Plate'!$C:$D,2,FALSE)</f>
        <v>Grid Punching</v>
      </c>
      <c r="S191" s="4">
        <f>VLOOKUP(L191,'[1]Plate Infor'!$B:$F,5,FALSE)*D191</f>
        <v>864</v>
      </c>
      <c r="T191" s="4">
        <f>IFERROR(VLOOKUP(IF(MID(Q191,3,1)="F","W-UNPL-"&amp;RIGHT(Q191,20),Q191),'[1]Data Pule'!$C:$E,3,FALSE),0)*S191</f>
        <v>112.92479999999999</v>
      </c>
    </row>
    <row r="192" spans="3:20" x14ac:dyDescent="0.35">
      <c r="C192" s="1" t="s">
        <v>167</v>
      </c>
      <c r="D192">
        <v>63</v>
      </c>
      <c r="E192" s="3" t="str">
        <f>MID(C192,5,1)</f>
        <v>W</v>
      </c>
      <c r="F192" s="3"/>
      <c r="G192" s="3"/>
      <c r="H192" s="3"/>
      <c r="I192" s="3"/>
      <c r="J192" s="3"/>
      <c r="K192" s="3"/>
      <c r="L192" s="1" t="str">
        <f>MID(C192,3,17)</f>
        <v>AMWP-65D31LX-B2P3</v>
      </c>
      <c r="M192" s="1" t="str">
        <f>VLOOKUP(L192,'[1]Plate Infor'!$B:$C,2,FALSE)</f>
        <v>W-UNPL-WG83PXX-L65F-00-7C00</v>
      </c>
      <c r="N192" s="1" t="str">
        <f>VLOOKUP(MID(M192,8,4),'[1]Tipe Plate'!$C:$D,2,FALSE)</f>
        <v>Grid Punching</v>
      </c>
      <c r="O192" s="4">
        <f>VLOOKUP(L192,'[1]Plate Infor'!$B:$D,3,FALSE)*D192</f>
        <v>1134</v>
      </c>
      <c r="P192" s="4">
        <f>IFERROR(VLOOKUP(IF(MID(M192,3,1)="F","W-UNPL-"&amp;RIGHT(M192,20),M192),'[1]Data Pule'!$C:$E,3,FALSE),0)*O192</f>
        <v>191.98619999999997</v>
      </c>
      <c r="Q192" s="1" t="str">
        <f>VLOOKUP(L192,'[1]Plate Infor'!$B:$E,4,FALSE)</f>
        <v>W-UNPL-WG87NXX-T3AF-00-7C00</v>
      </c>
      <c r="R192" s="1" t="str">
        <f>VLOOKUP(MID(Q192,8,4),'[1]Tipe Plate'!$C:$D,2,FALSE)</f>
        <v>Grid Punching</v>
      </c>
      <c r="S192" s="4">
        <f>VLOOKUP(L192,'[1]Plate Infor'!$B:$F,5,FALSE)*D192</f>
        <v>1134</v>
      </c>
      <c r="T192" s="4">
        <f>IFERROR(VLOOKUP(IF(MID(Q192,3,1)="F","W-UNPL-"&amp;RIGHT(Q192,20),Q192),'[1]Data Pule'!$C:$E,3,FALSE),0)*S192</f>
        <v>148.21379999999999</v>
      </c>
    </row>
    <row r="193" spans="3:20" x14ac:dyDescent="0.35">
      <c r="C193" s="1" t="s">
        <v>168</v>
      </c>
      <c r="D193">
        <v>60</v>
      </c>
      <c r="E193" s="3" t="str">
        <f>MID(C193,5,1)</f>
        <v>W</v>
      </c>
      <c r="F193" s="3"/>
      <c r="G193" s="3"/>
      <c r="H193" s="3"/>
      <c r="I193" s="3"/>
      <c r="J193" s="3"/>
      <c r="K193" s="3"/>
      <c r="L193" s="1" t="str">
        <f>MID(C193,3,17)</f>
        <v>AMWP-170G51X-C7C3</v>
      </c>
      <c r="M193" s="1" t="str">
        <f>VLOOKUP(L193,'[1]Plate Infor'!$B:$C,2,FALSE)</f>
        <v>W-UNPL-YG82PXX-L650-02-7S00</v>
      </c>
      <c r="N193" s="1" t="str">
        <f>VLOOKUP(MID(M193,8,4),'[1]Tipe Plate'!$C:$D,2,FALSE)</f>
        <v>Grid Casting</v>
      </c>
      <c r="O193" s="4">
        <f>VLOOKUP(L193,'[1]Plate Infor'!$B:$D,3,FALSE)*D193</f>
        <v>2520</v>
      </c>
      <c r="P193" s="4">
        <f>IFERROR(VLOOKUP(IF(MID(M193,3,1)="F","W-UNPL-"&amp;RIGHT(M193,20),M193),'[1]Data Pule'!$C:$E,3,FALSE),0)*O193</f>
        <v>346.49999999999994</v>
      </c>
      <c r="Q193" s="1" t="str">
        <f>VLOOKUP(L193,'[1]Plate Infor'!$B:$E,4,FALSE)</f>
        <v>W-UNPL-YG85NXX-T3A0-02-7S00</v>
      </c>
      <c r="R193" s="1" t="str">
        <f>VLOOKUP(MID(Q193,8,4),'[1]Tipe Plate'!$C:$D,2,FALSE)</f>
        <v>Grid Casting</v>
      </c>
      <c r="S193" s="4">
        <f>VLOOKUP(L193,'[1]Plate Infor'!$B:$F,5,FALSE)*D193</f>
        <v>2340</v>
      </c>
      <c r="T193" s="4">
        <f>IFERROR(VLOOKUP(IF(MID(Q193,3,1)="F","W-UNPL-"&amp;RIGHT(Q193,20),Q193),'[1]Data Pule'!$C:$E,3,FALSE),0)*S193</f>
        <v>305.83799999999997</v>
      </c>
    </row>
    <row r="194" spans="3:20" x14ac:dyDescent="0.35">
      <c r="C194" s="1" t="s">
        <v>169</v>
      </c>
      <c r="D194">
        <v>30</v>
      </c>
      <c r="E194" s="3" t="str">
        <f>MID(C194,5,1)</f>
        <v>D</v>
      </c>
      <c r="F194" s="3"/>
      <c r="G194" s="3"/>
      <c r="H194" s="3"/>
      <c r="I194" s="3"/>
      <c r="J194" s="3"/>
      <c r="K194" s="3"/>
      <c r="L194" s="1" t="str">
        <f>MID(C194,3,17)</f>
        <v>ACDP-145G51X-C5C4</v>
      </c>
      <c r="M194" s="1" t="str">
        <f>VLOOKUP(L194,'[1]Plate Infor'!$B:$C,2,FALSE)</f>
        <v>W-FOPL-CG82PXX-L870-02-7S00</v>
      </c>
      <c r="N194" s="1" t="str">
        <f>VLOOKUP(MID(M194,8,4),'[1]Tipe Plate'!$C:$D,2,FALSE)</f>
        <v>Grid Casting</v>
      </c>
      <c r="O194" s="4">
        <f>VLOOKUP(L194,'[1]Plate Infor'!$B:$D,3,FALSE)*D194</f>
        <v>1080</v>
      </c>
      <c r="P194" s="4">
        <f>IFERROR(VLOOKUP(IF(MID(M194,3,1)="F","W-UNPL-"&amp;RIGHT(M194,20),M194),'[1]Data Pule'!$C:$E,3,FALSE),0)*O194</f>
        <v>138.77999999999997</v>
      </c>
      <c r="Q194" s="1" t="str">
        <f>VLOOKUP(L194,'[1]Plate Infor'!$B:$E,4,FALSE)</f>
        <v>W-FOPL-CG87NXX-T3L0-02-7S00</v>
      </c>
      <c r="R194" s="1" t="str">
        <f>VLOOKUP(MID(Q194,8,4),'[1]Tipe Plate'!$C:$D,2,FALSE)</f>
        <v>Grid Casting</v>
      </c>
      <c r="S194" s="4">
        <f>VLOOKUP(L194,'[1]Plate Infor'!$B:$F,5,FALSE)*D194</f>
        <v>1170</v>
      </c>
      <c r="T194" s="4">
        <f>IFERROR(VLOOKUP(IF(MID(Q194,3,1)="F","W-UNPL-"&amp;RIGHT(Q194,20),Q194),'[1]Data Pule'!$C:$E,3,FALSE),0)*S194</f>
        <v>134.55000000000001</v>
      </c>
    </row>
    <row r="195" spans="3:20" x14ac:dyDescent="0.35">
      <c r="C195" s="1" t="s">
        <v>170</v>
      </c>
      <c r="D195">
        <v>96</v>
      </c>
      <c r="E195" s="3" t="str">
        <f>MID(C195,5,1)</f>
        <v>D</v>
      </c>
      <c r="F195" s="3"/>
      <c r="G195" s="3"/>
      <c r="H195" s="3"/>
      <c r="I195" s="3"/>
      <c r="J195" s="3"/>
      <c r="K195" s="3"/>
      <c r="L195" s="1" t="str">
        <f>MID(C195,3,17)</f>
        <v>ACDP-190H52X-D5C4</v>
      </c>
      <c r="M195" s="1" t="str">
        <f>VLOOKUP(L195,'[1]Plate Infor'!$B:$C,2,FALSE)</f>
        <v>W-FOPL-CG82PXX-L870-02-7S00</v>
      </c>
      <c r="N195" s="1" t="str">
        <f>VLOOKUP(MID(M195,8,4),'[1]Tipe Plate'!$C:$D,2,FALSE)</f>
        <v>Grid Casting</v>
      </c>
      <c r="O195" s="4">
        <f>VLOOKUP(L195,'[1]Plate Infor'!$B:$D,3,FALSE)*D195</f>
        <v>4896</v>
      </c>
      <c r="P195" s="4">
        <f>IFERROR(VLOOKUP(IF(MID(M195,3,1)="F","W-UNPL-"&amp;RIGHT(M195,20),M195),'[1]Data Pule'!$C:$E,3,FALSE),0)*O195</f>
        <v>629.13599999999985</v>
      </c>
      <c r="Q195" s="1" t="str">
        <f>VLOOKUP(L195,'[1]Plate Infor'!$B:$E,4,FALSE)</f>
        <v>W-FOPL-CG87NXX-T3L0-02-7S00</v>
      </c>
      <c r="R195" s="1" t="str">
        <f>VLOOKUP(MID(Q195,8,4),'[1]Tipe Plate'!$C:$D,2,FALSE)</f>
        <v>Grid Casting</v>
      </c>
      <c r="S195" s="4">
        <f>VLOOKUP(L195,'[1]Plate Infor'!$B:$F,5,FALSE)*D195</f>
        <v>5184</v>
      </c>
      <c r="T195" s="4">
        <f>IFERROR(VLOOKUP(IF(MID(Q195,3,1)="F","W-UNPL-"&amp;RIGHT(Q195,20),Q195),'[1]Data Pule'!$C:$E,3,FALSE),0)*S195</f>
        <v>596.16000000000008</v>
      </c>
    </row>
    <row r="196" spans="3:20" x14ac:dyDescent="0.35">
      <c r="C196" s="1" t="s">
        <v>171</v>
      </c>
      <c r="D196">
        <v>56</v>
      </c>
      <c r="E196" s="3" t="str">
        <f>MID(C196,5,1)</f>
        <v>D</v>
      </c>
      <c r="F196" s="3"/>
      <c r="G196" s="3"/>
      <c r="H196" s="3"/>
      <c r="I196" s="3"/>
      <c r="J196" s="3"/>
      <c r="K196" s="3"/>
      <c r="L196" s="1" t="str">
        <f>MID(C196,3,17)</f>
        <v>ACDP-95E41LX-B5C4</v>
      </c>
      <c r="M196" s="1" t="str">
        <f>VLOOKUP(L196,'[1]Plate Infor'!$B:$C,2,FALSE)</f>
        <v>W-FOPL-CG80PXX-L870-02-7S00</v>
      </c>
      <c r="N196" s="1" t="str">
        <f>VLOOKUP(MID(M196,8,4),'[1]Tipe Plate'!$C:$D,2,FALSE)</f>
        <v>Grid Casting</v>
      </c>
      <c r="O196" s="4">
        <f>VLOOKUP(L196,'[1]Plate Infor'!$B:$D,3,FALSE)*D196</f>
        <v>1176</v>
      </c>
      <c r="P196" s="4">
        <f>IFERROR(VLOOKUP(IF(MID(M196,3,1)="F","W-UNPL-"&amp;RIGHT(M196,20),M196),'[1]Data Pule'!$C:$E,3,FALSE),0)*O196</f>
        <v>177.69359999999998</v>
      </c>
      <c r="Q196" s="1" t="str">
        <f>VLOOKUP(L196,'[1]Plate Infor'!$B:$E,4,FALSE)</f>
        <v>W-FOPL-CG87NXX-T3L0-02-7S00</v>
      </c>
      <c r="R196" s="1" t="str">
        <f>VLOOKUP(MID(Q196,8,4),'[1]Tipe Plate'!$C:$D,2,FALSE)</f>
        <v>Grid Casting</v>
      </c>
      <c r="S196" s="4">
        <f>VLOOKUP(L196,'[1]Plate Infor'!$B:$F,5,FALSE)*D196</f>
        <v>1344</v>
      </c>
      <c r="T196" s="4">
        <f>IFERROR(VLOOKUP(IF(MID(Q196,3,1)="F","W-UNPL-"&amp;RIGHT(Q196,20),Q196),'[1]Data Pule'!$C:$E,3,FALSE),0)*S196</f>
        <v>154.56</v>
      </c>
    </row>
    <row r="197" spans="3:20" x14ac:dyDescent="0.35">
      <c r="C197" s="1" t="s">
        <v>172</v>
      </c>
      <c r="D197">
        <v>30</v>
      </c>
      <c r="E197" s="3" t="str">
        <f>MID(C197,5,1)</f>
        <v>D</v>
      </c>
      <c r="F197" s="3"/>
      <c r="G197" s="3"/>
      <c r="H197" s="3"/>
      <c r="I197" s="3"/>
      <c r="J197" s="3"/>
      <c r="K197" s="3"/>
      <c r="L197" s="1" t="str">
        <f>MID(C197,3,17)</f>
        <v>ACDP-145G51X-C5C4</v>
      </c>
      <c r="M197" s="1" t="str">
        <f>VLOOKUP(L197,'[1]Plate Infor'!$B:$C,2,FALSE)</f>
        <v>W-FOPL-CG82PXX-L870-02-7S00</v>
      </c>
      <c r="N197" s="1" t="str">
        <f>VLOOKUP(MID(M197,8,4),'[1]Tipe Plate'!$C:$D,2,FALSE)</f>
        <v>Grid Casting</v>
      </c>
      <c r="O197" s="4">
        <f>VLOOKUP(L197,'[1]Plate Infor'!$B:$D,3,FALSE)*D197</f>
        <v>1080</v>
      </c>
      <c r="P197" s="4">
        <f>IFERROR(VLOOKUP(IF(MID(M197,3,1)="F","W-UNPL-"&amp;RIGHT(M197,20),M197),'[1]Data Pule'!$C:$E,3,FALSE),0)*O197</f>
        <v>138.77999999999997</v>
      </c>
      <c r="Q197" s="1" t="str">
        <f>VLOOKUP(L197,'[1]Plate Infor'!$B:$E,4,FALSE)</f>
        <v>W-FOPL-CG87NXX-T3L0-02-7S00</v>
      </c>
      <c r="R197" s="1" t="str">
        <f>VLOOKUP(MID(Q197,8,4),'[1]Tipe Plate'!$C:$D,2,FALSE)</f>
        <v>Grid Casting</v>
      </c>
      <c r="S197" s="4">
        <f>VLOOKUP(L197,'[1]Plate Infor'!$B:$F,5,FALSE)*D197</f>
        <v>1170</v>
      </c>
      <c r="T197" s="4">
        <f>IFERROR(VLOOKUP(IF(MID(Q197,3,1)="F","W-UNPL-"&amp;RIGHT(Q197,20),Q197),'[1]Data Pule'!$C:$E,3,FALSE),0)*S197</f>
        <v>134.55000000000001</v>
      </c>
    </row>
    <row r="198" spans="3:20" x14ac:dyDescent="0.35">
      <c r="C198" s="1" t="s">
        <v>173</v>
      </c>
      <c r="D198">
        <v>135</v>
      </c>
      <c r="E198" s="3" t="str">
        <f>MID(C198,5,1)</f>
        <v>W</v>
      </c>
      <c r="F198" s="3"/>
      <c r="G198" s="3"/>
      <c r="H198" s="3"/>
      <c r="I198" s="3"/>
      <c r="J198" s="3"/>
      <c r="K198" s="3"/>
      <c r="L198" s="1" t="str">
        <f>MID(C198,3,17)</f>
        <v>AMWP-32B20LX-A9P3</v>
      </c>
      <c r="M198" s="1" t="str">
        <f>VLOOKUP(L198,'[1]Plate Infor'!$B:$C,2,FALSE)</f>
        <v>W-UNPL-WM84PXX-L65F-00-7S00</v>
      </c>
      <c r="N198" s="1" t="str">
        <f>VLOOKUP(MID(M198,8,4),'[1]Tipe Plate'!$C:$D,2,FALSE)</f>
        <v>Grid Casting</v>
      </c>
      <c r="O198" s="4">
        <f>VLOOKUP(L198,'[1]Plate Infor'!$B:$D,3,FALSE)*D198</f>
        <v>2025</v>
      </c>
      <c r="P198" s="4">
        <f>IFERROR(VLOOKUP(IF(MID(M198,3,1)="F","W-UNPL-"&amp;RIGHT(M198,20),M198),'[1]Data Pule'!$C:$E,3,FALSE),0)*O198</f>
        <v>230.64750000000001</v>
      </c>
      <c r="Q198" s="1" t="str">
        <f>VLOOKUP(L198,'[1]Plate Infor'!$B:$E,4,FALSE)</f>
        <v>W-UNPL-WM85NXX-T3AF-00-7S00</v>
      </c>
      <c r="R198" s="1" t="str">
        <f>VLOOKUP(MID(Q198,8,4),'[1]Tipe Plate'!$C:$D,2,FALSE)</f>
        <v>Grid Punching</v>
      </c>
      <c r="S198" s="4">
        <f>VLOOKUP(L198,'[1]Plate Infor'!$B:$F,5,FALSE)*D198</f>
        <v>1620</v>
      </c>
      <c r="T198" s="4">
        <f>IFERROR(VLOOKUP(IF(MID(Q198,3,1)="F","W-UNPL-"&amp;RIGHT(Q198,20),Q198),'[1]Data Pule'!$C:$E,3,FALSE),0)*S198</f>
        <v>172.20600000000002</v>
      </c>
    </row>
    <row r="199" spans="3:20" x14ac:dyDescent="0.35">
      <c r="C199" s="1" t="s">
        <v>174</v>
      </c>
      <c r="D199">
        <v>108</v>
      </c>
      <c r="E199" s="3" t="str">
        <f>MID(C199,5,1)</f>
        <v>W</v>
      </c>
      <c r="F199" s="3"/>
      <c r="G199" s="3"/>
      <c r="H199" s="3"/>
      <c r="I199" s="3"/>
      <c r="J199" s="3"/>
      <c r="K199" s="3"/>
      <c r="L199" s="1" t="str">
        <f>MID(C199,3,17)</f>
        <v>AMWP-32C24LX-B0P3</v>
      </c>
      <c r="M199" s="1" t="str">
        <f>VLOOKUP(L199,'[1]Plate Infor'!$B:$C,2,FALSE)</f>
        <v>W-UNPL-WM84PXX-L65F-00-7S00</v>
      </c>
      <c r="N199" s="1" t="str">
        <f>VLOOKUP(MID(M199,8,4),'[1]Tipe Plate'!$C:$D,2,FALSE)</f>
        <v>Grid Casting</v>
      </c>
      <c r="O199" s="4">
        <f>VLOOKUP(L199,'[1]Plate Infor'!$B:$D,3,FALSE)*D199</f>
        <v>1620</v>
      </c>
      <c r="P199" s="4">
        <f>IFERROR(VLOOKUP(IF(MID(M199,3,1)="F","W-UNPL-"&amp;RIGHT(M199,20),M199),'[1]Data Pule'!$C:$E,3,FALSE),0)*O199</f>
        <v>184.518</v>
      </c>
      <c r="Q199" s="1" t="str">
        <f>VLOOKUP(L199,'[1]Plate Infor'!$B:$E,4,FALSE)</f>
        <v>W-UNPL-WM85NXX-T3AF-00-7S00</v>
      </c>
      <c r="R199" s="1" t="str">
        <f>VLOOKUP(MID(Q199,8,4),'[1]Tipe Plate'!$C:$D,2,FALSE)</f>
        <v>Grid Punching</v>
      </c>
      <c r="S199" s="4">
        <f>VLOOKUP(L199,'[1]Plate Infor'!$B:$F,5,FALSE)*D199</f>
        <v>1620</v>
      </c>
      <c r="T199" s="4">
        <f>IFERROR(VLOOKUP(IF(MID(Q199,3,1)="F","W-UNPL-"&amp;RIGHT(Q199,20),Q199),'[1]Data Pule'!$C:$E,3,FALSE),0)*S199</f>
        <v>172.20600000000002</v>
      </c>
    </row>
    <row r="200" spans="3:20" x14ac:dyDescent="0.35">
      <c r="C200" s="1" t="s">
        <v>175</v>
      </c>
      <c r="D200">
        <v>432</v>
      </c>
      <c r="E200" s="3" t="str">
        <f>MID(C200,5,1)</f>
        <v>W</v>
      </c>
      <c r="F200" s="3"/>
      <c r="G200" s="3"/>
      <c r="H200" s="3"/>
      <c r="I200" s="3"/>
      <c r="J200" s="3"/>
      <c r="K200" s="3"/>
      <c r="L200" s="1" t="str">
        <f>MID(C200,3,17)</f>
        <v>AMWP-48D26LX-A8P3</v>
      </c>
      <c r="M200" s="1" t="str">
        <f>VLOOKUP(L200,'[1]Plate Infor'!$B:$C,2,FALSE)</f>
        <v>W-UNPL-WG83PXX-L65F-00-7C00</v>
      </c>
      <c r="N200" s="1" t="str">
        <f>VLOOKUP(MID(M200,8,4),'[1]Tipe Plate'!$C:$D,2,FALSE)</f>
        <v>Grid Punching</v>
      </c>
      <c r="O200" s="4">
        <f>VLOOKUP(L200,'[1]Plate Infor'!$B:$D,3,FALSE)*D200</f>
        <v>5184</v>
      </c>
      <c r="P200" s="4">
        <f>IFERROR(VLOOKUP(IF(MID(M200,3,1)="F","W-UNPL-"&amp;RIGHT(M200,20),M200),'[1]Data Pule'!$C:$E,3,FALSE),0)*O200</f>
        <v>877.6511999999999</v>
      </c>
      <c r="Q200" s="1" t="str">
        <f>VLOOKUP(L200,'[1]Plate Infor'!$B:$E,4,FALSE)</f>
        <v>W-UNPL-WG87NXX-T3AF-00-7C00</v>
      </c>
      <c r="R200" s="1" t="str">
        <f>VLOOKUP(MID(Q200,8,4),'[1]Tipe Plate'!$C:$D,2,FALSE)</f>
        <v>Grid Punching</v>
      </c>
      <c r="S200" s="4">
        <f>VLOOKUP(L200,'[1]Plate Infor'!$B:$F,5,FALSE)*D200</f>
        <v>5184</v>
      </c>
      <c r="T200" s="4">
        <f>IFERROR(VLOOKUP(IF(MID(Q200,3,1)="F","W-UNPL-"&amp;RIGHT(Q200,20),Q200),'[1]Data Pule'!$C:$E,3,FALSE),0)*S200</f>
        <v>677.54879999999991</v>
      </c>
    </row>
    <row r="201" spans="3:20" x14ac:dyDescent="0.35">
      <c r="C201" s="1" t="s">
        <v>176</v>
      </c>
      <c r="D201">
        <v>441</v>
      </c>
      <c r="E201" s="3" t="str">
        <f>MID(C201,5,1)</f>
        <v>W</v>
      </c>
      <c r="F201" s="3"/>
      <c r="G201" s="3"/>
      <c r="H201" s="3"/>
      <c r="I201" s="3"/>
      <c r="J201" s="3"/>
      <c r="K201" s="3"/>
      <c r="L201" s="1" t="str">
        <f>MID(C201,3,17)</f>
        <v>AMWP-65D31LX-B2P3</v>
      </c>
      <c r="M201" s="1" t="str">
        <f>VLOOKUP(L201,'[1]Plate Infor'!$B:$C,2,FALSE)</f>
        <v>W-UNPL-WG83PXX-L65F-00-7C00</v>
      </c>
      <c r="N201" s="1" t="str">
        <f>VLOOKUP(MID(M201,8,4),'[1]Tipe Plate'!$C:$D,2,FALSE)</f>
        <v>Grid Punching</v>
      </c>
      <c r="O201" s="4">
        <f>VLOOKUP(L201,'[1]Plate Infor'!$B:$D,3,FALSE)*D201</f>
        <v>7938</v>
      </c>
      <c r="P201" s="4">
        <f>IFERROR(VLOOKUP(IF(MID(M201,3,1)="F","W-UNPL-"&amp;RIGHT(M201,20),M201),'[1]Data Pule'!$C:$E,3,FALSE),0)*O201</f>
        <v>1343.9033999999999</v>
      </c>
      <c r="Q201" s="1" t="str">
        <f>VLOOKUP(L201,'[1]Plate Infor'!$B:$E,4,FALSE)</f>
        <v>W-UNPL-WG87NXX-T3AF-00-7C00</v>
      </c>
      <c r="R201" s="1" t="str">
        <f>VLOOKUP(MID(Q201,8,4),'[1]Tipe Plate'!$C:$D,2,FALSE)</f>
        <v>Grid Punching</v>
      </c>
      <c r="S201" s="4">
        <f>VLOOKUP(L201,'[1]Plate Infor'!$B:$F,5,FALSE)*D201</f>
        <v>7938</v>
      </c>
      <c r="T201" s="4">
        <f>IFERROR(VLOOKUP(IF(MID(Q201,3,1)="F","W-UNPL-"&amp;RIGHT(Q201,20),Q201),'[1]Data Pule'!$C:$E,3,FALSE),0)*S201</f>
        <v>1037.4965999999999</v>
      </c>
    </row>
    <row r="202" spans="3:20" x14ac:dyDescent="0.35">
      <c r="C202" s="1" t="s">
        <v>177</v>
      </c>
      <c r="D202">
        <v>84</v>
      </c>
      <c r="E202" s="3" t="str">
        <f>MID(C202,5,1)</f>
        <v>W</v>
      </c>
      <c r="F202" s="3"/>
      <c r="G202" s="3"/>
      <c r="H202" s="3"/>
      <c r="I202" s="3"/>
      <c r="J202" s="3"/>
      <c r="K202" s="3"/>
      <c r="L202" s="1" t="str">
        <f>MID(C202,3,17)</f>
        <v>AMWP-95E41LX-B7C3</v>
      </c>
      <c r="M202" s="1" t="str">
        <f>VLOOKUP(L202,'[1]Plate Infor'!$B:$C,2,FALSE)</f>
        <v>W-UNPL-YG8079P-L650-02-7S00</v>
      </c>
      <c r="N202" s="1" t="str">
        <f>VLOOKUP(MID(M202,8,4),'[1]Tipe Plate'!$C:$D,2,FALSE)</f>
        <v>Grid Casting</v>
      </c>
      <c r="O202" s="4">
        <f>VLOOKUP(L202,'[1]Plate Infor'!$B:$D,3,FALSE)*D202</f>
        <v>2016</v>
      </c>
      <c r="P202" s="4">
        <f>IFERROR(VLOOKUP(IF(MID(M202,3,1)="F","W-UNPL-"&amp;RIGHT(M202,20),M202),'[1]Data Pule'!$C:$E,3,FALSE),0)*O202</f>
        <v>318.52800000000002</v>
      </c>
      <c r="Q202" s="1" t="str">
        <f>VLOOKUP(L202,'[1]Plate Infor'!$B:$E,4,FALSE)</f>
        <v>W-UNPL-YG85NXX-T3A0-02-7S00</v>
      </c>
      <c r="R202" s="1" t="str">
        <f>VLOOKUP(MID(Q202,8,4),'[1]Tipe Plate'!$C:$D,2,FALSE)</f>
        <v>Grid Casting</v>
      </c>
      <c r="S202" s="4">
        <f>VLOOKUP(L202,'[1]Plate Infor'!$B:$F,5,FALSE)*D202</f>
        <v>2268</v>
      </c>
      <c r="T202" s="4">
        <f>IFERROR(VLOOKUP(IF(MID(Q202,3,1)="F","W-UNPL-"&amp;RIGHT(Q202,20),Q202),'[1]Data Pule'!$C:$E,3,FALSE),0)*S202</f>
        <v>296.42759999999998</v>
      </c>
    </row>
    <row r="203" spans="3:20" x14ac:dyDescent="0.35">
      <c r="C203" s="1" t="s">
        <v>178</v>
      </c>
      <c r="D203">
        <v>108</v>
      </c>
      <c r="E203" s="3" t="str">
        <f>MID(C203,5,1)</f>
        <v>W</v>
      </c>
      <c r="F203" s="3"/>
      <c r="G203" s="3"/>
      <c r="H203" s="3"/>
      <c r="I203" s="3"/>
      <c r="J203" s="3"/>
      <c r="K203" s="3"/>
      <c r="L203" s="1" t="str">
        <f>MID(C203,3,17)</f>
        <v>AMWP-115F51X-C1C3</v>
      </c>
      <c r="M203" s="1" t="str">
        <f>VLOOKUP(L203,'[1]Plate Infor'!$B:$C,2,FALSE)</f>
        <v>W-UNPL-YG8079P-L650-02-7S00</v>
      </c>
      <c r="N203" s="1" t="str">
        <f>VLOOKUP(MID(M203,8,4),'[1]Tipe Plate'!$C:$D,2,FALSE)</f>
        <v>Grid Casting</v>
      </c>
      <c r="O203" s="4">
        <f>VLOOKUP(L203,'[1]Plate Infor'!$B:$D,3,FALSE)*D203</f>
        <v>3240</v>
      </c>
      <c r="P203" s="4">
        <f>IFERROR(VLOOKUP(IF(MID(M203,3,1)="F","W-UNPL-"&amp;RIGHT(M203,20),M203),'[1]Data Pule'!$C:$E,3,FALSE),0)*O203</f>
        <v>511.92</v>
      </c>
      <c r="Q203" s="1" t="str">
        <f>VLOOKUP(L203,'[1]Plate Infor'!$B:$E,4,FALSE)</f>
        <v>W-UNPL-YG85NXX-T3A0-02-7S00</v>
      </c>
      <c r="R203" s="1" t="str">
        <f>VLOOKUP(MID(Q203,8,4),'[1]Tipe Plate'!$C:$D,2,FALSE)</f>
        <v>Grid Casting</v>
      </c>
      <c r="S203" s="4">
        <f>VLOOKUP(L203,'[1]Plate Infor'!$B:$F,5,FALSE)*D203</f>
        <v>3564</v>
      </c>
      <c r="T203" s="4">
        <f>IFERROR(VLOOKUP(IF(MID(Q203,3,1)="F","W-UNPL-"&amp;RIGHT(Q203,20),Q203),'[1]Data Pule'!$C:$E,3,FALSE),0)*S203</f>
        <v>465.81479999999993</v>
      </c>
    </row>
    <row r="204" spans="3:20" x14ac:dyDescent="0.35">
      <c r="C204" s="1" t="s">
        <v>179</v>
      </c>
      <c r="D204">
        <v>60</v>
      </c>
      <c r="E204" s="3" t="str">
        <f>MID(C204,5,1)</f>
        <v>W</v>
      </c>
      <c r="F204" s="3"/>
      <c r="G204" s="3"/>
      <c r="H204" s="3"/>
      <c r="I204" s="3"/>
      <c r="J204" s="3"/>
      <c r="K204" s="3"/>
      <c r="L204" s="1" t="str">
        <f>MID(C204,3,17)</f>
        <v>AMWP-145G51X-C7C3</v>
      </c>
      <c r="M204" s="1" t="str">
        <f>VLOOKUP(L204,'[1]Plate Infor'!$B:$C,2,FALSE)</f>
        <v>W-UNPL-YG82PXX-L650-02-7S00</v>
      </c>
      <c r="N204" s="1" t="str">
        <f>VLOOKUP(MID(M204,8,4),'[1]Tipe Plate'!$C:$D,2,FALSE)</f>
        <v>Grid Casting</v>
      </c>
      <c r="O204" s="4">
        <f>VLOOKUP(L204,'[1]Plate Infor'!$B:$D,3,FALSE)*D204</f>
        <v>2520</v>
      </c>
      <c r="P204" s="4">
        <f>IFERROR(VLOOKUP(IF(MID(M204,3,1)="F","W-UNPL-"&amp;RIGHT(M204,20),M204),'[1]Data Pule'!$C:$E,3,FALSE),0)*O204</f>
        <v>346.49999999999994</v>
      </c>
      <c r="Q204" s="1" t="str">
        <f>VLOOKUP(L204,'[1]Plate Infor'!$B:$E,4,FALSE)</f>
        <v>W-UNPL-YG85NXX-T3A0-02-7S00</v>
      </c>
      <c r="R204" s="1" t="str">
        <f>VLOOKUP(MID(Q204,8,4),'[1]Tipe Plate'!$C:$D,2,FALSE)</f>
        <v>Grid Casting</v>
      </c>
      <c r="S204" s="4">
        <f>VLOOKUP(L204,'[1]Plate Infor'!$B:$F,5,FALSE)*D204</f>
        <v>2340</v>
      </c>
      <c r="T204" s="4">
        <f>IFERROR(VLOOKUP(IF(MID(Q204,3,1)="F","W-UNPL-"&amp;RIGHT(Q204,20),Q204),'[1]Data Pule'!$C:$E,3,FALSE),0)*S204</f>
        <v>305.83799999999997</v>
      </c>
    </row>
    <row r="205" spans="3:20" x14ac:dyDescent="0.35">
      <c r="C205" s="1" t="s">
        <v>180</v>
      </c>
      <c r="D205">
        <v>108</v>
      </c>
      <c r="E205" s="3" t="str">
        <f>MID(C205,5,1)</f>
        <v>D</v>
      </c>
      <c r="F205" s="3"/>
      <c r="G205" s="3"/>
      <c r="H205" s="3"/>
      <c r="I205" s="3"/>
      <c r="J205" s="3"/>
      <c r="K205" s="3"/>
      <c r="L205" s="1" t="str">
        <f>MID(C205,3,17)</f>
        <v>ACDP-32C24LX-A9C4</v>
      </c>
      <c r="M205" s="1" t="str">
        <f>VLOOKUP(L205,'[1]Plate Infor'!$B:$C,2,FALSE)</f>
        <v>W-FOPL-CM84APX-L870-02-7S00</v>
      </c>
      <c r="N205" s="1" t="str">
        <f>VLOOKUP(MID(M205,8,4),'[1]Tipe Plate'!$C:$D,2,FALSE)</f>
        <v>Grid Casting</v>
      </c>
      <c r="O205" s="4">
        <f>VLOOKUP(L205,'[1]Plate Infor'!$B:$D,3,FALSE)*D205</f>
        <v>1296</v>
      </c>
      <c r="P205" s="4">
        <f>IFERROR(VLOOKUP(IF(MID(M205,3,1)="F","W-UNPL-"&amp;RIGHT(M205,20),M205),'[1]Data Pule'!$C:$E,3,FALSE),0)*O205</f>
        <v>116.2512</v>
      </c>
      <c r="Q205" s="1" t="str">
        <f>VLOOKUP(L205,'[1]Plate Infor'!$B:$E,4,FALSE)</f>
        <v>W-FOPL-CM8786N-T3L0-02-7S00</v>
      </c>
      <c r="R205" s="1" t="str">
        <f>VLOOKUP(MID(Q205,8,4),'[1]Tipe Plate'!$C:$D,2,FALSE)</f>
        <v>Grid Casting</v>
      </c>
      <c r="S205" s="4">
        <f>VLOOKUP(L205,'[1]Plate Infor'!$B:$F,5,FALSE)*D205</f>
        <v>1620</v>
      </c>
      <c r="T205" s="4">
        <f>IFERROR(VLOOKUP(IF(MID(Q205,3,1)="F","W-UNPL-"&amp;RIGHT(Q205,20),Q205),'[1]Data Pule'!$C:$E,3,FALSE),0)*S205</f>
        <v>152.76600000000002</v>
      </c>
    </row>
    <row r="206" spans="3:20" x14ac:dyDescent="0.35">
      <c r="C206" s="1" t="s">
        <v>181</v>
      </c>
      <c r="D206">
        <v>720</v>
      </c>
      <c r="E206" s="3" t="str">
        <f>MID(C206,5,1)</f>
        <v>D</v>
      </c>
      <c r="F206" s="3"/>
      <c r="G206" s="3"/>
      <c r="H206" s="3"/>
      <c r="I206" s="3"/>
      <c r="J206" s="3"/>
      <c r="K206" s="3"/>
      <c r="L206" s="1" t="str">
        <f>MID(C206,3,17)</f>
        <v>ACDP-55D26LX-A9C4</v>
      </c>
      <c r="M206" s="1" t="str">
        <f>VLOOKUP(L206,'[1]Plate Infor'!$B:$C,2,FALSE)</f>
        <v>W-FOPL-CG80PXX-L870-02-7S00</v>
      </c>
      <c r="N206" s="1" t="str">
        <f>VLOOKUP(MID(M206,8,4),'[1]Tipe Plate'!$C:$D,2,FALSE)</f>
        <v>Grid Casting</v>
      </c>
      <c r="O206" s="4">
        <f>VLOOKUP(L206,'[1]Plate Infor'!$B:$D,3,FALSE)*D206</f>
        <v>8640</v>
      </c>
      <c r="P206" s="4">
        <f>IFERROR(VLOOKUP(IF(MID(M206,3,1)="F","W-UNPL-"&amp;RIGHT(M206,20),M206),'[1]Data Pule'!$C:$E,3,FALSE),0)*O206</f>
        <v>1305.5039999999999</v>
      </c>
      <c r="Q206" s="1" t="str">
        <f>VLOOKUP(L206,'[1]Plate Infor'!$B:$E,4,FALSE)</f>
        <v>W-FOPL-CG87NXX-T3L0-02-7S00</v>
      </c>
      <c r="R206" s="1" t="str">
        <f>VLOOKUP(MID(Q206,8,4),'[1]Tipe Plate'!$C:$D,2,FALSE)</f>
        <v>Grid Casting</v>
      </c>
      <c r="S206" s="4">
        <f>VLOOKUP(L206,'[1]Plate Infor'!$B:$F,5,FALSE)*D206</f>
        <v>10800</v>
      </c>
      <c r="T206" s="4">
        <f>IFERROR(VLOOKUP(IF(MID(Q206,3,1)="F","W-UNPL-"&amp;RIGHT(Q206,20),Q206),'[1]Data Pule'!$C:$E,3,FALSE),0)*S206</f>
        <v>1242</v>
      </c>
    </row>
    <row r="207" spans="3:20" x14ac:dyDescent="0.35">
      <c r="C207" s="1" t="s">
        <v>182</v>
      </c>
      <c r="D207">
        <v>630</v>
      </c>
      <c r="E207" s="3" t="str">
        <f>MID(C207,5,1)</f>
        <v>D</v>
      </c>
      <c r="F207" s="3"/>
      <c r="G207" s="3"/>
      <c r="H207" s="3"/>
      <c r="I207" s="3"/>
      <c r="J207" s="3"/>
      <c r="K207" s="3"/>
      <c r="L207" s="1" t="str">
        <f>MID(C207,3,17)</f>
        <v>ACDP-75D31LX-B3C4</v>
      </c>
      <c r="M207" s="1" t="str">
        <f>VLOOKUP(L207,'[1]Plate Infor'!$B:$C,2,FALSE)</f>
        <v>W-FOPL-CG82PXX-L870-02-7S00</v>
      </c>
      <c r="N207" s="1" t="str">
        <f>VLOOKUP(MID(M207,8,4),'[1]Tipe Plate'!$C:$D,2,FALSE)</f>
        <v>Grid Casting</v>
      </c>
      <c r="O207" s="4">
        <f>VLOOKUP(L207,'[1]Plate Infor'!$B:$D,3,FALSE)*D207</f>
        <v>11340</v>
      </c>
      <c r="P207" s="4">
        <f>IFERROR(VLOOKUP(IF(MID(M207,3,1)="F","W-UNPL-"&amp;RIGHT(M207,20),M207),'[1]Data Pule'!$C:$E,3,FALSE),0)*O207</f>
        <v>1457.1899999999998</v>
      </c>
      <c r="Q207" s="1" t="str">
        <f>VLOOKUP(L207,'[1]Plate Infor'!$B:$E,4,FALSE)</f>
        <v>W-FOPL-CG87NXX-T3L0-02-7S00</v>
      </c>
      <c r="R207" s="1" t="str">
        <f>VLOOKUP(MID(Q207,8,4),'[1]Tipe Plate'!$C:$D,2,FALSE)</f>
        <v>Grid Casting</v>
      </c>
      <c r="S207" s="4">
        <f>VLOOKUP(L207,'[1]Plate Infor'!$B:$F,5,FALSE)*D207</f>
        <v>13230</v>
      </c>
      <c r="T207" s="4">
        <f>IFERROR(VLOOKUP(IF(MID(Q207,3,1)="F","W-UNPL-"&amp;RIGHT(Q207,20),Q207),'[1]Data Pule'!$C:$E,3,FALSE),0)*S207</f>
        <v>1521.45</v>
      </c>
    </row>
    <row r="208" spans="3:20" x14ac:dyDescent="0.35">
      <c r="C208" s="1" t="s">
        <v>183</v>
      </c>
      <c r="D208">
        <v>210</v>
      </c>
      <c r="E208" s="3" t="str">
        <f>MID(C208,5,1)</f>
        <v>D</v>
      </c>
      <c r="F208" s="3"/>
      <c r="G208" s="3"/>
      <c r="H208" s="3"/>
      <c r="I208" s="3"/>
      <c r="J208" s="3"/>
      <c r="K208" s="3"/>
      <c r="L208" s="1" t="str">
        <f>MID(C208,3,17)</f>
        <v>ACDP-95E41LX-B5C4</v>
      </c>
      <c r="M208" s="1" t="str">
        <f>VLOOKUP(L208,'[1]Plate Infor'!$B:$C,2,FALSE)</f>
        <v>W-FOPL-CG80PXX-L870-02-7S00</v>
      </c>
      <c r="N208" s="1" t="str">
        <f>VLOOKUP(MID(M208,8,4),'[1]Tipe Plate'!$C:$D,2,FALSE)</f>
        <v>Grid Casting</v>
      </c>
      <c r="O208" s="4">
        <f>VLOOKUP(L208,'[1]Plate Infor'!$B:$D,3,FALSE)*D208</f>
        <v>4410</v>
      </c>
      <c r="P208" s="4">
        <f>IFERROR(VLOOKUP(IF(MID(M208,3,1)="F","W-UNPL-"&amp;RIGHT(M208,20),M208),'[1]Data Pule'!$C:$E,3,FALSE),0)*O208</f>
        <v>666.35099999999989</v>
      </c>
      <c r="Q208" s="1" t="str">
        <f>VLOOKUP(L208,'[1]Plate Infor'!$B:$E,4,FALSE)</f>
        <v>W-FOPL-CG87NXX-T3L0-02-7S00</v>
      </c>
      <c r="R208" s="1" t="str">
        <f>VLOOKUP(MID(Q208,8,4),'[1]Tipe Plate'!$C:$D,2,FALSE)</f>
        <v>Grid Casting</v>
      </c>
      <c r="S208" s="4">
        <f>VLOOKUP(L208,'[1]Plate Infor'!$B:$F,5,FALSE)*D208</f>
        <v>5040</v>
      </c>
      <c r="T208" s="4">
        <f>IFERROR(VLOOKUP(IF(MID(Q208,3,1)="F","W-UNPL-"&amp;RIGHT(Q208,20),Q208),'[1]Data Pule'!$C:$E,3,FALSE),0)*S208</f>
        <v>579.6</v>
      </c>
    </row>
    <row r="209" spans="3:20" x14ac:dyDescent="0.35">
      <c r="C209" s="1" t="s">
        <v>184</v>
      </c>
      <c r="D209">
        <v>432</v>
      </c>
      <c r="E209" s="3" t="str">
        <f>MID(C209,5,1)</f>
        <v>D</v>
      </c>
      <c r="F209" s="3"/>
      <c r="G209" s="3"/>
      <c r="H209" s="3"/>
      <c r="I209" s="3"/>
      <c r="J209" s="3"/>
      <c r="K209" s="3"/>
      <c r="L209" s="1" t="str">
        <f>MID(C209,3,17)</f>
        <v>ACDP-115F51X-B9C4</v>
      </c>
      <c r="M209" s="1" t="str">
        <f>VLOOKUP(L209,'[1]Plate Infor'!$B:$C,2,FALSE)</f>
        <v>W-FOPL-CG82PXX-L870-02-7S00</v>
      </c>
      <c r="N209" s="1" t="str">
        <f>VLOOKUP(MID(M209,8,4),'[1]Tipe Plate'!$C:$D,2,FALSE)</f>
        <v>Grid Casting</v>
      </c>
      <c r="O209" s="4">
        <f>VLOOKUP(L209,'[1]Plate Infor'!$B:$D,3,FALSE)*D209</f>
        <v>11664</v>
      </c>
      <c r="P209" s="4">
        <f>IFERROR(VLOOKUP(IF(MID(M209,3,1)="F","W-UNPL-"&amp;RIGHT(M209,20),M209),'[1]Data Pule'!$C:$E,3,FALSE),0)*O209</f>
        <v>1498.8239999999996</v>
      </c>
      <c r="Q209" s="1" t="str">
        <f>VLOOKUP(L209,'[1]Plate Infor'!$B:$E,4,FALSE)</f>
        <v>W-FOPL-CG87NXX-T3L0-02-7S00</v>
      </c>
      <c r="R209" s="1" t="str">
        <f>VLOOKUP(MID(Q209,8,4),'[1]Tipe Plate'!$C:$D,2,FALSE)</f>
        <v>Grid Casting</v>
      </c>
      <c r="S209" s="4">
        <f>VLOOKUP(L209,'[1]Plate Infor'!$B:$F,5,FALSE)*D209</f>
        <v>12960</v>
      </c>
      <c r="T209" s="4">
        <f>IFERROR(VLOOKUP(IF(MID(Q209,3,1)="F","W-UNPL-"&amp;RIGHT(Q209,20),Q209),'[1]Data Pule'!$C:$E,3,FALSE),0)*S209</f>
        <v>1490.4</v>
      </c>
    </row>
    <row r="210" spans="3:20" x14ac:dyDescent="0.35">
      <c r="C210" s="1" t="s">
        <v>185</v>
      </c>
      <c r="D210">
        <v>600</v>
      </c>
      <c r="E210" s="3" t="str">
        <f>MID(C210,5,1)</f>
        <v>D</v>
      </c>
      <c r="F210" s="3"/>
      <c r="G210" s="3"/>
      <c r="H210" s="3"/>
      <c r="I210" s="3"/>
      <c r="J210" s="3"/>
      <c r="K210" s="3"/>
      <c r="L210" s="1" t="str">
        <f>MID(C210,3,17)</f>
        <v>ACDP-145G51X-C3C5</v>
      </c>
      <c r="M210" s="1" t="str">
        <f>VLOOKUP(L210,'[1]Plate Infor'!$B:$C,2,FALSE)</f>
        <v>W-FOPL-CG82PXX-L870-02-7S00</v>
      </c>
      <c r="N210" s="1" t="str">
        <f>VLOOKUP(MID(M210,8,4),'[1]Tipe Plate'!$C:$D,2,FALSE)</f>
        <v>Grid Casting</v>
      </c>
      <c r="O210" s="4">
        <f>VLOOKUP(L210,'[1]Plate Infor'!$B:$D,3,FALSE)*D210</f>
        <v>19800</v>
      </c>
      <c r="P210" s="4">
        <f>IFERROR(VLOOKUP(IF(MID(M210,3,1)="F","W-UNPL-"&amp;RIGHT(M210,20),M210),'[1]Data Pule'!$C:$E,3,FALSE),0)*O210</f>
        <v>2544.2999999999997</v>
      </c>
      <c r="Q210" s="1" t="str">
        <f>VLOOKUP(L210,'[1]Plate Infor'!$B:$E,4,FALSE)</f>
        <v>W-FOPL-CG87NXX-T3L0-02-7S00</v>
      </c>
      <c r="R210" s="1" t="str">
        <f>VLOOKUP(MID(Q210,8,4),'[1]Tipe Plate'!$C:$D,2,FALSE)</f>
        <v>Grid Casting</v>
      </c>
      <c r="S210" s="4">
        <f>VLOOKUP(L210,'[1]Plate Infor'!$B:$F,5,FALSE)*D210</f>
        <v>21600</v>
      </c>
      <c r="T210" s="4">
        <f>IFERROR(VLOOKUP(IF(MID(Q210,3,1)="F","W-UNPL-"&amp;RIGHT(Q210,20),Q210),'[1]Data Pule'!$C:$E,3,FALSE),0)*S210</f>
        <v>2484</v>
      </c>
    </row>
    <row r="211" spans="3:20" x14ac:dyDescent="0.35">
      <c r="C211" s="1" t="s">
        <v>186</v>
      </c>
      <c r="D211">
        <v>270</v>
      </c>
      <c r="E211" s="3" t="str">
        <f>MID(C211,5,1)</f>
        <v>W</v>
      </c>
      <c r="F211" s="3"/>
      <c r="G211" s="3"/>
      <c r="H211" s="3"/>
      <c r="I211" s="3"/>
      <c r="J211" s="3"/>
      <c r="K211" s="3"/>
      <c r="L211" s="1" t="str">
        <f>MID(C211,3,17)</f>
        <v>AMWP-32B20LX-A9P3</v>
      </c>
      <c r="M211" s="1" t="str">
        <f>VLOOKUP(L211,'[1]Plate Infor'!$B:$C,2,FALSE)</f>
        <v>W-UNPL-WM84PXX-L65F-00-7S00</v>
      </c>
      <c r="N211" s="1" t="str">
        <f>VLOOKUP(MID(M211,8,4),'[1]Tipe Plate'!$C:$D,2,FALSE)</f>
        <v>Grid Casting</v>
      </c>
      <c r="O211" s="4">
        <f>VLOOKUP(L211,'[1]Plate Infor'!$B:$D,3,FALSE)*D211</f>
        <v>4050</v>
      </c>
      <c r="P211" s="4">
        <f>IFERROR(VLOOKUP(IF(MID(M211,3,1)="F","W-UNPL-"&amp;RIGHT(M211,20),M211),'[1]Data Pule'!$C:$E,3,FALSE),0)*O211</f>
        <v>461.29500000000002</v>
      </c>
      <c r="Q211" s="1" t="str">
        <f>VLOOKUP(L211,'[1]Plate Infor'!$B:$E,4,FALSE)</f>
        <v>W-UNPL-WM85NXX-T3AF-00-7S00</v>
      </c>
      <c r="R211" s="1" t="str">
        <f>VLOOKUP(MID(Q211,8,4),'[1]Tipe Plate'!$C:$D,2,FALSE)</f>
        <v>Grid Punching</v>
      </c>
      <c r="S211" s="4">
        <f>VLOOKUP(L211,'[1]Plate Infor'!$B:$F,5,FALSE)*D211</f>
        <v>3240</v>
      </c>
      <c r="T211" s="4">
        <f>IFERROR(VLOOKUP(IF(MID(Q211,3,1)="F","W-UNPL-"&amp;RIGHT(Q211,20),Q211),'[1]Data Pule'!$C:$E,3,FALSE),0)*S211</f>
        <v>344.41200000000003</v>
      </c>
    </row>
    <row r="212" spans="3:20" x14ac:dyDescent="0.35">
      <c r="C212" s="1" t="s">
        <v>187</v>
      </c>
      <c r="D212">
        <v>360</v>
      </c>
      <c r="E212" s="3" t="str">
        <f>MID(C212,5,1)</f>
        <v>W</v>
      </c>
      <c r="F212" s="3"/>
      <c r="G212" s="3"/>
      <c r="H212" s="3"/>
      <c r="I212" s="3"/>
      <c r="J212" s="3"/>
      <c r="K212" s="3"/>
      <c r="L212" s="1" t="str">
        <f>MID(C212,3,17)</f>
        <v>AMWP-48D26LX-A8P3</v>
      </c>
      <c r="M212" s="1" t="str">
        <f>VLOOKUP(L212,'[1]Plate Infor'!$B:$C,2,FALSE)</f>
        <v>W-UNPL-WG83PXX-L65F-00-7C00</v>
      </c>
      <c r="N212" s="1" t="str">
        <f>VLOOKUP(MID(M212,8,4),'[1]Tipe Plate'!$C:$D,2,FALSE)</f>
        <v>Grid Punching</v>
      </c>
      <c r="O212" s="4">
        <f>VLOOKUP(L212,'[1]Plate Infor'!$B:$D,3,FALSE)*D212</f>
        <v>4320</v>
      </c>
      <c r="P212" s="4">
        <f>IFERROR(VLOOKUP(IF(MID(M212,3,1)="F","W-UNPL-"&amp;RIGHT(M212,20),M212),'[1]Data Pule'!$C:$E,3,FALSE),0)*O212</f>
        <v>731.37599999999986</v>
      </c>
      <c r="Q212" s="1" t="str">
        <f>VLOOKUP(L212,'[1]Plate Infor'!$B:$E,4,FALSE)</f>
        <v>W-UNPL-WG87NXX-T3AF-00-7C00</v>
      </c>
      <c r="R212" s="1" t="str">
        <f>VLOOKUP(MID(Q212,8,4),'[1]Tipe Plate'!$C:$D,2,FALSE)</f>
        <v>Grid Punching</v>
      </c>
      <c r="S212" s="4">
        <f>VLOOKUP(L212,'[1]Plate Infor'!$B:$F,5,FALSE)*D212</f>
        <v>4320</v>
      </c>
      <c r="T212" s="4">
        <f>IFERROR(VLOOKUP(IF(MID(Q212,3,1)="F","W-UNPL-"&amp;RIGHT(Q212,20),Q212),'[1]Data Pule'!$C:$E,3,FALSE),0)*S212</f>
        <v>564.62399999999991</v>
      </c>
    </row>
    <row r="213" spans="3:20" x14ac:dyDescent="0.35">
      <c r="C213" s="1" t="s">
        <v>188</v>
      </c>
      <c r="D213">
        <v>504</v>
      </c>
      <c r="E213" s="3" t="str">
        <f>MID(C213,5,1)</f>
        <v>W</v>
      </c>
      <c r="F213" s="3"/>
      <c r="G213" s="3"/>
      <c r="H213" s="3"/>
      <c r="I213" s="3"/>
      <c r="J213" s="3"/>
      <c r="K213" s="3"/>
      <c r="L213" s="1" t="str">
        <f>MID(C213,3,17)</f>
        <v>AMWP-65D31LX-B2P3</v>
      </c>
      <c r="M213" s="1" t="str">
        <f>VLOOKUP(L213,'[1]Plate Infor'!$B:$C,2,FALSE)</f>
        <v>W-UNPL-WG83PXX-L65F-00-7C00</v>
      </c>
      <c r="N213" s="1" t="str">
        <f>VLOOKUP(MID(M213,8,4),'[1]Tipe Plate'!$C:$D,2,FALSE)</f>
        <v>Grid Punching</v>
      </c>
      <c r="O213" s="4">
        <f>VLOOKUP(L213,'[1]Plate Infor'!$B:$D,3,FALSE)*D213</f>
        <v>9072</v>
      </c>
      <c r="P213" s="4">
        <f>IFERROR(VLOOKUP(IF(MID(M213,3,1)="F","W-UNPL-"&amp;RIGHT(M213,20),M213),'[1]Data Pule'!$C:$E,3,FALSE),0)*O213</f>
        <v>1535.8895999999997</v>
      </c>
      <c r="Q213" s="1" t="str">
        <f>VLOOKUP(L213,'[1]Plate Infor'!$B:$E,4,FALSE)</f>
        <v>W-UNPL-WG87NXX-T3AF-00-7C00</v>
      </c>
      <c r="R213" s="1" t="str">
        <f>VLOOKUP(MID(Q213,8,4),'[1]Tipe Plate'!$C:$D,2,FALSE)</f>
        <v>Grid Punching</v>
      </c>
      <c r="S213" s="4">
        <f>VLOOKUP(L213,'[1]Plate Infor'!$B:$F,5,FALSE)*D213</f>
        <v>9072</v>
      </c>
      <c r="T213" s="4">
        <f>IFERROR(VLOOKUP(IF(MID(Q213,3,1)="F","W-UNPL-"&amp;RIGHT(Q213,20),Q213),'[1]Data Pule'!$C:$E,3,FALSE),0)*S213</f>
        <v>1185.7103999999999</v>
      </c>
    </row>
    <row r="214" spans="3:20" x14ac:dyDescent="0.35">
      <c r="C214" s="1" t="s">
        <v>189</v>
      </c>
      <c r="D214">
        <v>126</v>
      </c>
      <c r="E214" s="3" t="str">
        <f>MID(C214,5,1)</f>
        <v>W</v>
      </c>
      <c r="F214" s="3"/>
      <c r="G214" s="3"/>
      <c r="H214" s="3"/>
      <c r="I214" s="3"/>
      <c r="J214" s="3"/>
      <c r="K214" s="3"/>
      <c r="L214" s="1" t="str">
        <f>MID(C214,3,17)</f>
        <v>AMWP-95E41LX-B7C3</v>
      </c>
      <c r="M214" s="1" t="str">
        <f>VLOOKUP(L214,'[1]Plate Infor'!$B:$C,2,FALSE)</f>
        <v>W-UNPL-YG8079P-L650-02-7S00</v>
      </c>
      <c r="N214" s="1" t="str">
        <f>VLOOKUP(MID(M214,8,4),'[1]Tipe Plate'!$C:$D,2,FALSE)</f>
        <v>Grid Casting</v>
      </c>
      <c r="O214" s="4">
        <f>VLOOKUP(L214,'[1]Plate Infor'!$B:$D,3,FALSE)*D214</f>
        <v>3024</v>
      </c>
      <c r="P214" s="4">
        <f>IFERROR(VLOOKUP(IF(MID(M214,3,1)="F","W-UNPL-"&amp;RIGHT(M214,20),M214),'[1]Data Pule'!$C:$E,3,FALSE),0)*O214</f>
        <v>477.79200000000003</v>
      </c>
      <c r="Q214" s="1" t="str">
        <f>VLOOKUP(L214,'[1]Plate Infor'!$B:$E,4,FALSE)</f>
        <v>W-UNPL-YG85NXX-T3A0-02-7S00</v>
      </c>
      <c r="R214" s="1" t="str">
        <f>VLOOKUP(MID(Q214,8,4),'[1]Tipe Plate'!$C:$D,2,FALSE)</f>
        <v>Grid Casting</v>
      </c>
      <c r="S214" s="4">
        <f>VLOOKUP(L214,'[1]Plate Infor'!$B:$F,5,FALSE)*D214</f>
        <v>3402</v>
      </c>
      <c r="T214" s="4">
        <f>IFERROR(VLOOKUP(IF(MID(Q214,3,1)="F","W-UNPL-"&amp;RIGHT(Q214,20),Q214),'[1]Data Pule'!$C:$E,3,FALSE),0)*S214</f>
        <v>444.64139999999992</v>
      </c>
    </row>
    <row r="215" spans="3:20" x14ac:dyDescent="0.35">
      <c r="C215" s="1" t="s">
        <v>190</v>
      </c>
      <c r="D215">
        <v>180</v>
      </c>
      <c r="E215" s="3" t="str">
        <f>MID(C215,5,1)</f>
        <v>W</v>
      </c>
      <c r="F215" s="3"/>
      <c r="G215" s="3"/>
      <c r="H215" s="3"/>
      <c r="I215" s="3"/>
      <c r="J215" s="3"/>
      <c r="K215" s="3"/>
      <c r="L215" s="1" t="str">
        <f>MID(C215,3,17)</f>
        <v>AMWP-115F51X-C1C3</v>
      </c>
      <c r="M215" s="1" t="str">
        <f>VLOOKUP(L215,'[1]Plate Infor'!$B:$C,2,FALSE)</f>
        <v>W-UNPL-YG8079P-L650-02-7S00</v>
      </c>
      <c r="N215" s="1" t="str">
        <f>VLOOKUP(MID(M215,8,4),'[1]Tipe Plate'!$C:$D,2,FALSE)</f>
        <v>Grid Casting</v>
      </c>
      <c r="O215" s="4">
        <f>VLOOKUP(L215,'[1]Plate Infor'!$B:$D,3,FALSE)*D215</f>
        <v>5400</v>
      </c>
      <c r="P215" s="4">
        <f>IFERROR(VLOOKUP(IF(MID(M215,3,1)="F","W-UNPL-"&amp;RIGHT(M215,20),M215),'[1]Data Pule'!$C:$E,3,FALSE),0)*O215</f>
        <v>853.2</v>
      </c>
      <c r="Q215" s="1" t="str">
        <f>VLOOKUP(L215,'[1]Plate Infor'!$B:$E,4,FALSE)</f>
        <v>W-UNPL-YG85NXX-T3A0-02-7S00</v>
      </c>
      <c r="R215" s="1" t="str">
        <f>VLOOKUP(MID(Q215,8,4),'[1]Tipe Plate'!$C:$D,2,FALSE)</f>
        <v>Grid Casting</v>
      </c>
      <c r="S215" s="4">
        <f>VLOOKUP(L215,'[1]Plate Infor'!$B:$F,5,FALSE)*D215</f>
        <v>5940</v>
      </c>
      <c r="T215" s="4">
        <f>IFERROR(VLOOKUP(IF(MID(Q215,3,1)="F","W-UNPL-"&amp;RIGHT(Q215,20),Q215),'[1]Data Pule'!$C:$E,3,FALSE),0)*S215</f>
        <v>776.35799999999995</v>
      </c>
    </row>
    <row r="216" spans="3:20" x14ac:dyDescent="0.35">
      <c r="C216" s="1" t="s">
        <v>191</v>
      </c>
      <c r="D216">
        <v>180</v>
      </c>
      <c r="E216" s="3" t="str">
        <f>MID(C216,5,1)</f>
        <v>W</v>
      </c>
      <c r="F216" s="3"/>
      <c r="G216" s="3"/>
      <c r="H216" s="3"/>
      <c r="I216" s="3"/>
      <c r="J216" s="3"/>
      <c r="K216" s="3"/>
      <c r="L216" s="1" t="str">
        <f>MID(C216,3,17)</f>
        <v>AMWP-145G51X-C7C3</v>
      </c>
      <c r="M216" s="1" t="str">
        <f>VLOOKUP(L216,'[1]Plate Infor'!$B:$C,2,FALSE)</f>
        <v>W-UNPL-YG82PXX-L650-02-7S00</v>
      </c>
      <c r="N216" s="1" t="str">
        <f>VLOOKUP(MID(M216,8,4),'[1]Tipe Plate'!$C:$D,2,FALSE)</f>
        <v>Grid Casting</v>
      </c>
      <c r="O216" s="4">
        <f>VLOOKUP(L216,'[1]Plate Infor'!$B:$D,3,FALSE)*D216</f>
        <v>7560</v>
      </c>
      <c r="P216" s="4">
        <f>IFERROR(VLOOKUP(IF(MID(M216,3,1)="F","W-UNPL-"&amp;RIGHT(M216,20),M216),'[1]Data Pule'!$C:$E,3,FALSE),0)*O216</f>
        <v>1039.4999999999998</v>
      </c>
      <c r="Q216" s="1" t="str">
        <f>VLOOKUP(L216,'[1]Plate Infor'!$B:$E,4,FALSE)</f>
        <v>W-UNPL-YG85NXX-T3A0-02-7S00</v>
      </c>
      <c r="R216" s="1" t="str">
        <f>VLOOKUP(MID(Q216,8,4),'[1]Tipe Plate'!$C:$D,2,FALSE)</f>
        <v>Grid Casting</v>
      </c>
      <c r="S216" s="4">
        <f>VLOOKUP(L216,'[1]Plate Infor'!$B:$F,5,FALSE)*D216</f>
        <v>7020</v>
      </c>
      <c r="T216" s="4">
        <f>IFERROR(VLOOKUP(IF(MID(Q216,3,1)="F","W-UNPL-"&amp;RIGHT(Q216,20),Q216),'[1]Data Pule'!$C:$E,3,FALSE),0)*S216</f>
        <v>917.5139999999999</v>
      </c>
    </row>
    <row r="217" spans="3:20" x14ac:dyDescent="0.35">
      <c r="C217" s="1" t="s">
        <v>192</v>
      </c>
      <c r="D217">
        <v>24</v>
      </c>
      <c r="E217" s="3" t="str">
        <f>MID(C217,5,1)</f>
        <v>W</v>
      </c>
      <c r="F217" s="3"/>
      <c r="G217" s="3"/>
      <c r="H217" s="3"/>
      <c r="I217" s="3"/>
      <c r="J217" s="3"/>
      <c r="K217" s="3"/>
      <c r="L217" s="1" t="str">
        <f>MID(C217,3,17)</f>
        <v>AMWP-190H52X-D7C3</v>
      </c>
      <c r="M217" s="1" t="str">
        <f>VLOOKUP(L217,'[1]Plate Infor'!$B:$C,2,FALSE)</f>
        <v>W-UNPL-YG82PXX-L650-02-7S00</v>
      </c>
      <c r="N217" s="1" t="str">
        <f>VLOOKUP(MID(M217,8,4),'[1]Tipe Plate'!$C:$D,2,FALSE)</f>
        <v>Grid Casting</v>
      </c>
      <c r="O217" s="4">
        <f>VLOOKUP(L217,'[1]Plate Infor'!$B:$D,3,FALSE)*D217</f>
        <v>1368</v>
      </c>
      <c r="P217" s="4">
        <f>IFERROR(VLOOKUP(IF(MID(M217,3,1)="F","W-UNPL-"&amp;RIGHT(M217,20),M217),'[1]Data Pule'!$C:$E,3,FALSE),0)*O217</f>
        <v>188.09999999999997</v>
      </c>
      <c r="Q217" s="1" t="str">
        <f>VLOOKUP(L217,'[1]Plate Infor'!$B:$E,4,FALSE)</f>
        <v>W-UNPL-YG85NXX-T3A0-02-7S00</v>
      </c>
      <c r="R217" s="1" t="str">
        <f>VLOOKUP(MID(Q217,8,4),'[1]Tipe Plate'!$C:$D,2,FALSE)</f>
        <v>Grid Casting</v>
      </c>
      <c r="S217" s="4">
        <f>VLOOKUP(L217,'[1]Plate Infor'!$B:$F,5,FALSE)*D217</f>
        <v>1296</v>
      </c>
      <c r="T217" s="4">
        <f>IFERROR(VLOOKUP(IF(MID(Q217,3,1)="F","W-UNPL-"&amp;RIGHT(Q217,20),Q217),'[1]Data Pule'!$C:$E,3,FALSE),0)*S217</f>
        <v>169.38719999999998</v>
      </c>
    </row>
    <row r="218" spans="3:20" x14ac:dyDescent="0.35">
      <c r="C218" s="1" t="s">
        <v>193</v>
      </c>
      <c r="D218">
        <v>270</v>
      </c>
      <c r="E218" s="3" t="str">
        <f>MID(C218,5,1)</f>
        <v>D</v>
      </c>
      <c r="F218" s="3"/>
      <c r="G218" s="3"/>
      <c r="H218" s="3"/>
      <c r="I218" s="3"/>
      <c r="J218" s="3"/>
      <c r="K218" s="3"/>
      <c r="L218" s="1" t="str">
        <f>MID(C218,3,17)</f>
        <v>ACDP-32B20LX-A7C4</v>
      </c>
      <c r="M218" s="1" t="str">
        <f>VLOOKUP(L218,'[1]Plate Infor'!$B:$C,2,FALSE)</f>
        <v>W-FOPL-CM84APX-L870-02-7S00</v>
      </c>
      <c r="N218" s="1" t="str">
        <f>VLOOKUP(MID(M218,8,4),'[1]Tipe Plate'!$C:$D,2,FALSE)</f>
        <v>Grid Casting</v>
      </c>
      <c r="O218" s="4">
        <f>VLOOKUP(L218,'[1]Plate Infor'!$B:$D,3,FALSE)*D218</f>
        <v>2430</v>
      </c>
      <c r="P218" s="4">
        <f>IFERROR(VLOOKUP(IF(MID(M218,3,1)="F","W-UNPL-"&amp;RIGHT(M218,20),M218),'[1]Data Pule'!$C:$E,3,FALSE),0)*O218</f>
        <v>217.971</v>
      </c>
      <c r="Q218" s="1" t="str">
        <f>VLOOKUP(L218,'[1]Plate Infor'!$B:$E,4,FALSE)</f>
        <v>W-FOPL-CM8786N-T3L0-02-7S00</v>
      </c>
      <c r="R218" s="1" t="str">
        <f>VLOOKUP(MID(Q218,8,4),'[1]Tipe Plate'!$C:$D,2,FALSE)</f>
        <v>Grid Casting</v>
      </c>
      <c r="S218" s="4">
        <f>VLOOKUP(L218,'[1]Plate Infor'!$B:$F,5,FALSE)*D218</f>
        <v>3240</v>
      </c>
      <c r="T218" s="4">
        <f>IFERROR(VLOOKUP(IF(MID(Q218,3,1)="F","W-UNPL-"&amp;RIGHT(Q218,20),Q218),'[1]Data Pule'!$C:$E,3,FALSE),0)*S218</f>
        <v>305.53200000000004</v>
      </c>
    </row>
    <row r="219" spans="3:20" x14ac:dyDescent="0.35">
      <c r="C219" s="1" t="s">
        <v>194</v>
      </c>
      <c r="D219">
        <v>216</v>
      </c>
      <c r="E219" s="3" t="str">
        <f>MID(C219,5,1)</f>
        <v>D</v>
      </c>
      <c r="F219" s="3"/>
      <c r="G219" s="3"/>
      <c r="H219" s="3"/>
      <c r="I219" s="3"/>
      <c r="J219" s="3"/>
      <c r="K219" s="3"/>
      <c r="L219" s="1" t="str">
        <f>MID(C219,3,17)</f>
        <v>ACDP-32C24LX-A9C4</v>
      </c>
      <c r="M219" s="1" t="str">
        <f>VLOOKUP(L219,'[1]Plate Infor'!$B:$C,2,FALSE)</f>
        <v>W-FOPL-CM84APX-L870-02-7S00</v>
      </c>
      <c r="N219" s="1" t="str">
        <f>VLOOKUP(MID(M219,8,4),'[1]Tipe Plate'!$C:$D,2,FALSE)</f>
        <v>Grid Casting</v>
      </c>
      <c r="O219" s="4">
        <f>VLOOKUP(L219,'[1]Plate Infor'!$B:$D,3,FALSE)*D219</f>
        <v>2592</v>
      </c>
      <c r="P219" s="4">
        <f>IFERROR(VLOOKUP(IF(MID(M219,3,1)="F","W-UNPL-"&amp;RIGHT(M219,20),M219),'[1]Data Pule'!$C:$E,3,FALSE),0)*O219</f>
        <v>232.50239999999999</v>
      </c>
      <c r="Q219" s="1" t="str">
        <f>VLOOKUP(L219,'[1]Plate Infor'!$B:$E,4,FALSE)</f>
        <v>W-FOPL-CM8786N-T3L0-02-7S00</v>
      </c>
      <c r="R219" s="1" t="str">
        <f>VLOOKUP(MID(Q219,8,4),'[1]Tipe Plate'!$C:$D,2,FALSE)</f>
        <v>Grid Casting</v>
      </c>
      <c r="S219" s="4">
        <f>VLOOKUP(L219,'[1]Plate Infor'!$B:$F,5,FALSE)*D219</f>
        <v>3240</v>
      </c>
      <c r="T219" s="4">
        <f>IFERROR(VLOOKUP(IF(MID(Q219,3,1)="F","W-UNPL-"&amp;RIGHT(Q219,20),Q219),'[1]Data Pule'!$C:$E,3,FALSE),0)*S219</f>
        <v>305.53200000000004</v>
      </c>
    </row>
    <row r="220" spans="3:20" x14ac:dyDescent="0.35">
      <c r="C220" s="1" t="s">
        <v>195</v>
      </c>
      <c r="D220">
        <v>144</v>
      </c>
      <c r="E220" s="3" t="str">
        <f>MID(C220,5,1)</f>
        <v>D</v>
      </c>
      <c r="F220" s="3"/>
      <c r="G220" s="3"/>
      <c r="H220" s="3"/>
      <c r="I220" s="3"/>
      <c r="J220" s="3"/>
      <c r="K220" s="3"/>
      <c r="L220" s="1" t="str">
        <f>MID(C220,3,17)</f>
        <v>ACDP-55D26LX-A9C4</v>
      </c>
      <c r="M220" s="1" t="str">
        <f>VLOOKUP(L220,'[1]Plate Infor'!$B:$C,2,FALSE)</f>
        <v>W-FOPL-CG80PXX-L870-02-7S00</v>
      </c>
      <c r="N220" s="1" t="str">
        <f>VLOOKUP(MID(M220,8,4),'[1]Tipe Plate'!$C:$D,2,FALSE)</f>
        <v>Grid Casting</v>
      </c>
      <c r="O220" s="4">
        <f>VLOOKUP(L220,'[1]Plate Infor'!$B:$D,3,FALSE)*D220</f>
        <v>1728</v>
      </c>
      <c r="P220" s="4">
        <f>IFERROR(VLOOKUP(IF(MID(M220,3,1)="F","W-UNPL-"&amp;RIGHT(M220,20),M220),'[1]Data Pule'!$C:$E,3,FALSE),0)*O220</f>
        <v>261.10079999999999</v>
      </c>
      <c r="Q220" s="1" t="str">
        <f>VLOOKUP(L220,'[1]Plate Infor'!$B:$E,4,FALSE)</f>
        <v>W-FOPL-CG87NXX-T3L0-02-7S00</v>
      </c>
      <c r="R220" s="1" t="str">
        <f>VLOOKUP(MID(Q220,8,4),'[1]Tipe Plate'!$C:$D,2,FALSE)</f>
        <v>Grid Casting</v>
      </c>
      <c r="S220" s="4">
        <f>VLOOKUP(L220,'[1]Plate Infor'!$B:$F,5,FALSE)*D220</f>
        <v>2160</v>
      </c>
      <c r="T220" s="4">
        <f>IFERROR(VLOOKUP(IF(MID(Q220,3,1)="F","W-UNPL-"&amp;RIGHT(Q220,20),Q220),'[1]Data Pule'!$C:$E,3,FALSE),0)*S220</f>
        <v>248.4</v>
      </c>
    </row>
    <row r="221" spans="3:20" x14ac:dyDescent="0.35">
      <c r="C221" s="1" t="s">
        <v>196</v>
      </c>
      <c r="D221">
        <v>315</v>
      </c>
      <c r="E221" s="3" t="str">
        <f>MID(C221,5,1)</f>
        <v>D</v>
      </c>
      <c r="F221" s="3"/>
      <c r="G221" s="3"/>
      <c r="H221" s="3"/>
      <c r="I221" s="3"/>
      <c r="J221" s="3"/>
      <c r="K221" s="3"/>
      <c r="L221" s="1" t="str">
        <f>MID(C221,3,17)</f>
        <v>ACDP-75D31LX-B3C4</v>
      </c>
      <c r="M221" s="1" t="str">
        <f>VLOOKUP(L221,'[1]Plate Infor'!$B:$C,2,FALSE)</f>
        <v>W-FOPL-CG82PXX-L870-02-7S00</v>
      </c>
      <c r="N221" s="1" t="str">
        <f>VLOOKUP(MID(M221,8,4),'[1]Tipe Plate'!$C:$D,2,FALSE)</f>
        <v>Grid Casting</v>
      </c>
      <c r="O221" s="4">
        <f>VLOOKUP(L221,'[1]Plate Infor'!$B:$D,3,FALSE)*D221</f>
        <v>5670</v>
      </c>
      <c r="P221" s="4">
        <f>IFERROR(VLOOKUP(IF(MID(M221,3,1)="F","W-UNPL-"&amp;RIGHT(M221,20),M221),'[1]Data Pule'!$C:$E,3,FALSE),0)*O221</f>
        <v>728.59499999999991</v>
      </c>
      <c r="Q221" s="1" t="str">
        <f>VLOOKUP(L221,'[1]Plate Infor'!$B:$E,4,FALSE)</f>
        <v>W-FOPL-CG87NXX-T3L0-02-7S00</v>
      </c>
      <c r="R221" s="1" t="str">
        <f>VLOOKUP(MID(Q221,8,4),'[1]Tipe Plate'!$C:$D,2,FALSE)</f>
        <v>Grid Casting</v>
      </c>
      <c r="S221" s="4">
        <f>VLOOKUP(L221,'[1]Plate Infor'!$B:$F,5,FALSE)*D221</f>
        <v>6615</v>
      </c>
      <c r="T221" s="4">
        <f>IFERROR(VLOOKUP(IF(MID(Q221,3,1)="F","W-UNPL-"&amp;RIGHT(Q221,20),Q221),'[1]Data Pule'!$C:$E,3,FALSE),0)*S221</f>
        <v>760.72500000000002</v>
      </c>
    </row>
    <row r="222" spans="3:20" x14ac:dyDescent="0.35">
      <c r="C222" s="1" t="s">
        <v>197</v>
      </c>
      <c r="D222">
        <v>126</v>
      </c>
      <c r="E222" s="3" t="str">
        <f>MID(C222,5,1)</f>
        <v>D</v>
      </c>
      <c r="F222" s="3"/>
      <c r="G222" s="3"/>
      <c r="H222" s="3"/>
      <c r="I222" s="3"/>
      <c r="J222" s="3"/>
      <c r="K222" s="3"/>
      <c r="L222" s="1" t="str">
        <f>MID(C222,3,17)</f>
        <v>ACDP-95E41LX-B5C4</v>
      </c>
      <c r="M222" s="1" t="str">
        <f>VLOOKUP(L222,'[1]Plate Infor'!$B:$C,2,FALSE)</f>
        <v>W-FOPL-CG80PXX-L870-02-7S00</v>
      </c>
      <c r="N222" s="1" t="str">
        <f>VLOOKUP(MID(M222,8,4),'[1]Tipe Plate'!$C:$D,2,FALSE)</f>
        <v>Grid Casting</v>
      </c>
      <c r="O222" s="4">
        <f>VLOOKUP(L222,'[1]Plate Infor'!$B:$D,3,FALSE)*D222</f>
        <v>2646</v>
      </c>
      <c r="P222" s="4">
        <f>IFERROR(VLOOKUP(IF(MID(M222,3,1)="F","W-UNPL-"&amp;RIGHT(M222,20),M222),'[1]Data Pule'!$C:$E,3,FALSE),0)*O222</f>
        <v>399.81059999999997</v>
      </c>
      <c r="Q222" s="1" t="str">
        <f>VLOOKUP(L222,'[1]Plate Infor'!$B:$E,4,FALSE)</f>
        <v>W-FOPL-CG87NXX-T3L0-02-7S00</v>
      </c>
      <c r="R222" s="1" t="str">
        <f>VLOOKUP(MID(Q222,8,4),'[1]Tipe Plate'!$C:$D,2,FALSE)</f>
        <v>Grid Casting</v>
      </c>
      <c r="S222" s="4">
        <f>VLOOKUP(L222,'[1]Plate Infor'!$B:$F,5,FALSE)*D222</f>
        <v>3024</v>
      </c>
      <c r="T222" s="4">
        <f>IFERROR(VLOOKUP(IF(MID(Q222,3,1)="F","W-UNPL-"&amp;RIGHT(Q222,20),Q222),'[1]Data Pule'!$C:$E,3,FALSE),0)*S222</f>
        <v>347.76</v>
      </c>
    </row>
    <row r="223" spans="3:20" x14ac:dyDescent="0.35">
      <c r="C223" s="1" t="s">
        <v>198</v>
      </c>
      <c r="D223">
        <v>216</v>
      </c>
      <c r="E223" s="3" t="str">
        <f>MID(C223,5,1)</f>
        <v>D</v>
      </c>
      <c r="F223" s="3"/>
      <c r="G223" s="3"/>
      <c r="H223" s="3"/>
      <c r="I223" s="3"/>
      <c r="J223" s="3"/>
      <c r="K223" s="3"/>
      <c r="L223" s="1" t="str">
        <f>MID(C223,3,17)</f>
        <v>ACDP-115F51X-B9C4</v>
      </c>
      <c r="M223" s="1" t="str">
        <f>VLOOKUP(L223,'[1]Plate Infor'!$B:$C,2,FALSE)</f>
        <v>W-FOPL-CG82PXX-L870-02-7S00</v>
      </c>
      <c r="N223" s="1" t="str">
        <f>VLOOKUP(MID(M223,8,4),'[1]Tipe Plate'!$C:$D,2,FALSE)</f>
        <v>Grid Casting</v>
      </c>
      <c r="O223" s="4">
        <f>VLOOKUP(L223,'[1]Plate Infor'!$B:$D,3,FALSE)*D223</f>
        <v>5832</v>
      </c>
      <c r="P223" s="4">
        <f>IFERROR(VLOOKUP(IF(MID(M223,3,1)="F","W-UNPL-"&amp;RIGHT(M223,20),M223),'[1]Data Pule'!$C:$E,3,FALSE),0)*O223</f>
        <v>749.41199999999981</v>
      </c>
      <c r="Q223" s="1" t="str">
        <f>VLOOKUP(L223,'[1]Plate Infor'!$B:$E,4,FALSE)</f>
        <v>W-FOPL-CG87NXX-T3L0-02-7S00</v>
      </c>
      <c r="R223" s="1" t="str">
        <f>VLOOKUP(MID(Q223,8,4),'[1]Tipe Plate'!$C:$D,2,FALSE)</f>
        <v>Grid Casting</v>
      </c>
      <c r="S223" s="4">
        <f>VLOOKUP(L223,'[1]Plate Infor'!$B:$F,5,FALSE)*D223</f>
        <v>6480</v>
      </c>
      <c r="T223" s="4">
        <f>IFERROR(VLOOKUP(IF(MID(Q223,3,1)="F","W-UNPL-"&amp;RIGHT(Q223,20),Q223),'[1]Data Pule'!$C:$E,3,FALSE),0)*S223</f>
        <v>745.2</v>
      </c>
    </row>
    <row r="224" spans="3:20" x14ac:dyDescent="0.35">
      <c r="C224" s="1" t="s">
        <v>199</v>
      </c>
      <c r="D224">
        <v>180</v>
      </c>
      <c r="E224" s="3" t="str">
        <f>MID(C224,5,1)</f>
        <v>D</v>
      </c>
      <c r="F224" s="3"/>
      <c r="G224" s="3"/>
      <c r="H224" s="3"/>
      <c r="I224" s="3"/>
      <c r="J224" s="3"/>
      <c r="K224" s="3"/>
      <c r="L224" s="1" t="str">
        <f>MID(C224,3,17)</f>
        <v>ACDP-145G51X-C3C5</v>
      </c>
      <c r="M224" s="1" t="str">
        <f>VLOOKUP(L224,'[1]Plate Infor'!$B:$C,2,FALSE)</f>
        <v>W-FOPL-CG82PXX-L870-02-7S00</v>
      </c>
      <c r="N224" s="1" t="str">
        <f>VLOOKUP(MID(M224,8,4),'[1]Tipe Plate'!$C:$D,2,FALSE)</f>
        <v>Grid Casting</v>
      </c>
      <c r="O224" s="4">
        <f>VLOOKUP(L224,'[1]Plate Infor'!$B:$D,3,FALSE)*D224</f>
        <v>5940</v>
      </c>
      <c r="P224" s="4">
        <f>IFERROR(VLOOKUP(IF(MID(M224,3,1)="F","W-UNPL-"&amp;RIGHT(M224,20),M224),'[1]Data Pule'!$C:$E,3,FALSE),0)*O224</f>
        <v>763.28999999999985</v>
      </c>
      <c r="Q224" s="1" t="str">
        <f>VLOOKUP(L224,'[1]Plate Infor'!$B:$E,4,FALSE)</f>
        <v>W-FOPL-CG87NXX-T3L0-02-7S00</v>
      </c>
      <c r="R224" s="1" t="str">
        <f>VLOOKUP(MID(Q224,8,4),'[1]Tipe Plate'!$C:$D,2,FALSE)</f>
        <v>Grid Casting</v>
      </c>
      <c r="S224" s="4">
        <f>VLOOKUP(L224,'[1]Plate Infor'!$B:$F,5,FALSE)*D224</f>
        <v>6480</v>
      </c>
      <c r="T224" s="4">
        <f>IFERROR(VLOOKUP(IF(MID(Q224,3,1)="F","W-UNPL-"&amp;RIGHT(Q224,20),Q224),'[1]Data Pule'!$C:$E,3,FALSE),0)*S224</f>
        <v>745.2</v>
      </c>
    </row>
    <row r="225" spans="3:20" x14ac:dyDescent="0.35">
      <c r="C225" s="1" t="s">
        <v>200</v>
      </c>
      <c r="D225">
        <v>96</v>
      </c>
      <c r="E225" s="3" t="str">
        <f>MID(C225,5,1)</f>
        <v>D</v>
      </c>
      <c r="F225" s="3"/>
      <c r="G225" s="3"/>
      <c r="H225" s="3"/>
      <c r="I225" s="3"/>
      <c r="J225" s="3"/>
      <c r="K225" s="3"/>
      <c r="L225" s="1" t="str">
        <f>MID(C225,3,17)</f>
        <v>ACDP-190H52X-C9C7</v>
      </c>
      <c r="M225" s="1" t="str">
        <f>VLOOKUP(L225,'[1]Plate Infor'!$B:$C,2,FALSE)</f>
        <v>W-FOPL-CG82PXX-L870-02-7S00</v>
      </c>
      <c r="N225" s="1" t="str">
        <f>VLOOKUP(MID(M225,8,4),'[1]Tipe Plate'!$C:$D,2,FALSE)</f>
        <v>Grid Casting</v>
      </c>
      <c r="O225" s="4">
        <f>VLOOKUP(L225,'[1]Plate Infor'!$B:$D,3,FALSE)*D225</f>
        <v>4032</v>
      </c>
      <c r="P225" s="4">
        <f>IFERROR(VLOOKUP(IF(MID(M225,3,1)="F","W-UNPL-"&amp;RIGHT(M225,20),M225),'[1]Data Pule'!$C:$E,3,FALSE),0)*O225</f>
        <v>518.11199999999985</v>
      </c>
      <c r="Q225" s="1" t="str">
        <f>VLOOKUP(L225,'[1]Plate Infor'!$B:$E,4,FALSE)</f>
        <v>W-FOPL-CG87NXX-T3L0-02-7S00</v>
      </c>
      <c r="R225" s="1" t="str">
        <f>VLOOKUP(MID(Q225,8,4),'[1]Tipe Plate'!$C:$D,2,FALSE)</f>
        <v>Grid Casting</v>
      </c>
      <c r="S225" s="4">
        <f>VLOOKUP(L225,'[1]Plate Infor'!$B:$F,5,FALSE)*D225</f>
        <v>4320</v>
      </c>
      <c r="T225" s="4">
        <f>IFERROR(VLOOKUP(IF(MID(Q225,3,1)="F","W-UNPL-"&amp;RIGHT(Q225,20),Q225),'[1]Data Pule'!$C:$E,3,FALSE),0)*S225</f>
        <v>496.8</v>
      </c>
    </row>
    <row r="226" spans="3:20" x14ac:dyDescent="0.35">
      <c r="C226" s="1" t="s">
        <v>201</v>
      </c>
      <c r="D226">
        <v>2208</v>
      </c>
      <c r="E226" s="3" t="str">
        <f>MID(C226,5,1)</f>
        <v>D</v>
      </c>
      <c r="F226" s="3"/>
      <c r="G226" s="3"/>
      <c r="H226" s="3"/>
      <c r="I226" s="3"/>
      <c r="J226" s="3"/>
      <c r="K226" s="3"/>
      <c r="L226" s="1" t="str">
        <f>MID(C226,3,17)</f>
        <v>ACDP-48D26RX-A9C3</v>
      </c>
      <c r="M226" s="1" t="str">
        <f>VLOOKUP(L226,'[1]Plate Infor'!$B:$C,2,FALSE)</f>
        <v>W-FOPL-CG80PXX-L870-02-7S00</v>
      </c>
      <c r="N226" s="1" t="str">
        <f>VLOOKUP(MID(M226,8,4),'[1]Tipe Plate'!$C:$D,2,FALSE)</f>
        <v>Grid Casting</v>
      </c>
      <c r="O226" s="4">
        <f>VLOOKUP(L226,'[1]Plate Infor'!$B:$D,3,FALSE)*D226</f>
        <v>26496</v>
      </c>
      <c r="P226" s="4">
        <f>IFERROR(VLOOKUP(IF(MID(M226,3,1)="F","W-UNPL-"&amp;RIGHT(M226,20),M226),'[1]Data Pule'!$C:$E,3,FALSE),0)*O226</f>
        <v>4003.5455999999995</v>
      </c>
      <c r="Q226" s="1" t="str">
        <f>VLOOKUP(L226,'[1]Plate Infor'!$B:$E,4,FALSE)</f>
        <v>W-FOPL-CG87NXX-T3L0-02-7S00</v>
      </c>
      <c r="R226" s="1" t="str">
        <f>VLOOKUP(MID(Q226,8,4),'[1]Tipe Plate'!$C:$D,2,FALSE)</f>
        <v>Grid Casting</v>
      </c>
      <c r="S226" s="4">
        <f>VLOOKUP(L226,'[1]Plate Infor'!$B:$F,5,FALSE)*D226</f>
        <v>33120</v>
      </c>
      <c r="T226" s="4">
        <f>IFERROR(VLOOKUP(IF(MID(Q226,3,1)="F","W-UNPL-"&amp;RIGHT(Q226,20),Q226),'[1]Data Pule'!$C:$E,3,FALSE),0)*S226</f>
        <v>3808.8</v>
      </c>
    </row>
    <row r="227" spans="3:20" x14ac:dyDescent="0.35">
      <c r="C227" s="1" t="s">
        <v>202</v>
      </c>
      <c r="D227">
        <v>192</v>
      </c>
      <c r="E227" s="3" t="str">
        <f>MID(C227,5,1)</f>
        <v>D</v>
      </c>
      <c r="F227" s="3"/>
      <c r="G227" s="3"/>
      <c r="H227" s="3"/>
      <c r="I227" s="3"/>
      <c r="J227" s="3"/>
      <c r="K227" s="3"/>
      <c r="L227" s="1" t="str">
        <f>MID(C227,3,17)</f>
        <v>ACDP-48D26RX-A9C3</v>
      </c>
      <c r="M227" s="1" t="str">
        <f>VLOOKUP(L227,'[1]Plate Infor'!$B:$C,2,FALSE)</f>
        <v>W-FOPL-CG80PXX-L870-02-7S00</v>
      </c>
      <c r="N227" s="1" t="str">
        <f>VLOOKUP(MID(M227,8,4),'[1]Tipe Plate'!$C:$D,2,FALSE)</f>
        <v>Grid Casting</v>
      </c>
      <c r="O227" s="4">
        <f>VLOOKUP(L227,'[1]Plate Infor'!$B:$D,3,FALSE)*D227</f>
        <v>2304</v>
      </c>
      <c r="P227" s="4">
        <f>IFERROR(VLOOKUP(IF(MID(M227,3,1)="F","W-UNPL-"&amp;RIGHT(M227,20),M227),'[1]Data Pule'!$C:$E,3,FALSE),0)*O227</f>
        <v>348.13439999999997</v>
      </c>
      <c r="Q227" s="1" t="str">
        <f>VLOOKUP(L227,'[1]Plate Infor'!$B:$E,4,FALSE)</f>
        <v>W-FOPL-CG87NXX-T3L0-02-7S00</v>
      </c>
      <c r="R227" s="1" t="str">
        <f>VLOOKUP(MID(Q227,8,4),'[1]Tipe Plate'!$C:$D,2,FALSE)</f>
        <v>Grid Casting</v>
      </c>
      <c r="S227" s="4">
        <f>VLOOKUP(L227,'[1]Plate Infor'!$B:$F,5,FALSE)*D227</f>
        <v>2880</v>
      </c>
      <c r="T227" s="4">
        <f>IFERROR(VLOOKUP(IF(MID(Q227,3,1)="F","W-UNPL-"&amp;RIGHT(Q227,20),Q227),'[1]Data Pule'!$C:$E,3,FALSE),0)*S227</f>
        <v>331.2</v>
      </c>
    </row>
    <row r="228" spans="3:20" x14ac:dyDescent="0.35">
      <c r="C228" s="1" t="s">
        <v>203</v>
      </c>
      <c r="D228">
        <v>135</v>
      </c>
      <c r="E228" s="3" t="str">
        <f>MID(C228,5,1)</f>
        <v>U</v>
      </c>
      <c r="F228" s="3"/>
      <c r="G228" s="3"/>
      <c r="H228" s="3"/>
      <c r="I228" s="3"/>
      <c r="J228" s="3"/>
      <c r="K228" s="3"/>
      <c r="L228" s="1" t="str">
        <f>MID(C228,3,17)</f>
        <v>ACUP-36B20LX-A7C5</v>
      </c>
      <c r="M228" s="1" t="str">
        <f>VLOOKUP(L228,'[1]Plate Infor'!$B:$C,2,FALSE)</f>
        <v>W-UNPL-CM84APX-L870-02-7S00</v>
      </c>
      <c r="N228" s="1" t="str">
        <f>VLOOKUP(MID(M228,8,4),'[1]Tipe Plate'!$C:$D,2,FALSE)</f>
        <v>Grid Casting</v>
      </c>
      <c r="O228" s="4">
        <f>VLOOKUP(L228,'[1]Plate Infor'!$B:$D,3,FALSE)*D228</f>
        <v>1215</v>
      </c>
      <c r="P228" s="4">
        <f>IFERROR(VLOOKUP(IF(MID(M228,3,1)="F","W-UNPL-"&amp;RIGHT(M228,20),M228),'[1]Data Pule'!$C:$E,3,FALSE),0)*O228</f>
        <v>108.9855</v>
      </c>
      <c r="Q228" s="1" t="str">
        <f>VLOOKUP(L228,'[1]Plate Infor'!$B:$E,4,FALSE)</f>
        <v>W-UNPL-CM8786N-T3L0-02-7S00</v>
      </c>
      <c r="R228" s="1" t="str">
        <f>VLOOKUP(MID(Q228,8,4),'[1]Tipe Plate'!$C:$D,2,FALSE)</f>
        <v>Grid Casting</v>
      </c>
      <c r="S228" s="4">
        <f>VLOOKUP(L228,'[1]Plate Infor'!$B:$F,5,FALSE)*D228</f>
        <v>1620</v>
      </c>
      <c r="T228" s="4">
        <f>IFERROR(VLOOKUP(IF(MID(Q228,3,1)="F","W-UNPL-"&amp;RIGHT(Q228,20),Q228),'[1]Data Pule'!$C:$E,3,FALSE),0)*S228</f>
        <v>152.76600000000002</v>
      </c>
    </row>
    <row r="229" spans="3:20" x14ac:dyDescent="0.35">
      <c r="C229" s="1" t="s">
        <v>204</v>
      </c>
      <c r="D229">
        <v>108</v>
      </c>
      <c r="E229" s="3" t="str">
        <f>MID(C229,5,1)</f>
        <v>U</v>
      </c>
      <c r="F229" s="3"/>
      <c r="G229" s="3"/>
      <c r="H229" s="3"/>
      <c r="I229" s="3"/>
      <c r="J229" s="3"/>
      <c r="K229" s="3"/>
      <c r="L229" s="1" t="str">
        <f>MID(C229,3,17)</f>
        <v>ACUP-46B24RS-A9C5</v>
      </c>
      <c r="M229" s="1" t="str">
        <f>VLOOKUP(L229,'[1]Plate Infor'!$B:$C,2,FALSE)</f>
        <v>W-UNPL-CM84APX-L870-02-7S00</v>
      </c>
      <c r="N229" s="1" t="str">
        <f>VLOOKUP(MID(M229,8,4),'[1]Tipe Plate'!$C:$D,2,FALSE)</f>
        <v>Grid Casting</v>
      </c>
      <c r="O229" s="4">
        <f>VLOOKUP(L229,'[1]Plate Infor'!$B:$D,3,FALSE)*D229</f>
        <v>1296</v>
      </c>
      <c r="P229" s="4">
        <f>IFERROR(VLOOKUP(IF(MID(M229,3,1)="F","W-UNPL-"&amp;RIGHT(M229,20),M229),'[1]Data Pule'!$C:$E,3,FALSE),0)*O229</f>
        <v>116.2512</v>
      </c>
      <c r="Q229" s="1" t="str">
        <f>VLOOKUP(L229,'[1]Plate Infor'!$B:$E,4,FALSE)</f>
        <v>W-UNPL-CM8786N-T3L0-02-7S00</v>
      </c>
      <c r="R229" s="1" t="str">
        <f>VLOOKUP(MID(Q229,8,4),'[1]Tipe Plate'!$C:$D,2,FALSE)</f>
        <v>Grid Casting</v>
      </c>
      <c r="S229" s="4">
        <f>VLOOKUP(L229,'[1]Plate Infor'!$B:$F,5,FALSE)*D229</f>
        <v>1620</v>
      </c>
      <c r="T229" s="4">
        <f>IFERROR(VLOOKUP(IF(MID(Q229,3,1)="F","W-UNPL-"&amp;RIGHT(Q229,20),Q229),'[1]Data Pule'!$C:$E,3,FALSE),0)*S229</f>
        <v>152.76600000000002</v>
      </c>
    </row>
    <row r="230" spans="3:20" x14ac:dyDescent="0.35">
      <c r="C230" s="1" t="s">
        <v>205</v>
      </c>
      <c r="D230">
        <v>72</v>
      </c>
      <c r="E230" s="3" t="str">
        <f>MID(C230,5,1)</f>
        <v>U</v>
      </c>
      <c r="F230" s="3"/>
      <c r="G230" s="3"/>
      <c r="H230" s="3"/>
      <c r="I230" s="3"/>
      <c r="J230" s="3"/>
      <c r="K230" s="3"/>
      <c r="L230" s="1" t="str">
        <f>MID(C230,3,17)</f>
        <v>ACUP-65D26RX-B1C4</v>
      </c>
      <c r="M230" s="1" t="str">
        <f>VLOOKUP(L230,'[1]Plate Infor'!$B:$C,2,FALSE)</f>
        <v>W-UNPL-CG82PXX-L870-02-7S00</v>
      </c>
      <c r="N230" s="1" t="str">
        <f>VLOOKUP(MID(M230,8,4),'[1]Tipe Plate'!$C:$D,2,FALSE)</f>
        <v>Grid Casting</v>
      </c>
      <c r="O230" s="4">
        <f>VLOOKUP(L230,'[1]Plate Infor'!$B:$D,3,FALSE)*D230</f>
        <v>1080</v>
      </c>
      <c r="P230" s="4">
        <f>IFERROR(VLOOKUP(IF(MID(M230,3,1)="F","W-UNPL-"&amp;RIGHT(M230,20),M230),'[1]Data Pule'!$C:$E,3,FALSE),0)*O230</f>
        <v>138.77999999999997</v>
      </c>
      <c r="Q230" s="1" t="str">
        <f>VLOOKUP(L230,'[1]Plate Infor'!$B:$E,4,FALSE)</f>
        <v>W-UNPL-CG87NXX-T3L0-02-7S00</v>
      </c>
      <c r="R230" s="1" t="str">
        <f>VLOOKUP(MID(Q230,8,4),'[1]Tipe Plate'!$C:$D,2,FALSE)</f>
        <v>Grid Casting</v>
      </c>
      <c r="S230" s="4">
        <f>VLOOKUP(L230,'[1]Plate Infor'!$B:$F,5,FALSE)*D230</f>
        <v>1296</v>
      </c>
      <c r="T230" s="4">
        <f>IFERROR(VLOOKUP(IF(MID(Q230,3,1)="F","W-UNPL-"&amp;RIGHT(Q230,20),Q230),'[1]Data Pule'!$C:$E,3,FALSE),0)*S230</f>
        <v>149.04000000000002</v>
      </c>
    </row>
    <row r="231" spans="3:20" x14ac:dyDescent="0.35">
      <c r="C231" s="1" t="s">
        <v>206</v>
      </c>
      <c r="D231">
        <v>168</v>
      </c>
      <c r="E231" s="3" t="str">
        <f>MID(C231,5,1)</f>
        <v>U</v>
      </c>
      <c r="F231" s="3"/>
      <c r="G231" s="3"/>
      <c r="H231" s="3"/>
      <c r="I231" s="3"/>
      <c r="J231" s="3"/>
      <c r="K231" s="3"/>
      <c r="L231" s="1" t="str">
        <f>MID(C231,3,17)</f>
        <v>ACUP-95D31RX-B3C5</v>
      </c>
      <c r="M231" s="1" t="str">
        <f>VLOOKUP(L231,'[1]Plate Infor'!$B:$C,2,FALSE)</f>
        <v>W-UNPL-CG82PXX-L870-02-7S00</v>
      </c>
      <c r="N231" s="1" t="str">
        <f>VLOOKUP(MID(M231,8,4),'[1]Tipe Plate'!$C:$D,2,FALSE)</f>
        <v>Grid Casting</v>
      </c>
      <c r="O231" s="4">
        <f>VLOOKUP(L231,'[1]Plate Infor'!$B:$D,3,FALSE)*D231</f>
        <v>3024</v>
      </c>
      <c r="P231" s="4">
        <f>IFERROR(VLOOKUP(IF(MID(M231,3,1)="F","W-UNPL-"&amp;RIGHT(M231,20),M231),'[1]Data Pule'!$C:$E,3,FALSE),0)*O231</f>
        <v>388.58399999999995</v>
      </c>
      <c r="Q231" s="1" t="str">
        <f>VLOOKUP(L231,'[1]Plate Infor'!$B:$E,4,FALSE)</f>
        <v>W-UNPL-CG87NXX-T3L0-02-7S00</v>
      </c>
      <c r="R231" s="1" t="str">
        <f>VLOOKUP(MID(Q231,8,4),'[1]Tipe Plate'!$C:$D,2,FALSE)</f>
        <v>Grid Casting</v>
      </c>
      <c r="S231" s="4">
        <f>VLOOKUP(L231,'[1]Plate Infor'!$B:$F,5,FALSE)*D231</f>
        <v>3528</v>
      </c>
      <c r="T231" s="4">
        <f>IFERROR(VLOOKUP(IF(MID(Q231,3,1)="F","W-UNPL-"&amp;RIGHT(Q231,20),Q231),'[1]Data Pule'!$C:$E,3,FALSE),0)*S231</f>
        <v>405.72</v>
      </c>
    </row>
    <row r="232" spans="3:20" x14ac:dyDescent="0.35">
      <c r="C232" s="1" t="s">
        <v>207</v>
      </c>
      <c r="D232">
        <v>84</v>
      </c>
      <c r="E232" s="3" t="str">
        <f>MID(C232,5,1)</f>
        <v>U</v>
      </c>
      <c r="F232" s="3"/>
      <c r="G232" s="3"/>
      <c r="H232" s="3"/>
      <c r="I232" s="3"/>
      <c r="J232" s="3"/>
      <c r="K232" s="3"/>
      <c r="L232" s="1" t="str">
        <f>MID(C232,3,17)</f>
        <v>ACUP-95D31LX-B3C5</v>
      </c>
      <c r="M232" s="1" t="str">
        <f>VLOOKUP(L232,'[1]Plate Infor'!$B:$C,2,FALSE)</f>
        <v>W-UNPL-CG82PXX-L870-02-7S00</v>
      </c>
      <c r="N232" s="1" t="str">
        <f>VLOOKUP(MID(M232,8,4),'[1]Tipe Plate'!$C:$D,2,FALSE)</f>
        <v>Grid Casting</v>
      </c>
      <c r="O232" s="4">
        <f>VLOOKUP(L232,'[1]Plate Infor'!$B:$D,3,FALSE)*D232</f>
        <v>1512</v>
      </c>
      <c r="P232" s="4">
        <f>IFERROR(VLOOKUP(IF(MID(M232,3,1)="F","W-UNPL-"&amp;RIGHT(M232,20),M232),'[1]Data Pule'!$C:$E,3,FALSE),0)*O232</f>
        <v>194.29199999999997</v>
      </c>
      <c r="Q232" s="1" t="str">
        <f>VLOOKUP(L232,'[1]Plate Infor'!$B:$E,4,FALSE)</f>
        <v>W-UNPL-CG87NXX-T3L0-02-7S00</v>
      </c>
      <c r="R232" s="1" t="str">
        <f>VLOOKUP(MID(Q232,8,4),'[1]Tipe Plate'!$C:$D,2,FALSE)</f>
        <v>Grid Casting</v>
      </c>
      <c r="S232" s="4">
        <f>VLOOKUP(L232,'[1]Plate Infor'!$B:$F,5,FALSE)*D232</f>
        <v>1764</v>
      </c>
      <c r="T232" s="4">
        <f>IFERROR(VLOOKUP(IF(MID(Q232,3,1)="F","W-UNPL-"&amp;RIGHT(Q232,20),Q232),'[1]Data Pule'!$C:$E,3,FALSE),0)*S232</f>
        <v>202.86</v>
      </c>
    </row>
    <row r="233" spans="3:20" x14ac:dyDescent="0.35">
      <c r="C233" s="1" t="s">
        <v>208</v>
      </c>
      <c r="D233">
        <v>64</v>
      </c>
      <c r="E233" s="3" t="str">
        <f>MID(C233,5,1)</f>
        <v>U</v>
      </c>
      <c r="F233" s="3"/>
      <c r="G233" s="3"/>
      <c r="H233" s="3"/>
      <c r="I233" s="3"/>
      <c r="J233" s="3"/>
      <c r="K233" s="3"/>
      <c r="L233" s="1" t="str">
        <f>MID(C233,3,17)</f>
        <v>ACUP-95E41RX-B5C4</v>
      </c>
      <c r="M233" s="1" t="str">
        <f>VLOOKUP(L233,'[1]Plate Infor'!$B:$C,2,FALSE)</f>
        <v>W-UNPL-CG80PXX-L870-02-7S00</v>
      </c>
      <c r="N233" s="1" t="str">
        <f>VLOOKUP(MID(M233,8,4),'[1]Tipe Plate'!$C:$D,2,FALSE)</f>
        <v>Grid Casting</v>
      </c>
      <c r="O233" s="4">
        <f>VLOOKUP(L233,'[1]Plate Infor'!$B:$D,3,FALSE)*D233</f>
        <v>1344</v>
      </c>
      <c r="P233" s="4">
        <f>IFERROR(VLOOKUP(IF(MID(M233,3,1)="F","W-UNPL-"&amp;RIGHT(M233,20),M233),'[1]Data Pule'!$C:$E,3,FALSE),0)*O233</f>
        <v>203.07839999999999</v>
      </c>
      <c r="Q233" s="1" t="str">
        <f>VLOOKUP(L233,'[1]Plate Infor'!$B:$E,4,FALSE)</f>
        <v>W-UNPL-CG87NXX-T3L0-02-7S00</v>
      </c>
      <c r="R233" s="1" t="str">
        <f>VLOOKUP(MID(Q233,8,4),'[1]Tipe Plate'!$C:$D,2,FALSE)</f>
        <v>Grid Casting</v>
      </c>
      <c r="S233" s="4">
        <f>VLOOKUP(L233,'[1]Plate Infor'!$B:$F,5,FALSE)*D233</f>
        <v>1536</v>
      </c>
      <c r="T233" s="4">
        <f>IFERROR(VLOOKUP(IF(MID(Q233,3,1)="F","W-UNPL-"&amp;RIGHT(Q233,20),Q233),'[1]Data Pule'!$C:$E,3,FALSE),0)*S233</f>
        <v>176.64000000000001</v>
      </c>
    </row>
    <row r="234" spans="3:20" x14ac:dyDescent="0.35">
      <c r="C234" s="1" t="s">
        <v>209</v>
      </c>
      <c r="D234">
        <v>72</v>
      </c>
      <c r="E234" s="3" t="str">
        <f>MID(C234,5,1)</f>
        <v>U</v>
      </c>
      <c r="F234" s="3"/>
      <c r="G234" s="3"/>
      <c r="H234" s="3"/>
      <c r="I234" s="3"/>
      <c r="J234" s="3"/>
      <c r="K234" s="3"/>
      <c r="L234" s="1" t="str">
        <f>MID(C234,3,17)</f>
        <v>ACUP-115F51X-B9C4</v>
      </c>
      <c r="M234" s="1" t="str">
        <f>VLOOKUP(L234,'[1]Plate Infor'!$B:$C,2,FALSE)</f>
        <v>W-UNPL-CG82PXX-L870-02-7S00</v>
      </c>
      <c r="N234" s="1" t="str">
        <f>VLOOKUP(MID(M234,8,4),'[1]Tipe Plate'!$C:$D,2,FALSE)</f>
        <v>Grid Casting</v>
      </c>
      <c r="O234" s="4">
        <f>VLOOKUP(L234,'[1]Plate Infor'!$B:$D,3,FALSE)*D234</f>
        <v>1944</v>
      </c>
      <c r="P234" s="4">
        <f>IFERROR(VLOOKUP(IF(MID(M234,3,1)="F","W-UNPL-"&amp;RIGHT(M234,20),M234),'[1]Data Pule'!$C:$E,3,FALSE),0)*O234</f>
        <v>249.80399999999995</v>
      </c>
      <c r="Q234" s="1" t="str">
        <f>VLOOKUP(L234,'[1]Plate Infor'!$B:$E,4,FALSE)</f>
        <v>W-UNPL-CG87NXX-T3L0-02-7S00</v>
      </c>
      <c r="R234" s="1" t="str">
        <f>VLOOKUP(MID(Q234,8,4),'[1]Tipe Plate'!$C:$D,2,FALSE)</f>
        <v>Grid Casting</v>
      </c>
      <c r="S234" s="4">
        <f>VLOOKUP(L234,'[1]Plate Infor'!$B:$F,5,FALSE)*D234</f>
        <v>2160</v>
      </c>
      <c r="T234" s="4">
        <f>IFERROR(VLOOKUP(IF(MID(Q234,3,1)="F","W-UNPL-"&amp;RIGHT(Q234,20),Q234),'[1]Data Pule'!$C:$E,3,FALSE),0)*S234</f>
        <v>248.4</v>
      </c>
    </row>
    <row r="235" spans="3:20" x14ac:dyDescent="0.35">
      <c r="C235" s="1" t="s">
        <v>210</v>
      </c>
      <c r="D235">
        <v>30</v>
      </c>
      <c r="E235" s="3" t="str">
        <f>MID(C235,5,1)</f>
        <v>U</v>
      </c>
      <c r="F235" s="3"/>
      <c r="G235" s="3"/>
      <c r="H235" s="3"/>
      <c r="I235" s="3"/>
      <c r="J235" s="3"/>
      <c r="K235" s="3"/>
      <c r="L235" s="1" t="str">
        <f>MID(C235,3,17)</f>
        <v>ACUP-145G51X-C3C5</v>
      </c>
      <c r="M235" s="1" t="str">
        <f>VLOOKUP(L235,'[1]Plate Infor'!$B:$C,2,FALSE)</f>
        <v>W-UNPL-CG82PXX-L870-02-7S00</v>
      </c>
      <c r="N235" s="1" t="str">
        <f>VLOOKUP(MID(M235,8,4),'[1]Tipe Plate'!$C:$D,2,FALSE)</f>
        <v>Grid Casting</v>
      </c>
      <c r="O235" s="4">
        <f>VLOOKUP(L235,'[1]Plate Infor'!$B:$D,3,FALSE)*D235</f>
        <v>990</v>
      </c>
      <c r="P235" s="4">
        <f>IFERROR(VLOOKUP(IF(MID(M235,3,1)="F","W-UNPL-"&amp;RIGHT(M235,20),M235),'[1]Data Pule'!$C:$E,3,FALSE),0)*O235</f>
        <v>127.21499999999997</v>
      </c>
      <c r="Q235" s="1" t="str">
        <f>VLOOKUP(L235,'[1]Plate Infor'!$B:$E,4,FALSE)</f>
        <v>W-UNPL-CG87NXX-T3L0-02-7S00</v>
      </c>
      <c r="R235" s="1" t="str">
        <f>VLOOKUP(MID(Q235,8,4),'[1]Tipe Plate'!$C:$D,2,FALSE)</f>
        <v>Grid Casting</v>
      </c>
      <c r="S235" s="4">
        <f>VLOOKUP(L235,'[1]Plate Infor'!$B:$F,5,FALSE)*D235</f>
        <v>1080</v>
      </c>
      <c r="T235" s="4">
        <f>IFERROR(VLOOKUP(IF(MID(Q235,3,1)="F","W-UNPL-"&amp;RIGHT(Q235,20),Q235),'[1]Data Pule'!$C:$E,3,FALSE),0)*S235</f>
        <v>124.2</v>
      </c>
    </row>
    <row r="236" spans="3:20" x14ac:dyDescent="0.35">
      <c r="C236" s="1" t="s">
        <v>211</v>
      </c>
      <c r="D236">
        <v>135</v>
      </c>
      <c r="E236" s="3" t="str">
        <f>MID(C236,5,1)</f>
        <v>U</v>
      </c>
      <c r="F236" s="3"/>
      <c r="G236" s="3"/>
      <c r="H236" s="3"/>
      <c r="I236" s="3"/>
      <c r="J236" s="3"/>
      <c r="K236" s="3"/>
      <c r="L236" s="1" t="str">
        <f>MID(C236,3,17)</f>
        <v>AMUP-EFBM42L-B2P3</v>
      </c>
      <c r="M236" s="1" t="str">
        <f>VLOOKUP(L236,'[1]Plate Infor'!$B:$C,2,FALSE)</f>
        <v>W-UNPL-WM84ESP-L03B-00-7S0A</v>
      </c>
      <c r="N236" s="1" t="str">
        <f>VLOOKUP(MID(M236,8,4),'[1]Tipe Plate'!$C:$D,2,FALSE)</f>
        <v>Grid Casting</v>
      </c>
      <c r="O236" s="4">
        <f>VLOOKUP(L236,'[1]Plate Infor'!$B:$D,3,FALSE)*D236</f>
        <v>2430</v>
      </c>
      <c r="P236" s="4">
        <f>IFERROR(VLOOKUP(IF(MID(M236,3,1)="F","W-UNPL-"&amp;RIGHT(M236,20),M236),'[1]Data Pule'!$C:$E,3,FALSE),0)*O236</f>
        <v>279.20699999999999</v>
      </c>
      <c r="Q236" s="1" t="str">
        <f>VLOOKUP(L236,'[1]Plate Infor'!$B:$E,4,FALSE)</f>
        <v>W-UNPL-WM87ESN-T3B0-00-7S0A</v>
      </c>
      <c r="R236" s="1" t="str">
        <f>VLOOKUP(MID(Q236,8,4),'[1]Tipe Plate'!$C:$D,2,FALSE)</f>
        <v>Grid Punching</v>
      </c>
      <c r="S236" s="4">
        <f>VLOOKUP(L236,'[1]Plate Infor'!$B:$F,5,FALSE)*D236</f>
        <v>2430</v>
      </c>
      <c r="T236" s="4">
        <f>IFERROR(VLOOKUP(IF(MID(Q236,3,1)="F","W-UNPL-"&amp;RIGHT(Q236,20),Q236),'[1]Data Pule'!$C:$E,3,FALSE),0)*S236</f>
        <v>230.607</v>
      </c>
    </row>
    <row r="237" spans="3:20" x14ac:dyDescent="0.35">
      <c r="C237" s="1" t="s">
        <v>212</v>
      </c>
      <c r="D237">
        <v>135</v>
      </c>
      <c r="E237" s="3" t="str">
        <f>MID(C237,5,1)</f>
        <v>U</v>
      </c>
      <c r="F237" s="3"/>
      <c r="G237" s="3"/>
      <c r="H237" s="3"/>
      <c r="I237" s="3"/>
      <c r="J237" s="3"/>
      <c r="K237" s="3"/>
      <c r="L237" s="1" t="str">
        <f>MID(C237,3,17)</f>
        <v>AVUP-36B20LX-A7A5</v>
      </c>
      <c r="M237" s="1" t="str">
        <f>VLOOKUP(L237,'[1]Plate Infor'!$B:$C,2,FALSE)</f>
        <v>W-UNPL-CM84APX-L870-02-7S00</v>
      </c>
      <c r="N237" s="1" t="str">
        <f>VLOOKUP(MID(M237,8,4),'[1]Tipe Plate'!$C:$D,2,FALSE)</f>
        <v>Grid Casting</v>
      </c>
      <c r="O237" s="4">
        <f>VLOOKUP(L237,'[1]Plate Infor'!$B:$D,3,FALSE)*D237</f>
        <v>1620</v>
      </c>
      <c r="P237" s="4">
        <f>IFERROR(VLOOKUP(IF(MID(M237,3,1)="F","W-UNPL-"&amp;RIGHT(M237,20),M237),'[1]Data Pule'!$C:$E,3,FALSE),0)*O237</f>
        <v>145.31399999999999</v>
      </c>
      <c r="Q237" s="1" t="str">
        <f>VLOOKUP(L237,'[1]Plate Infor'!$B:$E,4,FALSE)</f>
        <v>W-UNPL-WM85NXX-T3AF-00-7S00</v>
      </c>
      <c r="R237" s="1" t="str">
        <f>VLOOKUP(MID(Q237,8,4),'[1]Tipe Plate'!$C:$D,2,FALSE)</f>
        <v>Grid Punching</v>
      </c>
      <c r="S237" s="4">
        <f>VLOOKUP(L237,'[1]Plate Infor'!$B:$F,5,FALSE)*D237</f>
        <v>1215</v>
      </c>
      <c r="T237" s="4">
        <f>IFERROR(VLOOKUP(IF(MID(Q237,3,1)="F","W-UNPL-"&amp;RIGHT(Q237,20),Q237),'[1]Data Pule'!$C:$E,3,FALSE),0)*S237</f>
        <v>129.15450000000001</v>
      </c>
    </row>
    <row r="238" spans="3:20" x14ac:dyDescent="0.35">
      <c r="C238" s="1" t="s">
        <v>213</v>
      </c>
      <c r="D238">
        <v>108</v>
      </c>
      <c r="E238" s="3" t="str">
        <f>MID(C238,5,1)</f>
        <v>U</v>
      </c>
      <c r="F238" s="3"/>
      <c r="G238" s="3"/>
      <c r="H238" s="3"/>
      <c r="I238" s="3"/>
      <c r="J238" s="3"/>
      <c r="K238" s="3"/>
      <c r="L238" s="1" t="str">
        <f>MID(C238,3,17)</f>
        <v>AVUP-46B24RX-A9A5</v>
      </c>
      <c r="M238" s="1" t="str">
        <f>VLOOKUP(L238,'[1]Plate Infor'!$B:$C,2,FALSE)</f>
        <v>W-UNPL-CM84APX-L870-02-7S00</v>
      </c>
      <c r="N238" s="1" t="str">
        <f>VLOOKUP(MID(M238,8,4),'[1]Tipe Plate'!$C:$D,2,FALSE)</f>
        <v>Grid Casting</v>
      </c>
      <c r="O238" s="4">
        <f>VLOOKUP(L238,'[1]Plate Infor'!$B:$D,3,FALSE)*D238</f>
        <v>1620</v>
      </c>
      <c r="P238" s="4">
        <f>IFERROR(VLOOKUP(IF(MID(M238,3,1)="F","W-UNPL-"&amp;RIGHT(M238,20),M238),'[1]Data Pule'!$C:$E,3,FALSE),0)*O238</f>
        <v>145.31399999999999</v>
      </c>
      <c r="Q238" s="1" t="str">
        <f>VLOOKUP(L238,'[1]Plate Infor'!$B:$E,4,FALSE)</f>
        <v>W-UNPL-WM85NXX-T3AF-00-7S00</v>
      </c>
      <c r="R238" s="1" t="str">
        <f>VLOOKUP(MID(Q238,8,4),'[1]Tipe Plate'!$C:$D,2,FALSE)</f>
        <v>Grid Punching</v>
      </c>
      <c r="S238" s="4">
        <f>VLOOKUP(L238,'[1]Plate Infor'!$B:$F,5,FALSE)*D238</f>
        <v>1296</v>
      </c>
      <c r="T238" s="4">
        <f>IFERROR(VLOOKUP(IF(MID(Q238,3,1)="F","W-UNPL-"&amp;RIGHT(Q238,20),Q238),'[1]Data Pule'!$C:$E,3,FALSE),0)*S238</f>
        <v>137.76480000000001</v>
      </c>
    </row>
    <row r="239" spans="3:20" x14ac:dyDescent="0.35">
      <c r="C239" s="1" t="s">
        <v>214</v>
      </c>
      <c r="D239">
        <v>108</v>
      </c>
      <c r="E239" s="3" t="str">
        <f>MID(C239,5,1)</f>
        <v>U</v>
      </c>
      <c r="F239" s="3"/>
      <c r="G239" s="3"/>
      <c r="H239" s="3"/>
      <c r="I239" s="3"/>
      <c r="J239" s="3"/>
      <c r="K239" s="3"/>
      <c r="L239" s="1" t="str">
        <f>MID(C239,3,17)</f>
        <v>AVUP-46B24LX-A9A5</v>
      </c>
      <c r="M239" s="1" t="str">
        <f>VLOOKUP(L239,'[1]Plate Infor'!$B:$C,2,FALSE)</f>
        <v>W-UNPL-CM84APX-L870-02-7S00</v>
      </c>
      <c r="N239" s="1" t="str">
        <f>VLOOKUP(MID(M239,8,4),'[1]Tipe Plate'!$C:$D,2,FALSE)</f>
        <v>Grid Casting</v>
      </c>
      <c r="O239" s="4">
        <f>VLOOKUP(L239,'[1]Plate Infor'!$B:$D,3,FALSE)*D239</f>
        <v>1620</v>
      </c>
      <c r="P239" s="4">
        <f>IFERROR(VLOOKUP(IF(MID(M239,3,1)="F","W-UNPL-"&amp;RIGHT(M239,20),M239),'[1]Data Pule'!$C:$E,3,FALSE),0)*O239</f>
        <v>145.31399999999999</v>
      </c>
      <c r="Q239" s="1" t="str">
        <f>VLOOKUP(L239,'[1]Plate Infor'!$B:$E,4,FALSE)</f>
        <v>W-UNPL-WM85NXX-T3AF-00-7S00</v>
      </c>
      <c r="R239" s="1" t="str">
        <f>VLOOKUP(MID(Q239,8,4),'[1]Tipe Plate'!$C:$D,2,FALSE)</f>
        <v>Grid Punching</v>
      </c>
      <c r="S239" s="4">
        <f>VLOOKUP(L239,'[1]Plate Infor'!$B:$F,5,FALSE)*D239</f>
        <v>1296</v>
      </c>
      <c r="T239" s="4">
        <f>IFERROR(VLOOKUP(IF(MID(Q239,3,1)="F","W-UNPL-"&amp;RIGHT(Q239,20),Q239),'[1]Data Pule'!$C:$E,3,FALSE),0)*S239</f>
        <v>137.76480000000001</v>
      </c>
    </row>
    <row r="240" spans="3:20" x14ac:dyDescent="0.35">
      <c r="C240" s="1" t="s">
        <v>215</v>
      </c>
      <c r="D240">
        <v>96</v>
      </c>
      <c r="E240" s="3" t="str">
        <f>MID(C240,5,1)</f>
        <v>U</v>
      </c>
      <c r="F240" s="3"/>
      <c r="G240" s="3"/>
      <c r="H240" s="3"/>
      <c r="I240" s="3"/>
      <c r="J240" s="3"/>
      <c r="K240" s="3"/>
      <c r="L240" s="1" t="str">
        <f>MID(C240,3,17)</f>
        <v>AVUP-65D26RX-B0A4</v>
      </c>
      <c r="M240" s="1" t="str">
        <f>VLOOKUP(L240,'[1]Plate Infor'!$B:$C,2,FALSE)</f>
        <v>W-UNPL-CG85EPX-L870-02-7C00</v>
      </c>
      <c r="N240" s="1" t="str">
        <f>VLOOKUP(MID(M240,8,4),'[1]Tipe Plate'!$C:$D,2,FALSE)</f>
        <v>Grid Casting</v>
      </c>
      <c r="O240" s="4">
        <f>VLOOKUP(L240,'[1]Plate Infor'!$B:$D,3,FALSE)*D240</f>
        <v>1440</v>
      </c>
      <c r="P240" s="4">
        <f>IFERROR(VLOOKUP(IF(MID(M240,3,1)="F","W-UNPL-"&amp;RIGHT(M240,20),M240),'[1]Data Pule'!$C:$E,3,FALSE),0)*O240</f>
        <v>175.96800000000002</v>
      </c>
      <c r="Q240" s="1" t="str">
        <f>VLOOKUP(L240,'[1]Plate Infor'!$B:$E,4,FALSE)</f>
        <v>W-UNPL-WG87NXX-T3AF-00-7C00</v>
      </c>
      <c r="R240" s="1" t="str">
        <f>VLOOKUP(MID(Q240,8,4),'[1]Tipe Plate'!$C:$D,2,FALSE)</f>
        <v>Grid Punching</v>
      </c>
      <c r="S240" s="4">
        <f>VLOOKUP(L240,'[1]Plate Infor'!$B:$F,5,FALSE)*D240</f>
        <v>1440</v>
      </c>
      <c r="T240" s="4">
        <f>IFERROR(VLOOKUP(IF(MID(Q240,3,1)="F","W-UNPL-"&amp;RIGHT(Q240,20),Q240),'[1]Data Pule'!$C:$E,3,FALSE),0)*S240</f>
        <v>188.20799999999997</v>
      </c>
    </row>
    <row r="241" spans="3:20" x14ac:dyDescent="0.35">
      <c r="C241" s="1" t="s">
        <v>216</v>
      </c>
      <c r="D241">
        <v>84</v>
      </c>
      <c r="E241" s="3" t="str">
        <f>MID(C241,5,1)</f>
        <v>U</v>
      </c>
      <c r="F241" s="3"/>
      <c r="G241" s="3"/>
      <c r="H241" s="3"/>
      <c r="I241" s="3"/>
      <c r="J241" s="3"/>
      <c r="K241" s="3"/>
      <c r="L241" s="1" t="str">
        <f>MID(C241,3,17)</f>
        <v>AMUP-95D31RX-B2P5</v>
      </c>
      <c r="M241" s="1" t="str">
        <f>VLOOKUP(L241,'[1]Plate Infor'!$B:$C,2,FALSE)</f>
        <v>W-UNPL-WG83PXX-L65F-00-7C00</v>
      </c>
      <c r="N241" s="1" t="str">
        <f>VLOOKUP(MID(M241,8,4),'[1]Tipe Plate'!$C:$D,2,FALSE)</f>
        <v>Grid Punching</v>
      </c>
      <c r="O241" s="4">
        <f>VLOOKUP(L241,'[1]Plate Infor'!$B:$D,3,FALSE)*D241</f>
        <v>1512</v>
      </c>
      <c r="P241" s="4">
        <f>IFERROR(VLOOKUP(IF(MID(M241,3,1)="F","W-UNPL-"&amp;RIGHT(M241,20),M241),'[1]Data Pule'!$C:$E,3,FALSE),0)*O241</f>
        <v>255.98159999999996</v>
      </c>
      <c r="Q241" s="1" t="str">
        <f>VLOOKUP(L241,'[1]Plate Infor'!$B:$E,4,FALSE)</f>
        <v>W-UNPL-WG87NXX-T3AF-00-7C00</v>
      </c>
      <c r="R241" s="1" t="str">
        <f>VLOOKUP(MID(Q241,8,4),'[1]Tipe Plate'!$C:$D,2,FALSE)</f>
        <v>Grid Punching</v>
      </c>
      <c r="S241" s="4">
        <f>VLOOKUP(L241,'[1]Plate Infor'!$B:$F,5,FALSE)*D241</f>
        <v>1512</v>
      </c>
      <c r="T241" s="4">
        <f>IFERROR(VLOOKUP(IF(MID(Q241,3,1)="F","W-UNPL-"&amp;RIGHT(Q241,20),Q241),'[1]Data Pule'!$C:$E,3,FALSE),0)*S241</f>
        <v>197.61839999999998</v>
      </c>
    </row>
    <row r="242" spans="3:20" x14ac:dyDescent="0.35">
      <c r="C242" s="1" t="s">
        <v>217</v>
      </c>
      <c r="D242">
        <v>84</v>
      </c>
      <c r="E242" s="3" t="str">
        <f>MID(C242,5,1)</f>
        <v>U</v>
      </c>
      <c r="F242" s="3"/>
      <c r="G242" s="3"/>
      <c r="H242" s="3"/>
      <c r="I242" s="3"/>
      <c r="J242" s="3"/>
      <c r="K242" s="3"/>
      <c r="L242" s="1" t="str">
        <f>MID(C242,3,17)</f>
        <v>AMUP-95D31LX-B2P5</v>
      </c>
      <c r="M242" s="1" t="str">
        <f>VLOOKUP(L242,'[1]Plate Infor'!$B:$C,2,FALSE)</f>
        <v>W-UNPL-WG83PXX-L65F-00-7C00</v>
      </c>
      <c r="N242" s="1" t="str">
        <f>VLOOKUP(MID(M242,8,4),'[1]Tipe Plate'!$C:$D,2,FALSE)</f>
        <v>Grid Punching</v>
      </c>
      <c r="O242" s="4">
        <f>VLOOKUP(L242,'[1]Plate Infor'!$B:$D,3,FALSE)*D242</f>
        <v>1512</v>
      </c>
      <c r="P242" s="4">
        <f>IFERROR(VLOOKUP(IF(MID(M242,3,1)="F","W-UNPL-"&amp;RIGHT(M242,20),M242),'[1]Data Pule'!$C:$E,3,FALSE),0)*O242</f>
        <v>255.98159999999996</v>
      </c>
      <c r="Q242" s="1" t="str">
        <f>VLOOKUP(L242,'[1]Plate Infor'!$B:$E,4,FALSE)</f>
        <v>W-UNPL-WG87NXX-T3AF-00-7C00</v>
      </c>
      <c r="R242" s="1" t="str">
        <f>VLOOKUP(MID(Q242,8,4),'[1]Tipe Plate'!$C:$D,2,FALSE)</f>
        <v>Grid Punching</v>
      </c>
      <c r="S242" s="4">
        <f>VLOOKUP(L242,'[1]Plate Infor'!$B:$F,5,FALSE)*D242</f>
        <v>1512</v>
      </c>
      <c r="T242" s="4">
        <f>IFERROR(VLOOKUP(IF(MID(Q242,3,1)="F","W-UNPL-"&amp;RIGHT(Q242,20),Q242),'[1]Data Pule'!$C:$E,3,FALSE),0)*S242</f>
        <v>197.61839999999998</v>
      </c>
    </row>
    <row r="243" spans="3:20" x14ac:dyDescent="0.35">
      <c r="C243" s="1" t="s">
        <v>218</v>
      </c>
      <c r="D243">
        <v>84</v>
      </c>
      <c r="E243" s="3" t="str">
        <f>MID(C243,5,1)</f>
        <v>U</v>
      </c>
      <c r="F243" s="3"/>
      <c r="G243" s="3"/>
      <c r="H243" s="3"/>
      <c r="I243" s="3"/>
      <c r="J243" s="3"/>
      <c r="K243" s="3"/>
      <c r="L243" s="1" t="str">
        <f>MID(C243,3,17)</f>
        <v>AMUP-56638LX-B2C3</v>
      </c>
      <c r="M243" s="1" t="str">
        <f>VLOOKUP(L243,'[1]Plate Infor'!$B:$C,2,FALSE)</f>
        <v>W-UNPL-YG82HDP-L650-02-7S00</v>
      </c>
      <c r="N243" s="1" t="str">
        <f>VLOOKUP(MID(M243,8,4),'[1]Tipe Plate'!$C:$D,2,FALSE)</f>
        <v>Grid Casting</v>
      </c>
      <c r="O243" s="4">
        <f>VLOOKUP(L243,'[1]Plate Infor'!$B:$D,3,FALSE)*D243</f>
        <v>1512</v>
      </c>
      <c r="P243" s="4">
        <f>IFERROR(VLOOKUP(IF(MID(M243,3,1)="F","W-UNPL-"&amp;RIGHT(M243,20),M243),'[1]Data Pule'!$C:$E,3,FALSE),0)*O243</f>
        <v>207.89999999999998</v>
      </c>
      <c r="Q243" s="1" t="str">
        <f>VLOOKUP(L243,'[1]Plate Infor'!$B:$E,4,FALSE)</f>
        <v>W-UNPL-YG85NXX-T3A0-02-7S00</v>
      </c>
      <c r="R243" s="1" t="str">
        <f>VLOOKUP(MID(Q243,8,4),'[1]Tipe Plate'!$C:$D,2,FALSE)</f>
        <v>Grid Casting</v>
      </c>
      <c r="S243" s="4">
        <f>VLOOKUP(L243,'[1]Plate Infor'!$B:$F,5,FALSE)*D243</f>
        <v>1512</v>
      </c>
      <c r="T243" s="4">
        <f>IFERROR(VLOOKUP(IF(MID(Q243,3,1)="F","W-UNPL-"&amp;RIGHT(Q243,20),Q243),'[1]Data Pule'!$C:$E,3,FALSE),0)*S243</f>
        <v>197.61839999999998</v>
      </c>
    </row>
    <row r="244" spans="3:20" x14ac:dyDescent="0.35">
      <c r="C244" s="1" t="s">
        <v>219</v>
      </c>
      <c r="D244">
        <v>72</v>
      </c>
      <c r="E244" s="3" t="str">
        <f>MID(C244,5,1)</f>
        <v>U</v>
      </c>
      <c r="F244" s="3"/>
      <c r="G244" s="3"/>
      <c r="H244" s="3"/>
      <c r="I244" s="3"/>
      <c r="J244" s="3"/>
      <c r="K244" s="3"/>
      <c r="L244" s="1" t="str">
        <f>MID(C244,3,17)</f>
        <v>AMUP-56640LH-B5C3</v>
      </c>
      <c r="M244" s="1" t="str">
        <f>VLOOKUP(L244,'[1]Plate Infor'!$B:$C,2,FALSE)</f>
        <v>W-UNPL-YD84PXX-L870-02-7S00</v>
      </c>
      <c r="N244" s="1" t="str">
        <f>VLOOKUP(MID(M244,8,4),'[1]Tipe Plate'!$C:$D,2,FALSE)</f>
        <v>Grid Casting</v>
      </c>
      <c r="O244" s="4">
        <f>VLOOKUP(L244,'[1]Plate Infor'!$B:$D,3,FALSE)*D244</f>
        <v>1728</v>
      </c>
      <c r="P244" s="4">
        <f>IFERROR(VLOOKUP(IF(MID(M244,3,1)="F","W-UNPL-"&amp;RIGHT(M244,20),M244),'[1]Data Pule'!$C:$E,3,FALSE),0)*O244</f>
        <v>206.15040000000002</v>
      </c>
      <c r="Q244" s="1" t="str">
        <f>VLOOKUP(L244,'[1]Plate Infor'!$B:$E,4,FALSE)</f>
        <v>W-UNPL-YD85NXX-T3A0-02-7S00</v>
      </c>
      <c r="R244" s="1" t="str">
        <f>VLOOKUP(MID(Q244,8,4),'[1]Tipe Plate'!$C:$D,2,FALSE)</f>
        <v>Grid Casting</v>
      </c>
      <c r="S244" s="4">
        <f>VLOOKUP(L244,'[1]Plate Infor'!$B:$F,5,FALSE)*D244</f>
        <v>1512</v>
      </c>
      <c r="T244" s="4">
        <f>IFERROR(VLOOKUP(IF(MID(Q244,3,1)="F","W-UNPL-"&amp;RIGHT(Q244,20),Q244),'[1]Data Pule'!$C:$E,3,FALSE),0)*S244</f>
        <v>182.196</v>
      </c>
    </row>
    <row r="245" spans="3:20" x14ac:dyDescent="0.35">
      <c r="C245" s="1" t="s">
        <v>220</v>
      </c>
      <c r="D245">
        <v>24</v>
      </c>
      <c r="E245" s="3" t="str">
        <f>MID(C245,5,1)</f>
        <v>U</v>
      </c>
      <c r="F245" s="3"/>
      <c r="G245" s="3"/>
      <c r="H245" s="3"/>
      <c r="I245" s="3"/>
      <c r="J245" s="3"/>
      <c r="K245" s="3"/>
      <c r="L245" s="1" t="str">
        <f>MID(C245,3,17)</f>
        <v>AMUP-190H52X-D7C3</v>
      </c>
      <c r="M245" s="1" t="str">
        <f>VLOOKUP(L245,'[1]Plate Infor'!$B:$C,2,FALSE)</f>
        <v>W-UNPL-YG82PXX-L650-02-7S00</v>
      </c>
      <c r="N245" s="1" t="str">
        <f>VLOOKUP(MID(M245,8,4),'[1]Tipe Plate'!$C:$D,2,FALSE)</f>
        <v>Grid Casting</v>
      </c>
      <c r="O245" s="4">
        <f>VLOOKUP(L245,'[1]Plate Infor'!$B:$D,3,FALSE)*D245</f>
        <v>1368</v>
      </c>
      <c r="P245" s="4">
        <f>IFERROR(VLOOKUP(IF(MID(M245,3,1)="F","W-UNPL-"&amp;RIGHT(M245,20),M245),'[1]Data Pule'!$C:$E,3,FALSE),0)*O245</f>
        <v>188.09999999999997</v>
      </c>
      <c r="Q245" s="1" t="str">
        <f>VLOOKUP(L245,'[1]Plate Infor'!$B:$E,4,FALSE)</f>
        <v>W-UNPL-YG85NXX-T3A0-02-7S00</v>
      </c>
      <c r="R245" s="1" t="str">
        <f>VLOOKUP(MID(Q245,8,4),'[1]Tipe Plate'!$C:$D,2,FALSE)</f>
        <v>Grid Casting</v>
      </c>
      <c r="S245" s="4">
        <f>VLOOKUP(L245,'[1]Plate Infor'!$B:$F,5,FALSE)*D245</f>
        <v>1296</v>
      </c>
      <c r="T245" s="4">
        <f>IFERROR(VLOOKUP(IF(MID(Q245,3,1)="F","W-UNPL-"&amp;RIGHT(Q245,20),Q245),'[1]Data Pule'!$C:$E,3,FALSE),0)*S245</f>
        <v>169.38719999999998</v>
      </c>
    </row>
    <row r="246" spans="3:20" x14ac:dyDescent="0.35">
      <c r="C246" s="1" t="s">
        <v>221</v>
      </c>
      <c r="D246">
        <v>108</v>
      </c>
      <c r="E246" s="3" t="str">
        <f>MID(C246,5,1)</f>
        <v>U</v>
      </c>
      <c r="F246" s="3"/>
      <c r="G246" s="3"/>
      <c r="H246" s="3"/>
      <c r="I246" s="3"/>
      <c r="J246" s="3"/>
      <c r="K246" s="3"/>
      <c r="L246" s="1" t="str">
        <f>MID(C246,3,17)</f>
        <v>ACUP-46B24LS-A9C5</v>
      </c>
      <c r="M246" s="1" t="str">
        <f>VLOOKUP(L246,'[1]Plate Infor'!$B:$C,2,FALSE)</f>
        <v>W-UNPL-CM84APX-L870-02-7S00</v>
      </c>
      <c r="N246" s="1" t="str">
        <f>VLOOKUP(MID(M246,8,4),'[1]Tipe Plate'!$C:$D,2,FALSE)</f>
        <v>Grid Casting</v>
      </c>
      <c r="O246" s="4">
        <f>VLOOKUP(L246,'[1]Plate Infor'!$B:$D,3,FALSE)*D246</f>
        <v>1296</v>
      </c>
      <c r="P246" s="4">
        <f>IFERROR(VLOOKUP(IF(MID(M246,3,1)="F","W-UNPL-"&amp;RIGHT(M246,20),M246),'[1]Data Pule'!$C:$E,3,FALSE),0)*O246</f>
        <v>116.2512</v>
      </c>
      <c r="Q246" s="1" t="str">
        <f>VLOOKUP(L246,'[1]Plate Infor'!$B:$E,4,FALSE)</f>
        <v>W-UNPL-CM8786N-T3L0-02-7S00</v>
      </c>
      <c r="R246" s="1" t="str">
        <f>VLOOKUP(MID(Q246,8,4),'[1]Tipe Plate'!$C:$D,2,FALSE)</f>
        <v>Grid Casting</v>
      </c>
      <c r="S246" s="4">
        <f>VLOOKUP(L246,'[1]Plate Infor'!$B:$F,5,FALSE)*D246</f>
        <v>1620</v>
      </c>
      <c r="T246" s="4">
        <f>IFERROR(VLOOKUP(IF(MID(Q246,3,1)="F","W-UNPL-"&amp;RIGHT(Q246,20),Q246),'[1]Data Pule'!$C:$E,3,FALSE),0)*S246</f>
        <v>152.76600000000002</v>
      </c>
    </row>
    <row r="247" spans="3:20" x14ac:dyDescent="0.35">
      <c r="C247" s="1" t="s">
        <v>222</v>
      </c>
      <c r="D247">
        <v>144</v>
      </c>
      <c r="E247" s="3" t="str">
        <f>MID(C247,5,1)</f>
        <v>U</v>
      </c>
      <c r="F247" s="3"/>
      <c r="G247" s="3"/>
      <c r="H247" s="3"/>
      <c r="I247" s="3"/>
      <c r="J247" s="3"/>
      <c r="K247" s="3"/>
      <c r="L247" s="1" t="str">
        <f>MID(C247,3,17)</f>
        <v>ACUP-65D26RX-B1C4</v>
      </c>
      <c r="M247" s="1" t="str">
        <f>VLOOKUP(L247,'[1]Plate Infor'!$B:$C,2,FALSE)</f>
        <v>W-UNPL-CG82PXX-L870-02-7S00</v>
      </c>
      <c r="N247" s="1" t="str">
        <f>VLOOKUP(MID(M247,8,4),'[1]Tipe Plate'!$C:$D,2,FALSE)</f>
        <v>Grid Casting</v>
      </c>
      <c r="O247" s="4">
        <f>VLOOKUP(L247,'[1]Plate Infor'!$B:$D,3,FALSE)*D247</f>
        <v>2160</v>
      </c>
      <c r="P247" s="4">
        <f>IFERROR(VLOOKUP(IF(MID(M247,3,1)="F","W-UNPL-"&amp;RIGHT(M247,20),M247),'[1]Data Pule'!$C:$E,3,FALSE),0)*O247</f>
        <v>277.55999999999995</v>
      </c>
      <c r="Q247" s="1" t="str">
        <f>VLOOKUP(L247,'[1]Plate Infor'!$B:$E,4,FALSE)</f>
        <v>W-UNPL-CG87NXX-T3L0-02-7S00</v>
      </c>
      <c r="R247" s="1" t="str">
        <f>VLOOKUP(MID(Q247,8,4),'[1]Tipe Plate'!$C:$D,2,FALSE)</f>
        <v>Grid Casting</v>
      </c>
      <c r="S247" s="4">
        <f>VLOOKUP(L247,'[1]Plate Infor'!$B:$F,5,FALSE)*D247</f>
        <v>2592</v>
      </c>
      <c r="T247" s="4">
        <f>IFERROR(VLOOKUP(IF(MID(Q247,3,1)="F","W-UNPL-"&amp;RIGHT(Q247,20),Q247),'[1]Data Pule'!$C:$E,3,FALSE),0)*S247</f>
        <v>298.08000000000004</v>
      </c>
    </row>
    <row r="248" spans="3:20" x14ac:dyDescent="0.35">
      <c r="C248" s="1" t="s">
        <v>223</v>
      </c>
      <c r="D248">
        <v>144</v>
      </c>
      <c r="E248" s="3" t="str">
        <f>MID(C248,5,1)</f>
        <v>U</v>
      </c>
      <c r="F248" s="3"/>
      <c r="G248" s="3"/>
      <c r="H248" s="3"/>
      <c r="I248" s="3"/>
      <c r="J248" s="3"/>
      <c r="K248" s="3"/>
      <c r="L248" s="1" t="str">
        <f>MID(C248,3,17)</f>
        <v>ACUP-65D26LX-B1C4</v>
      </c>
      <c r="M248" s="1" t="str">
        <f>VLOOKUP(L248,'[1]Plate Infor'!$B:$C,2,FALSE)</f>
        <v>W-UNPL-CG82PXX-L870-02-7S00</v>
      </c>
      <c r="N248" s="1" t="str">
        <f>VLOOKUP(MID(M248,8,4),'[1]Tipe Plate'!$C:$D,2,FALSE)</f>
        <v>Grid Casting</v>
      </c>
      <c r="O248" s="4">
        <f>VLOOKUP(L248,'[1]Plate Infor'!$B:$D,3,FALSE)*D248</f>
        <v>2160</v>
      </c>
      <c r="P248" s="4">
        <f>IFERROR(VLOOKUP(IF(MID(M248,3,1)="F","W-UNPL-"&amp;RIGHT(M248,20),M248),'[1]Data Pule'!$C:$E,3,FALSE),0)*O248</f>
        <v>277.55999999999995</v>
      </c>
      <c r="Q248" s="1" t="str">
        <f>VLOOKUP(L248,'[1]Plate Infor'!$B:$E,4,FALSE)</f>
        <v>W-UNPL-CG87NXX-T3L0-02-7S00</v>
      </c>
      <c r="R248" s="1" t="str">
        <f>VLOOKUP(MID(Q248,8,4),'[1]Tipe Plate'!$C:$D,2,FALSE)</f>
        <v>Grid Casting</v>
      </c>
      <c r="S248" s="4">
        <f>VLOOKUP(L248,'[1]Plate Infor'!$B:$F,5,FALSE)*D248</f>
        <v>2592</v>
      </c>
      <c r="T248" s="4">
        <f>IFERROR(VLOOKUP(IF(MID(Q248,3,1)="F","W-UNPL-"&amp;RIGHT(Q248,20),Q248),'[1]Data Pule'!$C:$E,3,FALSE),0)*S248</f>
        <v>298.08000000000004</v>
      </c>
    </row>
    <row r="249" spans="3:20" x14ac:dyDescent="0.35">
      <c r="C249" s="1" t="s">
        <v>224</v>
      </c>
      <c r="D249">
        <v>231</v>
      </c>
      <c r="E249" s="3" t="str">
        <f>MID(C249,5,1)</f>
        <v>U</v>
      </c>
      <c r="F249" s="3"/>
      <c r="G249" s="3"/>
      <c r="H249" s="3"/>
      <c r="I249" s="3"/>
      <c r="J249" s="3"/>
      <c r="K249" s="3"/>
      <c r="L249" s="1" t="str">
        <f>MID(C249,3,17)</f>
        <v>ACUP-95D31RX-B3C5</v>
      </c>
      <c r="M249" s="1" t="str">
        <f>VLOOKUP(L249,'[1]Plate Infor'!$B:$C,2,FALSE)</f>
        <v>W-UNPL-CG82PXX-L870-02-7S00</v>
      </c>
      <c r="N249" s="1" t="str">
        <f>VLOOKUP(MID(M249,8,4),'[1]Tipe Plate'!$C:$D,2,FALSE)</f>
        <v>Grid Casting</v>
      </c>
      <c r="O249" s="4">
        <f>VLOOKUP(L249,'[1]Plate Infor'!$B:$D,3,FALSE)*D249</f>
        <v>4158</v>
      </c>
      <c r="P249" s="4">
        <f>IFERROR(VLOOKUP(IF(MID(M249,3,1)="F","W-UNPL-"&amp;RIGHT(M249,20),M249),'[1]Data Pule'!$C:$E,3,FALSE),0)*O249</f>
        <v>534.30299999999988</v>
      </c>
      <c r="Q249" s="1" t="str">
        <f>VLOOKUP(L249,'[1]Plate Infor'!$B:$E,4,FALSE)</f>
        <v>W-UNPL-CG87NXX-T3L0-02-7S00</v>
      </c>
      <c r="R249" s="1" t="str">
        <f>VLOOKUP(MID(Q249,8,4),'[1]Tipe Plate'!$C:$D,2,FALSE)</f>
        <v>Grid Casting</v>
      </c>
      <c r="S249" s="4">
        <f>VLOOKUP(L249,'[1]Plate Infor'!$B:$F,5,FALSE)*D249</f>
        <v>4851</v>
      </c>
      <c r="T249" s="4">
        <f>IFERROR(VLOOKUP(IF(MID(Q249,3,1)="F","W-UNPL-"&amp;RIGHT(Q249,20),Q249),'[1]Data Pule'!$C:$E,3,FALSE),0)*S249</f>
        <v>557.86500000000001</v>
      </c>
    </row>
    <row r="250" spans="3:20" x14ac:dyDescent="0.35">
      <c r="C250" s="1" t="s">
        <v>225</v>
      </c>
      <c r="D250">
        <v>84</v>
      </c>
      <c r="E250" s="3" t="str">
        <f>MID(C250,5,1)</f>
        <v>U</v>
      </c>
      <c r="F250" s="3"/>
      <c r="G250" s="3"/>
      <c r="H250" s="3"/>
      <c r="I250" s="3"/>
      <c r="J250" s="3"/>
      <c r="K250" s="3"/>
      <c r="L250" s="1" t="str">
        <f>MID(C250,3,17)</f>
        <v>ACUP-95D31LX-B3C5</v>
      </c>
      <c r="M250" s="1" t="str">
        <f>VLOOKUP(L250,'[1]Plate Infor'!$B:$C,2,FALSE)</f>
        <v>W-UNPL-CG82PXX-L870-02-7S00</v>
      </c>
      <c r="N250" s="1" t="str">
        <f>VLOOKUP(MID(M250,8,4),'[1]Tipe Plate'!$C:$D,2,FALSE)</f>
        <v>Grid Casting</v>
      </c>
      <c r="O250" s="4">
        <f>VLOOKUP(L250,'[1]Plate Infor'!$B:$D,3,FALSE)*D250</f>
        <v>1512</v>
      </c>
      <c r="P250" s="4">
        <f>IFERROR(VLOOKUP(IF(MID(M250,3,1)="F","W-UNPL-"&amp;RIGHT(M250,20),M250),'[1]Data Pule'!$C:$E,3,FALSE),0)*O250</f>
        <v>194.29199999999997</v>
      </c>
      <c r="Q250" s="1" t="str">
        <f>VLOOKUP(L250,'[1]Plate Infor'!$B:$E,4,FALSE)</f>
        <v>W-UNPL-CG87NXX-T3L0-02-7S00</v>
      </c>
      <c r="R250" s="1" t="str">
        <f>VLOOKUP(MID(Q250,8,4),'[1]Tipe Plate'!$C:$D,2,FALSE)</f>
        <v>Grid Casting</v>
      </c>
      <c r="S250" s="4">
        <f>VLOOKUP(L250,'[1]Plate Infor'!$B:$F,5,FALSE)*D250</f>
        <v>1764</v>
      </c>
      <c r="T250" s="4">
        <f>IFERROR(VLOOKUP(IF(MID(Q250,3,1)="F","W-UNPL-"&amp;RIGHT(Q250,20),Q250),'[1]Data Pule'!$C:$E,3,FALSE),0)*S250</f>
        <v>202.86</v>
      </c>
    </row>
    <row r="251" spans="3:20" x14ac:dyDescent="0.35">
      <c r="C251" s="1" t="s">
        <v>226</v>
      </c>
      <c r="D251">
        <v>144</v>
      </c>
      <c r="E251" s="3" t="str">
        <f>MID(C251,5,1)</f>
        <v>U</v>
      </c>
      <c r="F251" s="3"/>
      <c r="G251" s="3"/>
      <c r="H251" s="3"/>
      <c r="I251" s="3"/>
      <c r="J251" s="3"/>
      <c r="K251" s="3"/>
      <c r="L251" s="1" t="str">
        <f>MID(C251,3,17)</f>
        <v>ACUP-115F51X-B9C4</v>
      </c>
      <c r="M251" s="1" t="str">
        <f>VLOOKUP(L251,'[1]Plate Infor'!$B:$C,2,FALSE)</f>
        <v>W-UNPL-CG82PXX-L870-02-7S00</v>
      </c>
      <c r="N251" s="1" t="str">
        <f>VLOOKUP(MID(M251,8,4),'[1]Tipe Plate'!$C:$D,2,FALSE)</f>
        <v>Grid Casting</v>
      </c>
      <c r="O251" s="4">
        <f>VLOOKUP(L251,'[1]Plate Infor'!$B:$D,3,FALSE)*D251</f>
        <v>3888</v>
      </c>
      <c r="P251" s="4">
        <f>IFERROR(VLOOKUP(IF(MID(M251,3,1)="F","W-UNPL-"&amp;RIGHT(M251,20),M251),'[1]Data Pule'!$C:$E,3,FALSE),0)*O251</f>
        <v>499.60799999999989</v>
      </c>
      <c r="Q251" s="1" t="str">
        <f>VLOOKUP(L251,'[1]Plate Infor'!$B:$E,4,FALSE)</f>
        <v>W-UNPL-CG87NXX-T3L0-02-7S00</v>
      </c>
      <c r="R251" s="1" t="str">
        <f>VLOOKUP(MID(Q251,8,4),'[1]Tipe Plate'!$C:$D,2,FALSE)</f>
        <v>Grid Casting</v>
      </c>
      <c r="S251" s="4">
        <f>VLOOKUP(L251,'[1]Plate Infor'!$B:$F,5,FALSE)*D251</f>
        <v>4320</v>
      </c>
      <c r="T251" s="4">
        <f>IFERROR(VLOOKUP(IF(MID(Q251,3,1)="F","W-UNPL-"&amp;RIGHT(Q251,20),Q251),'[1]Data Pule'!$C:$E,3,FALSE),0)*S251</f>
        <v>496.8</v>
      </c>
    </row>
    <row r="252" spans="3:20" x14ac:dyDescent="0.35">
      <c r="C252" s="1" t="s">
        <v>227</v>
      </c>
      <c r="D252">
        <v>60</v>
      </c>
      <c r="E252" s="3" t="str">
        <f>MID(C252,5,1)</f>
        <v>U</v>
      </c>
      <c r="F252" s="3"/>
      <c r="G252" s="3"/>
      <c r="H252" s="3"/>
      <c r="I252" s="3"/>
      <c r="J252" s="3"/>
      <c r="K252" s="3"/>
      <c r="L252" s="1" t="str">
        <f>MID(C252,3,17)</f>
        <v>ACUP-145G51X-C3C5</v>
      </c>
      <c r="M252" s="1" t="str">
        <f>VLOOKUP(L252,'[1]Plate Infor'!$B:$C,2,FALSE)</f>
        <v>W-UNPL-CG82PXX-L870-02-7S00</v>
      </c>
      <c r="N252" s="1" t="str">
        <f>VLOOKUP(MID(M252,8,4),'[1]Tipe Plate'!$C:$D,2,FALSE)</f>
        <v>Grid Casting</v>
      </c>
      <c r="O252" s="4">
        <f>VLOOKUP(L252,'[1]Plate Infor'!$B:$D,3,FALSE)*D252</f>
        <v>1980</v>
      </c>
      <c r="P252" s="4">
        <f>IFERROR(VLOOKUP(IF(MID(M252,3,1)="F","W-UNPL-"&amp;RIGHT(M252,20),M252),'[1]Data Pule'!$C:$E,3,FALSE),0)*O252</f>
        <v>254.42999999999995</v>
      </c>
      <c r="Q252" s="1" t="str">
        <f>VLOOKUP(L252,'[1]Plate Infor'!$B:$E,4,FALSE)</f>
        <v>W-UNPL-CG87NXX-T3L0-02-7S00</v>
      </c>
      <c r="R252" s="1" t="str">
        <f>VLOOKUP(MID(Q252,8,4),'[1]Tipe Plate'!$C:$D,2,FALSE)</f>
        <v>Grid Casting</v>
      </c>
      <c r="S252" s="4">
        <f>VLOOKUP(L252,'[1]Plate Infor'!$B:$F,5,FALSE)*D252</f>
        <v>2160</v>
      </c>
      <c r="T252" s="4">
        <f>IFERROR(VLOOKUP(IF(MID(Q252,3,1)="F","W-UNPL-"&amp;RIGHT(Q252,20),Q252),'[1]Data Pule'!$C:$E,3,FALSE),0)*S252</f>
        <v>248.4</v>
      </c>
    </row>
    <row r="253" spans="3:20" x14ac:dyDescent="0.35">
      <c r="C253" s="1" t="s">
        <v>228</v>
      </c>
      <c r="D253">
        <v>63</v>
      </c>
      <c r="E253" s="3" t="str">
        <f>MID(C253,5,1)</f>
        <v>U</v>
      </c>
      <c r="F253" s="3"/>
      <c r="G253" s="3"/>
      <c r="H253" s="3"/>
      <c r="I253" s="3"/>
      <c r="J253" s="3"/>
      <c r="K253" s="3"/>
      <c r="L253" s="1" t="str">
        <f>MID(C253,3,17)</f>
        <v>ACUP-95D31RX-B3C5</v>
      </c>
      <c r="M253" s="1" t="str">
        <f>VLOOKUP(L253,'[1]Plate Infor'!$B:$C,2,FALSE)</f>
        <v>W-UNPL-CG82PXX-L870-02-7S00</v>
      </c>
      <c r="N253" s="1" t="str">
        <f>VLOOKUP(MID(M253,8,4),'[1]Tipe Plate'!$C:$D,2,FALSE)</f>
        <v>Grid Casting</v>
      </c>
      <c r="O253" s="4">
        <f>VLOOKUP(L253,'[1]Plate Infor'!$B:$D,3,FALSE)*D253</f>
        <v>1134</v>
      </c>
      <c r="P253" s="4">
        <f>IFERROR(VLOOKUP(IF(MID(M253,3,1)="F","W-UNPL-"&amp;RIGHT(M253,20),M253),'[1]Data Pule'!$C:$E,3,FALSE),0)*O253</f>
        <v>145.71899999999997</v>
      </c>
      <c r="Q253" s="1" t="str">
        <f>VLOOKUP(L253,'[1]Plate Infor'!$B:$E,4,FALSE)</f>
        <v>W-UNPL-CG87NXX-T3L0-02-7S00</v>
      </c>
      <c r="R253" s="1" t="str">
        <f>VLOOKUP(MID(Q253,8,4),'[1]Tipe Plate'!$C:$D,2,FALSE)</f>
        <v>Grid Casting</v>
      </c>
      <c r="S253" s="4">
        <f>VLOOKUP(L253,'[1]Plate Infor'!$B:$F,5,FALSE)*D253</f>
        <v>1323</v>
      </c>
      <c r="T253" s="4">
        <f>IFERROR(VLOOKUP(IF(MID(Q253,3,1)="F","W-UNPL-"&amp;RIGHT(Q253,20),Q253),'[1]Data Pule'!$C:$E,3,FALSE),0)*S253</f>
        <v>152.14500000000001</v>
      </c>
    </row>
    <row r="254" spans="3:20" x14ac:dyDescent="0.35">
      <c r="C254" s="1" t="s">
        <v>229</v>
      </c>
      <c r="D254">
        <v>63</v>
      </c>
      <c r="E254" s="3" t="str">
        <f>MID(C254,5,1)</f>
        <v>U</v>
      </c>
      <c r="F254" s="3"/>
      <c r="G254" s="3"/>
      <c r="H254" s="3"/>
      <c r="I254" s="3"/>
      <c r="J254" s="3"/>
      <c r="K254" s="3"/>
      <c r="L254" s="1" t="str">
        <f>MID(C254,3,17)</f>
        <v>ACUP-95D31LX-B3C5</v>
      </c>
      <c r="M254" s="1" t="str">
        <f>VLOOKUP(L254,'[1]Plate Infor'!$B:$C,2,FALSE)</f>
        <v>W-UNPL-CG82PXX-L870-02-7S00</v>
      </c>
      <c r="N254" s="1" t="str">
        <f>VLOOKUP(MID(M254,8,4),'[1]Tipe Plate'!$C:$D,2,FALSE)</f>
        <v>Grid Casting</v>
      </c>
      <c r="O254" s="4">
        <f>VLOOKUP(L254,'[1]Plate Infor'!$B:$D,3,FALSE)*D254</f>
        <v>1134</v>
      </c>
      <c r="P254" s="4">
        <f>IFERROR(VLOOKUP(IF(MID(M254,3,1)="F","W-UNPL-"&amp;RIGHT(M254,20),M254),'[1]Data Pule'!$C:$E,3,FALSE),0)*O254</f>
        <v>145.71899999999997</v>
      </c>
      <c r="Q254" s="1" t="str">
        <f>VLOOKUP(L254,'[1]Plate Infor'!$B:$E,4,FALSE)</f>
        <v>W-UNPL-CG87NXX-T3L0-02-7S00</v>
      </c>
      <c r="R254" s="1" t="str">
        <f>VLOOKUP(MID(Q254,8,4),'[1]Tipe Plate'!$C:$D,2,FALSE)</f>
        <v>Grid Casting</v>
      </c>
      <c r="S254" s="4">
        <f>VLOOKUP(L254,'[1]Plate Infor'!$B:$F,5,FALSE)*D254</f>
        <v>1323</v>
      </c>
      <c r="T254" s="4">
        <f>IFERROR(VLOOKUP(IF(MID(Q254,3,1)="F","W-UNPL-"&amp;RIGHT(Q254,20),Q254),'[1]Data Pule'!$C:$E,3,FALSE),0)*S254</f>
        <v>152.14500000000001</v>
      </c>
    </row>
    <row r="255" spans="3:20" x14ac:dyDescent="0.35">
      <c r="C255" s="1" t="s">
        <v>230</v>
      </c>
      <c r="D255">
        <v>48</v>
      </c>
      <c r="E255" s="3" t="str">
        <f>MID(C255,5,1)</f>
        <v>U</v>
      </c>
      <c r="F255" s="3"/>
      <c r="G255" s="3"/>
      <c r="H255" s="3"/>
      <c r="I255" s="3"/>
      <c r="J255" s="3"/>
      <c r="K255" s="3"/>
      <c r="L255" s="1" t="str">
        <f>MID(C255,3,17)</f>
        <v>ACUP-95E41RX-B5C4</v>
      </c>
      <c r="M255" s="1" t="str">
        <f>VLOOKUP(L255,'[1]Plate Infor'!$B:$C,2,FALSE)</f>
        <v>W-UNPL-CG80PXX-L870-02-7S00</v>
      </c>
      <c r="N255" s="1" t="str">
        <f>VLOOKUP(MID(M255,8,4),'[1]Tipe Plate'!$C:$D,2,FALSE)</f>
        <v>Grid Casting</v>
      </c>
      <c r="O255" s="4">
        <f>VLOOKUP(L255,'[1]Plate Infor'!$B:$D,3,FALSE)*D255</f>
        <v>1008</v>
      </c>
      <c r="P255" s="4">
        <f>IFERROR(VLOOKUP(IF(MID(M255,3,1)="F","W-UNPL-"&amp;RIGHT(M255,20),M255),'[1]Data Pule'!$C:$E,3,FALSE),0)*O255</f>
        <v>152.30879999999999</v>
      </c>
      <c r="Q255" s="1" t="str">
        <f>VLOOKUP(L255,'[1]Plate Infor'!$B:$E,4,FALSE)</f>
        <v>W-UNPL-CG87NXX-T3L0-02-7S00</v>
      </c>
      <c r="R255" s="1" t="str">
        <f>VLOOKUP(MID(Q255,8,4),'[1]Tipe Plate'!$C:$D,2,FALSE)</f>
        <v>Grid Casting</v>
      </c>
      <c r="S255" s="4">
        <f>VLOOKUP(L255,'[1]Plate Infor'!$B:$F,5,FALSE)*D255</f>
        <v>1152</v>
      </c>
      <c r="T255" s="4">
        <f>IFERROR(VLOOKUP(IF(MID(Q255,3,1)="F","W-UNPL-"&amp;RIGHT(Q255,20),Q255),'[1]Data Pule'!$C:$E,3,FALSE),0)*S255</f>
        <v>132.48000000000002</v>
      </c>
    </row>
    <row r="256" spans="3:20" x14ac:dyDescent="0.35">
      <c r="C256" s="1" t="s">
        <v>231</v>
      </c>
      <c r="D256">
        <v>36</v>
      </c>
      <c r="E256" s="3" t="str">
        <f>MID(C256,5,1)</f>
        <v>U</v>
      </c>
      <c r="F256" s="3"/>
      <c r="G256" s="3"/>
      <c r="H256" s="3"/>
      <c r="I256" s="3"/>
      <c r="J256" s="3"/>
      <c r="K256" s="3"/>
      <c r="L256" s="1" t="str">
        <f>MID(C256,3,17)</f>
        <v>ACUP-115F51X-B9C4</v>
      </c>
      <c r="M256" s="1" t="str">
        <f>VLOOKUP(L256,'[1]Plate Infor'!$B:$C,2,FALSE)</f>
        <v>W-UNPL-CG82PXX-L870-02-7S00</v>
      </c>
      <c r="N256" s="1" t="str">
        <f>VLOOKUP(MID(M256,8,4),'[1]Tipe Plate'!$C:$D,2,FALSE)</f>
        <v>Grid Casting</v>
      </c>
      <c r="O256" s="4">
        <f>VLOOKUP(L256,'[1]Plate Infor'!$B:$D,3,FALSE)*D256</f>
        <v>972</v>
      </c>
      <c r="P256" s="4">
        <f>IFERROR(VLOOKUP(IF(MID(M256,3,1)="F","W-UNPL-"&amp;RIGHT(M256,20),M256),'[1]Data Pule'!$C:$E,3,FALSE),0)*O256</f>
        <v>124.90199999999997</v>
      </c>
      <c r="Q256" s="1" t="str">
        <f>VLOOKUP(L256,'[1]Plate Infor'!$B:$E,4,FALSE)</f>
        <v>W-UNPL-CG87NXX-T3L0-02-7S00</v>
      </c>
      <c r="R256" s="1" t="str">
        <f>VLOOKUP(MID(Q256,8,4),'[1]Tipe Plate'!$C:$D,2,FALSE)</f>
        <v>Grid Casting</v>
      </c>
      <c r="S256" s="4">
        <f>VLOOKUP(L256,'[1]Plate Infor'!$B:$F,5,FALSE)*D256</f>
        <v>1080</v>
      </c>
      <c r="T256" s="4">
        <f>IFERROR(VLOOKUP(IF(MID(Q256,3,1)="F","W-UNPL-"&amp;RIGHT(Q256,20),Q256),'[1]Data Pule'!$C:$E,3,FALSE),0)*S256</f>
        <v>124.2</v>
      </c>
    </row>
    <row r="257" spans="3:20" x14ac:dyDescent="0.35">
      <c r="C257" s="1" t="s">
        <v>232</v>
      </c>
      <c r="D257">
        <v>30</v>
      </c>
      <c r="E257" s="3" t="str">
        <f>MID(C257,5,1)</f>
        <v>U</v>
      </c>
      <c r="F257" s="3"/>
      <c r="G257" s="3"/>
      <c r="H257" s="3"/>
      <c r="I257" s="3"/>
      <c r="J257" s="3"/>
      <c r="K257" s="3"/>
      <c r="L257" s="1" t="str">
        <f>MID(C257,3,17)</f>
        <v>ACUP-145G51X-C3C5</v>
      </c>
      <c r="M257" s="1" t="str">
        <f>VLOOKUP(L257,'[1]Plate Infor'!$B:$C,2,FALSE)</f>
        <v>W-UNPL-CG82PXX-L870-02-7S00</v>
      </c>
      <c r="N257" s="1" t="str">
        <f>VLOOKUP(MID(M257,8,4),'[1]Tipe Plate'!$C:$D,2,FALSE)</f>
        <v>Grid Casting</v>
      </c>
      <c r="O257" s="4">
        <f>VLOOKUP(L257,'[1]Plate Infor'!$B:$D,3,FALSE)*D257</f>
        <v>990</v>
      </c>
      <c r="P257" s="4">
        <f>IFERROR(VLOOKUP(IF(MID(M257,3,1)="F","W-UNPL-"&amp;RIGHT(M257,20),M257),'[1]Data Pule'!$C:$E,3,FALSE),0)*O257</f>
        <v>127.21499999999997</v>
      </c>
      <c r="Q257" s="1" t="str">
        <f>VLOOKUP(L257,'[1]Plate Infor'!$B:$E,4,FALSE)</f>
        <v>W-UNPL-CG87NXX-T3L0-02-7S00</v>
      </c>
      <c r="R257" s="1" t="str">
        <f>VLOOKUP(MID(Q257,8,4),'[1]Tipe Plate'!$C:$D,2,FALSE)</f>
        <v>Grid Casting</v>
      </c>
      <c r="S257" s="4">
        <f>VLOOKUP(L257,'[1]Plate Infor'!$B:$F,5,FALSE)*D257</f>
        <v>1080</v>
      </c>
      <c r="T257" s="4">
        <f>IFERROR(VLOOKUP(IF(MID(Q257,3,1)="F","W-UNPL-"&amp;RIGHT(Q257,20),Q257),'[1]Data Pule'!$C:$E,3,FALSE),0)*S257</f>
        <v>124.2</v>
      </c>
    </row>
    <row r="258" spans="3:20" x14ac:dyDescent="0.35">
      <c r="C258" s="1" t="s">
        <v>201</v>
      </c>
      <c r="D258">
        <v>624</v>
      </c>
      <c r="E258" s="3" t="str">
        <f>MID(C258,5,1)</f>
        <v>D</v>
      </c>
      <c r="F258" s="3"/>
      <c r="G258" s="3"/>
      <c r="H258" s="3"/>
      <c r="I258" s="3"/>
      <c r="J258" s="3"/>
      <c r="K258" s="3"/>
      <c r="L258" s="1" t="str">
        <f>MID(C258,3,17)</f>
        <v>ACDP-48D26RX-A9C3</v>
      </c>
      <c r="M258" s="1" t="str">
        <f>VLOOKUP(L258,'[1]Plate Infor'!$B:$C,2,FALSE)</f>
        <v>W-FOPL-CG80PXX-L870-02-7S00</v>
      </c>
      <c r="N258" s="1" t="str">
        <f>VLOOKUP(MID(M258,8,4),'[1]Tipe Plate'!$C:$D,2,FALSE)</f>
        <v>Grid Casting</v>
      </c>
      <c r="O258" s="4">
        <f>VLOOKUP(L258,'[1]Plate Infor'!$B:$D,3,FALSE)*D258</f>
        <v>7488</v>
      </c>
      <c r="P258" s="4">
        <f>IFERROR(VLOOKUP(IF(MID(M258,3,1)="F","W-UNPL-"&amp;RIGHT(M258,20),M258),'[1]Data Pule'!$C:$E,3,FALSE),0)*O258</f>
        <v>1131.4367999999999</v>
      </c>
      <c r="Q258" s="1" t="str">
        <f>VLOOKUP(L258,'[1]Plate Infor'!$B:$E,4,FALSE)</f>
        <v>W-FOPL-CG87NXX-T3L0-02-7S00</v>
      </c>
      <c r="R258" s="1" t="str">
        <f>VLOOKUP(MID(Q258,8,4),'[1]Tipe Plate'!$C:$D,2,FALSE)</f>
        <v>Grid Casting</v>
      </c>
      <c r="S258" s="4">
        <f>VLOOKUP(L258,'[1]Plate Infor'!$B:$F,5,FALSE)*D258</f>
        <v>9360</v>
      </c>
      <c r="T258" s="4">
        <f>IFERROR(VLOOKUP(IF(MID(Q258,3,1)="F","W-UNPL-"&amp;RIGHT(Q258,20),Q258),'[1]Data Pule'!$C:$E,3,FALSE),0)*S258</f>
        <v>1076.4000000000001</v>
      </c>
    </row>
    <row r="259" spans="3:20" x14ac:dyDescent="0.35">
      <c r="C259" s="1" t="s">
        <v>233</v>
      </c>
      <c r="D259">
        <v>216</v>
      </c>
      <c r="E259" s="3" t="str">
        <f>MID(C259,5,1)</f>
        <v>W</v>
      </c>
      <c r="F259" s="3"/>
      <c r="G259" s="3"/>
      <c r="H259" s="3"/>
      <c r="I259" s="3"/>
      <c r="J259" s="3"/>
      <c r="K259" s="3"/>
      <c r="L259" s="1" t="str">
        <f>MID(C259,3,17)</f>
        <v>AMWP-50B24LS-B1P3</v>
      </c>
      <c r="M259" s="1" t="str">
        <f>VLOOKUP(L259,'[1]Plate Infor'!$B:$C,2,FALSE)</f>
        <v>W-UNPL-WM84PXX-L65F-00-7S00</v>
      </c>
      <c r="N259" s="1" t="str">
        <f>VLOOKUP(MID(M259,8,4),'[1]Tipe Plate'!$C:$D,2,FALSE)</f>
        <v>Grid Casting</v>
      </c>
      <c r="O259" s="4">
        <f>VLOOKUP(L259,'[1]Plate Infor'!$B:$D,3,FALSE)*D259</f>
        <v>3888</v>
      </c>
      <c r="P259" s="4">
        <f>IFERROR(VLOOKUP(IF(MID(M259,3,1)="F","W-UNPL-"&amp;RIGHT(M259,20),M259),'[1]Data Pule'!$C:$E,3,FALSE),0)*O259</f>
        <v>442.84320000000002</v>
      </c>
      <c r="Q259" s="1" t="str">
        <f>VLOOKUP(L259,'[1]Plate Infor'!$B:$E,4,FALSE)</f>
        <v>W-UNPL-WM85NXX-T3AF-00-7S00</v>
      </c>
      <c r="R259" s="1" t="str">
        <f>VLOOKUP(MID(Q259,8,4),'[1]Tipe Plate'!$C:$D,2,FALSE)</f>
        <v>Grid Punching</v>
      </c>
      <c r="S259" s="4">
        <f>VLOOKUP(L259,'[1]Plate Infor'!$B:$F,5,FALSE)*D259</f>
        <v>3240</v>
      </c>
      <c r="T259" s="4">
        <f>IFERROR(VLOOKUP(IF(MID(Q259,3,1)="F","W-UNPL-"&amp;RIGHT(Q259,20),Q259),'[1]Data Pule'!$C:$E,3,FALSE),0)*S259</f>
        <v>344.41200000000003</v>
      </c>
    </row>
    <row r="260" spans="3:20" x14ac:dyDescent="0.35">
      <c r="C260" s="1" t="s">
        <v>234</v>
      </c>
      <c r="D260">
        <v>252</v>
      </c>
      <c r="E260" s="3" t="str">
        <f>MID(C260,5,1)</f>
        <v>W</v>
      </c>
      <c r="F260" s="3"/>
      <c r="G260" s="3"/>
      <c r="H260" s="3"/>
      <c r="I260" s="3"/>
      <c r="J260" s="3"/>
      <c r="K260" s="3"/>
      <c r="L260" s="1" t="str">
        <f>MID(C260,3,17)</f>
        <v>AMWP-65D23LX-B0P3</v>
      </c>
      <c r="M260" s="1" t="str">
        <f>VLOOKUP(L260,'[1]Plate Infor'!$B:$C,2,FALSE)</f>
        <v>W-UNPL-WG83PXX-L65F-00-7C00</v>
      </c>
      <c r="N260" s="1" t="str">
        <f>VLOOKUP(MID(M260,8,4),'[1]Tipe Plate'!$C:$D,2,FALSE)</f>
        <v>Grid Punching</v>
      </c>
      <c r="O260" s="4">
        <f>VLOOKUP(L260,'[1]Plate Infor'!$B:$D,3,FALSE)*D260</f>
        <v>3780</v>
      </c>
      <c r="P260" s="4">
        <f>IFERROR(VLOOKUP(IF(MID(M260,3,1)="F","W-UNPL-"&amp;RIGHT(M260,20),M260),'[1]Data Pule'!$C:$E,3,FALSE),0)*O260</f>
        <v>639.95399999999995</v>
      </c>
      <c r="Q260" s="1" t="str">
        <f>VLOOKUP(L260,'[1]Plate Infor'!$B:$E,4,FALSE)</f>
        <v>W-UNPL-WG87NXX-T3AF-00-7C00</v>
      </c>
      <c r="R260" s="1" t="str">
        <f>VLOOKUP(MID(Q260,8,4),'[1]Tipe Plate'!$C:$D,2,FALSE)</f>
        <v>Grid Punching</v>
      </c>
      <c r="S260" s="4">
        <f>VLOOKUP(L260,'[1]Plate Infor'!$B:$F,5,FALSE)*D260</f>
        <v>3780</v>
      </c>
      <c r="T260" s="4">
        <f>IFERROR(VLOOKUP(IF(MID(Q260,3,1)="F","W-UNPL-"&amp;RIGHT(Q260,20),Q260),'[1]Data Pule'!$C:$E,3,FALSE),0)*S260</f>
        <v>494.04599999999994</v>
      </c>
    </row>
    <row r="261" spans="3:20" x14ac:dyDescent="0.35">
      <c r="C261" s="1" t="s">
        <v>235</v>
      </c>
      <c r="D261">
        <v>168</v>
      </c>
      <c r="E261" s="3" t="str">
        <f>MID(C261,5,1)</f>
        <v>W</v>
      </c>
      <c r="F261" s="3"/>
      <c r="G261" s="3"/>
      <c r="H261" s="3"/>
      <c r="I261" s="3"/>
      <c r="J261" s="3"/>
      <c r="K261" s="3"/>
      <c r="L261" s="1" t="str">
        <f>MID(C261,3,17)</f>
        <v>AMWP-80D23LX-B3P3</v>
      </c>
      <c r="M261" s="1" t="str">
        <f>VLOOKUP(L261,'[1]Plate Infor'!$B:$C,2,FALSE)</f>
        <v>W-UNPL-WG83PXX-L65F-00-7C00</v>
      </c>
      <c r="N261" s="1" t="str">
        <f>VLOOKUP(MID(M261,8,4),'[1]Tipe Plate'!$C:$D,2,FALSE)</f>
        <v>Grid Punching</v>
      </c>
      <c r="O261" s="4">
        <f>VLOOKUP(L261,'[1]Plate Infor'!$B:$D,3,FALSE)*D261</f>
        <v>3024</v>
      </c>
      <c r="P261" s="4">
        <f>IFERROR(VLOOKUP(IF(MID(M261,3,1)="F","W-UNPL-"&amp;RIGHT(M261,20),M261),'[1]Data Pule'!$C:$E,3,FALSE),0)*O261</f>
        <v>511.96319999999992</v>
      </c>
      <c r="Q261" s="1" t="str">
        <f>VLOOKUP(L261,'[1]Plate Infor'!$B:$E,4,FALSE)</f>
        <v>W-UNPL-WG87NXX-T3AF-00-7C00</v>
      </c>
      <c r="R261" s="1" t="str">
        <f>VLOOKUP(MID(Q261,8,4),'[1]Tipe Plate'!$C:$D,2,FALSE)</f>
        <v>Grid Punching</v>
      </c>
      <c r="S261" s="4">
        <f>VLOOKUP(L261,'[1]Plate Infor'!$B:$F,5,FALSE)*D261</f>
        <v>3528</v>
      </c>
      <c r="T261" s="4">
        <f>IFERROR(VLOOKUP(IF(MID(Q261,3,1)="F","W-UNPL-"&amp;RIGHT(Q261,20),Q261),'[1]Data Pule'!$C:$E,3,FALSE),0)*S261</f>
        <v>461.10959999999994</v>
      </c>
    </row>
    <row r="262" spans="3:20" x14ac:dyDescent="0.35">
      <c r="C262" s="1" t="s">
        <v>236</v>
      </c>
      <c r="D262">
        <v>288</v>
      </c>
      <c r="E262" s="3" t="str">
        <f>MID(C262,5,1)</f>
        <v>W</v>
      </c>
      <c r="F262" s="3"/>
      <c r="G262" s="3"/>
      <c r="H262" s="3"/>
      <c r="I262" s="3"/>
      <c r="J262" s="3"/>
      <c r="K262" s="3"/>
      <c r="L262" s="1" t="str">
        <f>MID(C262,3,17)</f>
        <v>AMWP-90D26LX-B3P3</v>
      </c>
      <c r="M262" s="1" t="str">
        <f>VLOOKUP(L262,'[1]Plate Infor'!$B:$C,2,FALSE)</f>
        <v>W-UNPL-WG83PXX-L65F-00-7C00</v>
      </c>
      <c r="N262" s="1" t="str">
        <f>VLOOKUP(MID(M262,8,4),'[1]Tipe Plate'!$C:$D,2,FALSE)</f>
        <v>Grid Punching</v>
      </c>
      <c r="O262" s="4">
        <f>VLOOKUP(L262,'[1]Plate Infor'!$B:$D,3,FALSE)*D262</f>
        <v>6048</v>
      </c>
      <c r="P262" s="4">
        <f>IFERROR(VLOOKUP(IF(MID(M262,3,1)="F","W-UNPL-"&amp;RIGHT(M262,20),M262),'[1]Data Pule'!$C:$E,3,FALSE),0)*O262</f>
        <v>1023.9263999999998</v>
      </c>
      <c r="Q262" s="1" t="str">
        <f>VLOOKUP(L262,'[1]Plate Infor'!$B:$E,4,FALSE)</f>
        <v>W-UNPL-WG87NXX-T3AF-00-7C00</v>
      </c>
      <c r="R262" s="1" t="str">
        <f>VLOOKUP(MID(Q262,8,4),'[1]Tipe Plate'!$C:$D,2,FALSE)</f>
        <v>Grid Punching</v>
      </c>
      <c r="S262" s="4">
        <f>VLOOKUP(L262,'[1]Plate Infor'!$B:$F,5,FALSE)*D262</f>
        <v>5184</v>
      </c>
      <c r="T262" s="4">
        <f>IFERROR(VLOOKUP(IF(MID(Q262,3,1)="F","W-UNPL-"&amp;RIGHT(Q262,20),Q262),'[1]Data Pule'!$C:$E,3,FALSE),0)*S262</f>
        <v>677.54879999999991</v>
      </c>
    </row>
    <row r="263" spans="3:20" x14ac:dyDescent="0.35">
      <c r="C263" s="1" t="s">
        <v>237</v>
      </c>
      <c r="D263">
        <v>156</v>
      </c>
      <c r="E263" s="3" t="str">
        <f>MID(C263,5,1)</f>
        <v>W</v>
      </c>
      <c r="F263" s="3"/>
      <c r="G263" s="3"/>
      <c r="H263" s="3"/>
      <c r="I263" s="3"/>
      <c r="J263" s="3"/>
      <c r="K263" s="3"/>
      <c r="L263" s="1" t="str">
        <f>MID(C263,3,17)</f>
        <v>AMWP-56219LX-B2C3</v>
      </c>
      <c r="M263" s="1" t="str">
        <f>VLOOKUP(L263,'[1]Plate Infor'!$B:$C,2,FALSE)</f>
        <v>W-UNPL-YG82HDP-L650-02-7S00</v>
      </c>
      <c r="N263" s="1" t="str">
        <f>VLOOKUP(MID(M263,8,4),'[1]Tipe Plate'!$C:$D,2,FALSE)</f>
        <v>Grid Casting</v>
      </c>
      <c r="O263" s="4">
        <f>VLOOKUP(L263,'[1]Plate Infor'!$B:$D,3,FALSE)*D263</f>
        <v>2808</v>
      </c>
      <c r="P263" s="4">
        <f>IFERROR(VLOOKUP(IF(MID(M263,3,1)="F","W-UNPL-"&amp;RIGHT(M263,20),M263),'[1]Data Pule'!$C:$E,3,FALSE),0)*O263</f>
        <v>386.09999999999997</v>
      </c>
      <c r="Q263" s="1" t="str">
        <f>VLOOKUP(L263,'[1]Plate Infor'!$B:$E,4,FALSE)</f>
        <v>W-UNPL-YG85NXX-T3A0-02-7S00</v>
      </c>
      <c r="R263" s="1" t="str">
        <f>VLOOKUP(MID(Q263,8,4),'[1]Tipe Plate'!$C:$D,2,FALSE)</f>
        <v>Grid Casting</v>
      </c>
      <c r="S263" s="4">
        <f>VLOOKUP(L263,'[1]Plate Infor'!$B:$F,5,FALSE)*D263</f>
        <v>2808</v>
      </c>
      <c r="T263" s="4">
        <f>IFERROR(VLOOKUP(IF(MID(Q263,3,1)="F","W-UNPL-"&amp;RIGHT(Q263,20),Q263),'[1]Data Pule'!$C:$E,3,FALSE),0)*S263</f>
        <v>367.00559999999996</v>
      </c>
    </row>
    <row r="264" spans="3:20" x14ac:dyDescent="0.35">
      <c r="C264" s="1" t="s">
        <v>238</v>
      </c>
      <c r="D264">
        <v>156</v>
      </c>
      <c r="E264" s="3" t="str">
        <f>MID(C264,5,1)</f>
        <v>W</v>
      </c>
      <c r="F264" s="3"/>
      <c r="G264" s="3"/>
      <c r="H264" s="3"/>
      <c r="I264" s="3"/>
      <c r="J264" s="3"/>
      <c r="K264" s="3"/>
      <c r="L264" s="1" t="str">
        <f>MID(C264,3,17)</f>
        <v>AMWP-56221RX-B2C3</v>
      </c>
      <c r="M264" s="1" t="str">
        <f>VLOOKUP(L264,'[1]Plate Infor'!$B:$C,2,FALSE)</f>
        <v>W-UNPL-YG82HDP-L650-02-7S00</v>
      </c>
      <c r="N264" s="1" t="str">
        <f>VLOOKUP(MID(M264,8,4),'[1]Tipe Plate'!$C:$D,2,FALSE)</f>
        <v>Grid Casting</v>
      </c>
      <c r="O264" s="4">
        <f>VLOOKUP(L264,'[1]Plate Infor'!$B:$D,3,FALSE)*D264</f>
        <v>2808</v>
      </c>
      <c r="P264" s="4">
        <f>IFERROR(VLOOKUP(IF(MID(M264,3,1)="F","W-UNPL-"&amp;RIGHT(M264,20),M264),'[1]Data Pule'!$C:$E,3,FALSE),0)*O264</f>
        <v>386.09999999999997</v>
      </c>
      <c r="Q264" s="1" t="str">
        <f>VLOOKUP(L264,'[1]Plate Infor'!$B:$E,4,FALSE)</f>
        <v>W-UNPL-YG85NXX-T3A0-02-7S00</v>
      </c>
      <c r="R264" s="1" t="str">
        <f>VLOOKUP(MID(Q264,8,4),'[1]Tipe Plate'!$C:$D,2,FALSE)</f>
        <v>Grid Casting</v>
      </c>
      <c r="S264" s="4">
        <f>VLOOKUP(L264,'[1]Plate Infor'!$B:$F,5,FALSE)*D264</f>
        <v>2808</v>
      </c>
      <c r="T264" s="4">
        <f>IFERROR(VLOOKUP(IF(MID(Q264,3,1)="F","W-UNPL-"&amp;RIGHT(Q264,20),Q264),'[1]Data Pule'!$C:$E,3,FALSE),0)*S264</f>
        <v>367.00559999999996</v>
      </c>
    </row>
    <row r="265" spans="3:20" x14ac:dyDescent="0.35">
      <c r="C265" s="1" t="s">
        <v>239</v>
      </c>
      <c r="D265">
        <v>189</v>
      </c>
      <c r="E265" s="3" t="str">
        <f>MID(C265,5,1)</f>
        <v>W</v>
      </c>
      <c r="F265" s="3"/>
      <c r="G265" s="3"/>
      <c r="H265" s="3"/>
      <c r="I265" s="3"/>
      <c r="J265" s="3"/>
      <c r="K265" s="3"/>
      <c r="L265" s="1" t="str">
        <f>MID(C265,3,17)</f>
        <v>AMWP-57412LX-B4C3</v>
      </c>
      <c r="M265" s="1" t="str">
        <f>VLOOKUP(L265,'[1]Plate Infor'!$B:$C,2,FALSE)</f>
        <v>W-UNPL-YG79HDP-L650-02-7S00</v>
      </c>
      <c r="N265" s="1" t="str">
        <f>VLOOKUP(MID(M265,8,4),'[1]Tipe Plate'!$C:$D,2,FALSE)</f>
        <v>Grid Casting</v>
      </c>
      <c r="O265" s="4">
        <f>VLOOKUP(L265,'[1]Plate Infor'!$B:$D,3,FALSE)*D265</f>
        <v>3969</v>
      </c>
      <c r="P265" s="4">
        <f>IFERROR(VLOOKUP(IF(MID(M265,3,1)="F","W-UNPL-"&amp;RIGHT(M265,20),M265),'[1]Data Pule'!$C:$E,3,FALSE),0)*O265</f>
        <v>572.72669999999994</v>
      </c>
      <c r="Q265" s="1" t="str">
        <f>VLOOKUP(L265,'[1]Plate Infor'!$B:$E,4,FALSE)</f>
        <v>W-UNPL-YG85NXX-T3A0-02-7S00</v>
      </c>
      <c r="R265" s="1" t="str">
        <f>VLOOKUP(MID(Q265,8,4),'[1]Tipe Plate'!$C:$D,2,FALSE)</f>
        <v>Grid Casting</v>
      </c>
      <c r="S265" s="4">
        <f>VLOOKUP(L265,'[1]Plate Infor'!$B:$F,5,FALSE)*D265</f>
        <v>3969</v>
      </c>
      <c r="T265" s="4">
        <f>IFERROR(VLOOKUP(IF(MID(Q265,3,1)="F","W-UNPL-"&amp;RIGHT(Q265,20),Q265),'[1]Data Pule'!$C:$E,3,FALSE),0)*S265</f>
        <v>518.74829999999997</v>
      </c>
    </row>
    <row r="266" spans="3:20" x14ac:dyDescent="0.35">
      <c r="C266" s="1" t="s">
        <v>240</v>
      </c>
      <c r="D266">
        <v>96</v>
      </c>
      <c r="E266" s="3" t="str">
        <f>MID(C266,5,1)</f>
        <v>W</v>
      </c>
      <c r="F266" s="3"/>
      <c r="G266" s="3"/>
      <c r="H266" s="3"/>
      <c r="I266" s="3"/>
      <c r="J266" s="3"/>
      <c r="K266" s="3"/>
      <c r="L266" s="1" t="str">
        <f>MID(C266,3,17)</f>
        <v>AMWP-60038LX-B8C3</v>
      </c>
      <c r="M266" s="1" t="str">
        <f>VLOOKUP(L266,'[1]Plate Infor'!$B:$C,2,FALSE)</f>
        <v>W-UNPL-YG79HDP-L650-02-7S00</v>
      </c>
      <c r="N266" s="1" t="str">
        <f>VLOOKUP(MID(M266,8,4),'[1]Tipe Plate'!$C:$D,2,FALSE)</f>
        <v>Grid Casting</v>
      </c>
      <c r="O266" s="4">
        <f>VLOOKUP(L266,'[1]Plate Infor'!$B:$D,3,FALSE)*D266</f>
        <v>2592</v>
      </c>
      <c r="P266" s="4">
        <f>IFERROR(VLOOKUP(IF(MID(M266,3,1)="F","W-UNPL-"&amp;RIGHT(M266,20),M266),'[1]Data Pule'!$C:$E,3,FALSE),0)*O266</f>
        <v>374.02559999999994</v>
      </c>
      <c r="Q266" s="1" t="str">
        <f>VLOOKUP(L266,'[1]Plate Infor'!$B:$E,4,FALSE)</f>
        <v>W-UNPL-YG85NXX-T3A0-02-7S00</v>
      </c>
      <c r="R266" s="1" t="str">
        <f>VLOOKUP(MID(Q266,8,4),'[1]Tipe Plate'!$C:$D,2,FALSE)</f>
        <v>Grid Casting</v>
      </c>
      <c r="S266" s="4">
        <f>VLOOKUP(L266,'[1]Plate Infor'!$B:$F,5,FALSE)*D266</f>
        <v>2592</v>
      </c>
      <c r="T266" s="4">
        <f>IFERROR(VLOOKUP(IF(MID(Q266,3,1)="F","W-UNPL-"&amp;RIGHT(Q266,20),Q266),'[1]Data Pule'!$C:$E,3,FALSE),0)*S266</f>
        <v>338.77439999999996</v>
      </c>
    </row>
    <row r="267" spans="3:20" x14ac:dyDescent="0.35">
      <c r="C267" s="1" t="s">
        <v>241</v>
      </c>
      <c r="D267">
        <v>84</v>
      </c>
      <c r="E267" s="3" t="str">
        <f>MID(C267,5,1)</f>
        <v>W</v>
      </c>
      <c r="F267" s="3"/>
      <c r="G267" s="3"/>
      <c r="H267" s="3"/>
      <c r="I267" s="3"/>
      <c r="J267" s="3"/>
      <c r="K267" s="3"/>
      <c r="L267" s="1" t="str">
        <f>MID(C267,3,17)</f>
        <v>AMWP-95E41RX-B7C3</v>
      </c>
      <c r="M267" s="1" t="str">
        <f>VLOOKUP(L267,'[1]Plate Infor'!$B:$C,2,FALSE)</f>
        <v>W-UNPL-YG8079P-L650-02-7S00</v>
      </c>
      <c r="N267" s="1" t="str">
        <f>VLOOKUP(MID(M267,8,4),'[1]Tipe Plate'!$C:$D,2,FALSE)</f>
        <v>Grid Casting</v>
      </c>
      <c r="O267" s="4">
        <f>VLOOKUP(L267,'[1]Plate Infor'!$B:$D,3,FALSE)*D267</f>
        <v>2016</v>
      </c>
      <c r="P267" s="4">
        <f>IFERROR(VLOOKUP(IF(MID(M267,3,1)="F","W-UNPL-"&amp;RIGHT(M267,20),M267),'[1]Data Pule'!$C:$E,3,FALSE),0)*O267</f>
        <v>318.52800000000002</v>
      </c>
      <c r="Q267" s="1" t="str">
        <f>VLOOKUP(L267,'[1]Plate Infor'!$B:$E,4,FALSE)</f>
        <v>W-UNPL-YG85NXX-T3A0-02-7S00</v>
      </c>
      <c r="R267" s="1" t="str">
        <f>VLOOKUP(MID(Q267,8,4),'[1]Tipe Plate'!$C:$D,2,FALSE)</f>
        <v>Grid Casting</v>
      </c>
      <c r="S267" s="4">
        <f>VLOOKUP(L267,'[1]Plate Infor'!$B:$F,5,FALSE)*D267</f>
        <v>2268</v>
      </c>
      <c r="T267" s="4">
        <f>IFERROR(VLOOKUP(IF(MID(Q267,3,1)="F","W-UNPL-"&amp;RIGHT(Q267,20),Q267),'[1]Data Pule'!$C:$E,3,FALSE),0)*S267</f>
        <v>296.42759999999998</v>
      </c>
    </row>
    <row r="268" spans="3:20" x14ac:dyDescent="0.35">
      <c r="C268" s="1" t="s">
        <v>242</v>
      </c>
      <c r="D268">
        <v>72</v>
      </c>
      <c r="E268" s="3" t="str">
        <f>MID(C268,5,1)</f>
        <v>W</v>
      </c>
      <c r="F268" s="3"/>
      <c r="G268" s="3"/>
      <c r="H268" s="3"/>
      <c r="I268" s="3"/>
      <c r="J268" s="3"/>
      <c r="K268" s="3"/>
      <c r="L268" s="1" t="str">
        <f>MID(C268,3,17)</f>
        <v>AMWP-115F51X-C1C3</v>
      </c>
      <c r="M268" s="1" t="str">
        <f>VLOOKUP(L268,'[1]Plate Infor'!$B:$C,2,FALSE)</f>
        <v>W-UNPL-YG8079P-L650-02-7S00</v>
      </c>
      <c r="N268" s="1" t="str">
        <f>VLOOKUP(MID(M268,8,4),'[1]Tipe Plate'!$C:$D,2,FALSE)</f>
        <v>Grid Casting</v>
      </c>
      <c r="O268" s="4">
        <f>VLOOKUP(L268,'[1]Plate Infor'!$B:$D,3,FALSE)*D268</f>
        <v>2160</v>
      </c>
      <c r="P268" s="4">
        <f>IFERROR(VLOOKUP(IF(MID(M268,3,1)="F","W-UNPL-"&amp;RIGHT(M268,20),M268),'[1]Data Pule'!$C:$E,3,FALSE),0)*O268</f>
        <v>341.28000000000003</v>
      </c>
      <c r="Q268" s="1" t="str">
        <f>VLOOKUP(L268,'[1]Plate Infor'!$B:$E,4,FALSE)</f>
        <v>W-UNPL-YG85NXX-T3A0-02-7S00</v>
      </c>
      <c r="R268" s="1" t="str">
        <f>VLOOKUP(MID(Q268,8,4),'[1]Tipe Plate'!$C:$D,2,FALSE)</f>
        <v>Grid Casting</v>
      </c>
      <c r="S268" s="4">
        <f>VLOOKUP(L268,'[1]Plate Infor'!$B:$F,5,FALSE)*D268</f>
        <v>2376</v>
      </c>
      <c r="T268" s="4">
        <f>IFERROR(VLOOKUP(IF(MID(Q268,3,1)="F","W-UNPL-"&amp;RIGHT(Q268,20),Q268),'[1]Data Pule'!$C:$E,3,FALSE),0)*S268</f>
        <v>310.54319999999996</v>
      </c>
    </row>
    <row r="269" spans="3:20" x14ac:dyDescent="0.35">
      <c r="C269" s="1" t="s">
        <v>243</v>
      </c>
      <c r="D269">
        <v>60</v>
      </c>
      <c r="E269" s="3" t="str">
        <f>MID(C269,5,1)</f>
        <v>W</v>
      </c>
      <c r="F269" s="3"/>
      <c r="G269" s="3"/>
      <c r="H269" s="3"/>
      <c r="I269" s="3"/>
      <c r="J269" s="3"/>
      <c r="K269" s="3"/>
      <c r="L269" s="1" t="str">
        <f>MID(C269,3,17)</f>
        <v>AMWP-145G51X-C7C3</v>
      </c>
      <c r="M269" s="1" t="str">
        <f>VLOOKUP(L269,'[1]Plate Infor'!$B:$C,2,FALSE)</f>
        <v>W-UNPL-YG82PXX-L650-02-7S00</v>
      </c>
      <c r="N269" s="1" t="str">
        <f>VLOOKUP(MID(M269,8,4),'[1]Tipe Plate'!$C:$D,2,FALSE)</f>
        <v>Grid Casting</v>
      </c>
      <c r="O269" s="4">
        <f>VLOOKUP(L269,'[1]Plate Infor'!$B:$D,3,FALSE)*D269</f>
        <v>2520</v>
      </c>
      <c r="P269" s="4">
        <f>IFERROR(VLOOKUP(IF(MID(M269,3,1)="F","W-UNPL-"&amp;RIGHT(M269,20),M269),'[1]Data Pule'!$C:$E,3,FALSE),0)*O269</f>
        <v>346.49999999999994</v>
      </c>
      <c r="Q269" s="1" t="str">
        <f>VLOOKUP(L269,'[1]Plate Infor'!$B:$E,4,FALSE)</f>
        <v>W-UNPL-YG85NXX-T3A0-02-7S00</v>
      </c>
      <c r="R269" s="1" t="str">
        <f>VLOOKUP(MID(Q269,8,4),'[1]Tipe Plate'!$C:$D,2,FALSE)</f>
        <v>Grid Casting</v>
      </c>
      <c r="S269" s="4">
        <f>VLOOKUP(L269,'[1]Plate Infor'!$B:$F,5,FALSE)*D269</f>
        <v>2340</v>
      </c>
      <c r="T269" s="4">
        <f>IFERROR(VLOOKUP(IF(MID(Q269,3,1)="F","W-UNPL-"&amp;RIGHT(Q269,20),Q269),'[1]Data Pule'!$C:$E,3,FALSE),0)*S269</f>
        <v>305.83799999999997</v>
      </c>
    </row>
    <row r="270" spans="3:20" x14ac:dyDescent="0.35">
      <c r="C270" s="1" t="s">
        <v>244</v>
      </c>
      <c r="D270">
        <v>336</v>
      </c>
      <c r="E270" s="3" t="str">
        <f>MID(C270,5,1)</f>
        <v>D</v>
      </c>
      <c r="F270" s="3"/>
      <c r="G270" s="3"/>
      <c r="H270" s="3"/>
      <c r="I270" s="3"/>
      <c r="J270" s="3"/>
      <c r="K270" s="3"/>
      <c r="L270" s="1" t="str">
        <f>MID(C270,3,17)</f>
        <v>ACDP-190H52X-D7C3</v>
      </c>
      <c r="M270" s="1" t="str">
        <f>VLOOKUP(L270,'[1]Plate Infor'!$B:$C,2,FALSE)</f>
        <v>W-FOPL-CG82PXX-L870-02-7S00</v>
      </c>
      <c r="N270" s="1" t="str">
        <f>VLOOKUP(MID(M270,8,4),'[1]Tipe Plate'!$C:$D,2,FALSE)</f>
        <v>Grid Casting</v>
      </c>
      <c r="O270" s="4">
        <f>VLOOKUP(L270,'[1]Plate Infor'!$B:$D,3,FALSE)*D270</f>
        <v>18144</v>
      </c>
      <c r="P270" s="4">
        <f>IFERROR(VLOOKUP(IF(MID(M270,3,1)="F","W-UNPL-"&amp;RIGHT(M270,20),M270),'[1]Data Pule'!$C:$E,3,FALSE),0)*O270</f>
        <v>2331.5039999999995</v>
      </c>
      <c r="Q270" s="1" t="str">
        <f>VLOOKUP(L270,'[1]Plate Infor'!$B:$E,4,FALSE)</f>
        <v>W-FOPL-CG87NXX-T3L0-02-7S00</v>
      </c>
      <c r="R270" s="1" t="str">
        <f>VLOOKUP(MID(Q270,8,4),'[1]Tipe Plate'!$C:$D,2,FALSE)</f>
        <v>Grid Casting</v>
      </c>
      <c r="S270" s="4">
        <f>VLOOKUP(L270,'[1]Plate Infor'!$B:$F,5,FALSE)*D270</f>
        <v>19152</v>
      </c>
      <c r="T270" s="4">
        <f>IFERROR(VLOOKUP(IF(MID(Q270,3,1)="F","W-UNPL-"&amp;RIGHT(Q270,20),Q270),'[1]Data Pule'!$C:$E,3,FALSE),0)*S270</f>
        <v>2202.48</v>
      </c>
    </row>
    <row r="271" spans="3:20" x14ac:dyDescent="0.35">
      <c r="C271" s="1" t="s">
        <v>245</v>
      </c>
      <c r="D271">
        <v>135</v>
      </c>
      <c r="E271" s="3" t="str">
        <f>MID(C271,5,1)</f>
        <v>W</v>
      </c>
      <c r="F271" s="3"/>
      <c r="G271" s="3"/>
      <c r="H271" s="3"/>
      <c r="I271" s="3"/>
      <c r="J271" s="3"/>
      <c r="K271" s="3"/>
      <c r="L271" s="1" t="str">
        <f>MID(C271,3,17)</f>
        <v>AMWP-45B20LX-B0P3</v>
      </c>
      <c r="M271" s="1" t="str">
        <f>VLOOKUP(L271,'[1]Plate Infor'!$B:$C,2,FALSE)</f>
        <v>W-UNPL-WM84PXX-L65F-00-7S00</v>
      </c>
      <c r="N271" s="1" t="str">
        <f>VLOOKUP(MID(M271,8,4),'[1]Tipe Plate'!$C:$D,2,FALSE)</f>
        <v>Grid Casting</v>
      </c>
      <c r="O271" s="4">
        <f>VLOOKUP(L271,'[1]Plate Infor'!$B:$D,3,FALSE)*D271</f>
        <v>2025</v>
      </c>
      <c r="P271" s="4">
        <f>IFERROR(VLOOKUP(IF(MID(M271,3,1)="F","W-UNPL-"&amp;RIGHT(M271,20),M271),'[1]Data Pule'!$C:$E,3,FALSE),0)*O271</f>
        <v>230.64750000000001</v>
      </c>
      <c r="Q271" s="1" t="str">
        <f>VLOOKUP(L271,'[1]Plate Infor'!$B:$E,4,FALSE)</f>
        <v>W-UNPL-WM85NXX-T3AF-00-7S00</v>
      </c>
      <c r="R271" s="1" t="str">
        <f>VLOOKUP(MID(Q271,8,4),'[1]Tipe Plate'!$C:$D,2,FALSE)</f>
        <v>Grid Punching</v>
      </c>
      <c r="S271" s="4">
        <f>VLOOKUP(L271,'[1]Plate Infor'!$B:$F,5,FALSE)*D271</f>
        <v>2025</v>
      </c>
      <c r="T271" s="4">
        <f>IFERROR(VLOOKUP(IF(MID(Q271,3,1)="F","W-UNPL-"&amp;RIGHT(Q271,20),Q271),'[1]Data Pule'!$C:$E,3,FALSE),0)*S271</f>
        <v>215.25750000000002</v>
      </c>
    </row>
    <row r="272" spans="3:20" x14ac:dyDescent="0.35">
      <c r="C272" s="1" t="s">
        <v>246</v>
      </c>
      <c r="D272">
        <v>540</v>
      </c>
      <c r="E272" s="3" t="str">
        <f>MID(C272,5,1)</f>
        <v>W</v>
      </c>
      <c r="F272" s="3"/>
      <c r="G272" s="3"/>
      <c r="H272" s="3"/>
      <c r="I272" s="3"/>
      <c r="J272" s="3"/>
      <c r="K272" s="3"/>
      <c r="L272" s="1" t="str">
        <f>MID(C272,3,17)</f>
        <v>AMWP-50B24LX-B1P3</v>
      </c>
      <c r="M272" s="1" t="str">
        <f>VLOOKUP(L272,'[1]Plate Infor'!$B:$C,2,FALSE)</f>
        <v>W-UNPL-WM84PXX-L65F-00-7S00</v>
      </c>
      <c r="N272" s="1" t="str">
        <f>VLOOKUP(MID(M272,8,4),'[1]Tipe Plate'!$C:$D,2,FALSE)</f>
        <v>Grid Casting</v>
      </c>
      <c r="O272" s="4">
        <f>VLOOKUP(L272,'[1]Plate Infor'!$B:$D,3,FALSE)*D272</f>
        <v>9720</v>
      </c>
      <c r="P272" s="4">
        <f>IFERROR(VLOOKUP(IF(MID(M272,3,1)="F","W-UNPL-"&amp;RIGHT(M272,20),M272),'[1]Data Pule'!$C:$E,3,FALSE),0)*O272</f>
        <v>1107.1079999999999</v>
      </c>
      <c r="Q272" s="1" t="str">
        <f>VLOOKUP(L272,'[1]Plate Infor'!$B:$E,4,FALSE)</f>
        <v>W-UNPL-WM85NXX-T3AF-00-7S00</v>
      </c>
      <c r="R272" s="1" t="str">
        <f>VLOOKUP(MID(Q272,8,4),'[1]Tipe Plate'!$C:$D,2,FALSE)</f>
        <v>Grid Punching</v>
      </c>
      <c r="S272" s="4">
        <f>VLOOKUP(L272,'[1]Plate Infor'!$B:$F,5,FALSE)*D272</f>
        <v>8100</v>
      </c>
      <c r="T272" s="4">
        <f>IFERROR(VLOOKUP(IF(MID(Q272,3,1)="F","W-UNPL-"&amp;RIGHT(Q272,20),Q272),'[1]Data Pule'!$C:$E,3,FALSE),0)*S272</f>
        <v>861.03000000000009</v>
      </c>
    </row>
    <row r="273" spans="3:20" x14ac:dyDescent="0.35">
      <c r="C273" s="1" t="s">
        <v>247</v>
      </c>
      <c r="D273">
        <v>336</v>
      </c>
      <c r="E273" s="3" t="str">
        <f>MID(C273,5,1)</f>
        <v>W</v>
      </c>
      <c r="F273" s="3"/>
      <c r="G273" s="3"/>
      <c r="H273" s="3"/>
      <c r="I273" s="3"/>
      <c r="J273" s="3"/>
      <c r="K273" s="3"/>
      <c r="L273" s="1" t="str">
        <f>MID(C273,3,17)</f>
        <v>AMWP-65D23LX-B0P3</v>
      </c>
      <c r="M273" s="1" t="str">
        <f>VLOOKUP(L273,'[1]Plate Infor'!$B:$C,2,FALSE)</f>
        <v>W-UNPL-WG83PXX-L65F-00-7C00</v>
      </c>
      <c r="N273" s="1" t="str">
        <f>VLOOKUP(MID(M273,8,4),'[1]Tipe Plate'!$C:$D,2,FALSE)</f>
        <v>Grid Punching</v>
      </c>
      <c r="O273" s="4">
        <f>VLOOKUP(L273,'[1]Plate Infor'!$B:$D,3,FALSE)*D273</f>
        <v>5040</v>
      </c>
      <c r="P273" s="4">
        <f>IFERROR(VLOOKUP(IF(MID(M273,3,1)="F","W-UNPL-"&amp;RIGHT(M273,20),M273),'[1]Data Pule'!$C:$E,3,FALSE),0)*O273</f>
        <v>853.27199999999993</v>
      </c>
      <c r="Q273" s="1" t="str">
        <f>VLOOKUP(L273,'[1]Plate Infor'!$B:$E,4,FALSE)</f>
        <v>W-UNPL-WG87NXX-T3AF-00-7C00</v>
      </c>
      <c r="R273" s="1" t="str">
        <f>VLOOKUP(MID(Q273,8,4),'[1]Tipe Plate'!$C:$D,2,FALSE)</f>
        <v>Grid Punching</v>
      </c>
      <c r="S273" s="4">
        <f>VLOOKUP(L273,'[1]Plate Infor'!$B:$F,5,FALSE)*D273</f>
        <v>5040</v>
      </c>
      <c r="T273" s="4">
        <f>IFERROR(VLOOKUP(IF(MID(Q273,3,1)="F","W-UNPL-"&amp;RIGHT(Q273,20),Q273),'[1]Data Pule'!$C:$E,3,FALSE),0)*S273</f>
        <v>658.72799999999995</v>
      </c>
    </row>
    <row r="274" spans="3:20" x14ac:dyDescent="0.35">
      <c r="C274" s="1" t="s">
        <v>248</v>
      </c>
      <c r="D274">
        <v>144</v>
      </c>
      <c r="E274" s="3" t="str">
        <f>MID(C274,5,1)</f>
        <v>W</v>
      </c>
      <c r="F274" s="3"/>
      <c r="G274" s="3"/>
      <c r="H274" s="3"/>
      <c r="I274" s="3"/>
      <c r="J274" s="3"/>
      <c r="K274" s="3"/>
      <c r="L274" s="1" t="str">
        <f>MID(C274,3,17)</f>
        <v>AMWP-70D26RX-B0P3</v>
      </c>
      <c r="M274" s="1" t="str">
        <f>VLOOKUP(L274,'[1]Plate Infor'!$B:$C,2,FALSE)</f>
        <v>W-UNPL-WG83PXX-L65F-00-7C00</v>
      </c>
      <c r="N274" s="1" t="str">
        <f>VLOOKUP(MID(M274,8,4),'[1]Tipe Plate'!$C:$D,2,FALSE)</f>
        <v>Grid Punching</v>
      </c>
      <c r="O274" s="4">
        <f>VLOOKUP(L274,'[1]Plate Infor'!$B:$D,3,FALSE)*D274</f>
        <v>2160</v>
      </c>
      <c r="P274" s="4">
        <f>IFERROR(VLOOKUP(IF(MID(M274,3,1)="F","W-UNPL-"&amp;RIGHT(M274,20),M274),'[1]Data Pule'!$C:$E,3,FALSE),0)*O274</f>
        <v>365.68799999999993</v>
      </c>
      <c r="Q274" s="1" t="str">
        <f>VLOOKUP(L274,'[1]Plate Infor'!$B:$E,4,FALSE)</f>
        <v>W-UNPL-WG87NXX-T3AF-00-7C00</v>
      </c>
      <c r="R274" s="1" t="str">
        <f>VLOOKUP(MID(Q274,8,4),'[1]Tipe Plate'!$C:$D,2,FALSE)</f>
        <v>Grid Punching</v>
      </c>
      <c r="S274" s="4">
        <f>VLOOKUP(L274,'[1]Plate Infor'!$B:$F,5,FALSE)*D274</f>
        <v>2160</v>
      </c>
      <c r="T274" s="4">
        <f>IFERROR(VLOOKUP(IF(MID(Q274,3,1)="F","W-UNPL-"&amp;RIGHT(Q274,20),Q274),'[1]Data Pule'!$C:$E,3,FALSE),0)*S274</f>
        <v>282.31199999999995</v>
      </c>
    </row>
    <row r="275" spans="3:20" x14ac:dyDescent="0.35">
      <c r="C275" s="1" t="s">
        <v>145</v>
      </c>
      <c r="D275">
        <v>72</v>
      </c>
      <c r="E275" s="3" t="str">
        <f>MID(C275,5,1)</f>
        <v>W</v>
      </c>
      <c r="F275" s="3"/>
      <c r="G275" s="3"/>
      <c r="H275" s="3"/>
      <c r="I275" s="3"/>
      <c r="J275" s="3"/>
      <c r="K275" s="3"/>
      <c r="L275" s="1" t="str">
        <f>MID(C275,3,17)</f>
        <v>AMWP-135F51X-C1C3</v>
      </c>
      <c r="M275" s="1" t="str">
        <f>VLOOKUP(L275,'[1]Plate Infor'!$B:$C,2,FALSE)</f>
        <v>W-UNPL-YG8079P-L650-02-7S00</v>
      </c>
      <c r="N275" s="1" t="str">
        <f>VLOOKUP(MID(M275,8,4),'[1]Tipe Plate'!$C:$D,2,FALSE)</f>
        <v>Grid Casting</v>
      </c>
      <c r="O275" s="4">
        <f>VLOOKUP(L275,'[1]Plate Infor'!$B:$D,3,FALSE)*D275</f>
        <v>2160</v>
      </c>
      <c r="P275" s="4">
        <f>IFERROR(VLOOKUP(IF(MID(M275,3,1)="F","W-UNPL-"&amp;RIGHT(M275,20),M275),'[1]Data Pule'!$C:$E,3,FALSE),0)*O275</f>
        <v>341.28000000000003</v>
      </c>
      <c r="Q275" s="1" t="str">
        <f>VLOOKUP(L275,'[1]Plate Infor'!$B:$E,4,FALSE)</f>
        <v>W-UNPL-YG85NXX-T3A0-02-7S00</v>
      </c>
      <c r="R275" s="1" t="str">
        <f>VLOOKUP(MID(Q275,8,4),'[1]Tipe Plate'!$C:$D,2,FALSE)</f>
        <v>Grid Casting</v>
      </c>
      <c r="S275" s="4">
        <f>VLOOKUP(L275,'[1]Plate Infor'!$B:$F,5,FALSE)*D275</f>
        <v>2376</v>
      </c>
      <c r="T275" s="4">
        <f>IFERROR(VLOOKUP(IF(MID(Q275,3,1)="F","W-UNPL-"&amp;RIGHT(Q275,20),Q275),'[1]Data Pule'!$C:$E,3,FALSE),0)*S275</f>
        <v>310.54319999999996</v>
      </c>
    </row>
    <row r="276" spans="3:20" x14ac:dyDescent="0.35">
      <c r="C276" s="1" t="s">
        <v>249</v>
      </c>
      <c r="D276">
        <v>42</v>
      </c>
      <c r="E276" s="3" t="str">
        <f>MID(C276,5,1)</f>
        <v>W</v>
      </c>
      <c r="F276" s="3"/>
      <c r="G276" s="3"/>
      <c r="H276" s="3"/>
      <c r="I276" s="3"/>
      <c r="J276" s="3"/>
      <c r="K276" s="3"/>
      <c r="L276" s="1" t="str">
        <f>MID(C276,3,17)</f>
        <v>AMWP-115E41R-B7C3</v>
      </c>
      <c r="M276" s="1" t="str">
        <f>VLOOKUP(L276,'[1]Plate Infor'!$B:$C,2,FALSE)</f>
        <v>W-UNPL-YG8079P-L650-02-7S00</v>
      </c>
      <c r="N276" s="1" t="str">
        <f>VLOOKUP(MID(M276,8,4),'[1]Tipe Plate'!$C:$D,2,FALSE)</f>
        <v>Grid Casting</v>
      </c>
      <c r="O276" s="4">
        <f>VLOOKUP(L276,'[1]Plate Infor'!$B:$D,3,FALSE)*D276</f>
        <v>1008</v>
      </c>
      <c r="P276" s="4">
        <f>IFERROR(VLOOKUP(IF(MID(M276,3,1)="F","W-UNPL-"&amp;RIGHT(M276,20),M276),'[1]Data Pule'!$C:$E,3,FALSE),0)*O276</f>
        <v>159.26400000000001</v>
      </c>
      <c r="Q276" s="1" t="str">
        <f>VLOOKUP(L276,'[1]Plate Infor'!$B:$E,4,FALSE)</f>
        <v>W-UNPL-YG85NXX-T3A0-02-7S00</v>
      </c>
      <c r="R276" s="1" t="str">
        <f>VLOOKUP(MID(Q276,8,4),'[1]Tipe Plate'!$C:$D,2,FALSE)</f>
        <v>Grid Casting</v>
      </c>
      <c r="S276" s="4">
        <f>VLOOKUP(L276,'[1]Plate Infor'!$B:$F,5,FALSE)*D276</f>
        <v>1134</v>
      </c>
      <c r="T276" s="4">
        <f>IFERROR(VLOOKUP(IF(MID(Q276,3,1)="F","W-UNPL-"&amp;RIGHT(Q276,20),Q276),'[1]Data Pule'!$C:$E,3,FALSE),0)*S276</f>
        <v>148.21379999999999</v>
      </c>
    </row>
    <row r="277" spans="3:20" x14ac:dyDescent="0.35">
      <c r="C277" s="1" t="s">
        <v>250</v>
      </c>
      <c r="D277">
        <v>48</v>
      </c>
      <c r="E277" s="3" t="str">
        <f>MID(C277,5,1)</f>
        <v>W</v>
      </c>
      <c r="F277" s="3"/>
      <c r="G277" s="3"/>
      <c r="H277" s="3"/>
      <c r="I277" s="3"/>
      <c r="J277" s="3"/>
      <c r="K277" s="3"/>
      <c r="L277" s="1" t="str">
        <f>MID(C277,3,17)</f>
        <v>AMWP-60038LX-B8C3</v>
      </c>
      <c r="M277" s="1" t="str">
        <f>VLOOKUP(L277,'[1]Plate Infor'!$B:$C,2,FALSE)</f>
        <v>W-UNPL-YG79HDP-L650-02-7S00</v>
      </c>
      <c r="N277" s="1" t="str">
        <f>VLOOKUP(MID(M277,8,4),'[1]Tipe Plate'!$C:$D,2,FALSE)</f>
        <v>Grid Casting</v>
      </c>
      <c r="O277" s="4">
        <f>VLOOKUP(L277,'[1]Plate Infor'!$B:$D,3,FALSE)*D277</f>
        <v>1296</v>
      </c>
      <c r="P277" s="4">
        <f>IFERROR(VLOOKUP(IF(MID(M277,3,1)="F","W-UNPL-"&amp;RIGHT(M277,20),M277),'[1]Data Pule'!$C:$E,3,FALSE),0)*O277</f>
        <v>187.01279999999997</v>
      </c>
      <c r="Q277" s="1" t="str">
        <f>VLOOKUP(L277,'[1]Plate Infor'!$B:$E,4,FALSE)</f>
        <v>W-UNPL-YG85NXX-T3A0-02-7S00</v>
      </c>
      <c r="R277" s="1" t="str">
        <f>VLOOKUP(MID(Q277,8,4),'[1]Tipe Plate'!$C:$D,2,FALSE)</f>
        <v>Grid Casting</v>
      </c>
      <c r="S277" s="4">
        <f>VLOOKUP(L277,'[1]Plate Infor'!$B:$F,5,FALSE)*D277</f>
        <v>1296</v>
      </c>
      <c r="T277" s="4">
        <f>IFERROR(VLOOKUP(IF(MID(Q277,3,1)="F","W-UNPL-"&amp;RIGHT(Q277,20),Q277),'[1]Data Pule'!$C:$E,3,FALSE),0)*S277</f>
        <v>169.38719999999998</v>
      </c>
    </row>
    <row r="278" spans="3:20" x14ac:dyDescent="0.35">
      <c r="C278" s="1" t="s">
        <v>251</v>
      </c>
      <c r="D278">
        <v>72</v>
      </c>
      <c r="E278" s="3" t="str">
        <f>MID(C278,5,1)</f>
        <v>W</v>
      </c>
      <c r="F278" s="3"/>
      <c r="G278" s="3"/>
      <c r="H278" s="3"/>
      <c r="I278" s="3"/>
      <c r="J278" s="3"/>
      <c r="K278" s="3"/>
      <c r="L278" s="1" t="str">
        <f>MID(C278,3,17)</f>
        <v>AMWP-90D26RX-B3P3</v>
      </c>
      <c r="M278" s="1" t="str">
        <f>VLOOKUP(L278,'[1]Plate Infor'!$B:$C,2,FALSE)</f>
        <v>W-UNPL-WG83PXX-L65F-00-7C00</v>
      </c>
      <c r="N278" s="1" t="str">
        <f>VLOOKUP(MID(M278,8,4),'[1]Tipe Plate'!$C:$D,2,FALSE)</f>
        <v>Grid Punching</v>
      </c>
      <c r="O278" s="4">
        <f>VLOOKUP(L278,'[1]Plate Infor'!$B:$D,3,FALSE)*D278</f>
        <v>1512</v>
      </c>
      <c r="P278" s="4">
        <f>IFERROR(VLOOKUP(IF(MID(M278,3,1)="F","W-UNPL-"&amp;RIGHT(M278,20),M278),'[1]Data Pule'!$C:$E,3,FALSE),0)*O278</f>
        <v>255.98159999999996</v>
      </c>
      <c r="Q278" s="1" t="str">
        <f>VLOOKUP(L278,'[1]Plate Infor'!$B:$E,4,FALSE)</f>
        <v>W-UNPL-WG87NXX-T3AF-00-7C00</v>
      </c>
      <c r="R278" s="1" t="str">
        <f>VLOOKUP(MID(Q278,8,4),'[1]Tipe Plate'!$C:$D,2,FALSE)</f>
        <v>Grid Punching</v>
      </c>
      <c r="S278" s="4">
        <f>VLOOKUP(L278,'[1]Plate Infor'!$B:$F,5,FALSE)*D278</f>
        <v>1296</v>
      </c>
      <c r="T278" s="4">
        <f>IFERROR(VLOOKUP(IF(MID(Q278,3,1)="F","W-UNPL-"&amp;RIGHT(Q278,20),Q278),'[1]Data Pule'!$C:$E,3,FALSE),0)*S278</f>
        <v>169.38719999999998</v>
      </c>
    </row>
    <row r="279" spans="3:20" x14ac:dyDescent="0.35">
      <c r="C279" s="1" t="s">
        <v>252</v>
      </c>
      <c r="D279">
        <v>30</v>
      </c>
      <c r="E279" s="3" t="str">
        <f>MID(C279,5,1)</f>
        <v>W</v>
      </c>
      <c r="F279" s="3"/>
      <c r="G279" s="3"/>
      <c r="H279" s="3"/>
      <c r="I279" s="3"/>
      <c r="J279" s="3"/>
      <c r="K279" s="3"/>
      <c r="L279" s="1" t="str">
        <f>MID(C279,3,17)</f>
        <v>AMWP-170G51X-C7C3</v>
      </c>
      <c r="M279" s="1" t="str">
        <f>VLOOKUP(L279,'[1]Plate Infor'!$B:$C,2,FALSE)</f>
        <v>W-UNPL-YG82PXX-L650-02-7S00</v>
      </c>
      <c r="N279" s="1" t="str">
        <f>VLOOKUP(MID(M279,8,4),'[1]Tipe Plate'!$C:$D,2,FALSE)</f>
        <v>Grid Casting</v>
      </c>
      <c r="O279" s="4">
        <f>VLOOKUP(L279,'[1]Plate Infor'!$B:$D,3,FALSE)*D279</f>
        <v>1260</v>
      </c>
      <c r="P279" s="4">
        <f>IFERROR(VLOOKUP(IF(MID(M279,3,1)="F","W-UNPL-"&amp;RIGHT(M279,20),M279),'[1]Data Pule'!$C:$E,3,FALSE),0)*O279</f>
        <v>173.24999999999997</v>
      </c>
      <c r="Q279" s="1" t="str">
        <f>VLOOKUP(L279,'[1]Plate Infor'!$B:$E,4,FALSE)</f>
        <v>W-UNPL-YG85NXX-T3A0-02-7S00</v>
      </c>
      <c r="R279" s="1" t="str">
        <f>VLOOKUP(MID(Q279,8,4),'[1]Tipe Plate'!$C:$D,2,FALSE)</f>
        <v>Grid Casting</v>
      </c>
      <c r="S279" s="4">
        <f>VLOOKUP(L279,'[1]Plate Infor'!$B:$F,5,FALSE)*D279</f>
        <v>1170</v>
      </c>
      <c r="T279" s="4">
        <f>IFERROR(VLOOKUP(IF(MID(Q279,3,1)="F","W-UNPL-"&amp;RIGHT(Q279,20),Q279),'[1]Data Pule'!$C:$E,3,FALSE),0)*S279</f>
        <v>152.91899999999998</v>
      </c>
    </row>
    <row r="280" spans="3:20" x14ac:dyDescent="0.35">
      <c r="C280" s="1" t="s">
        <v>253</v>
      </c>
      <c r="D280">
        <v>72</v>
      </c>
      <c r="E280" s="3" t="str">
        <f>MID(C280,5,1)</f>
        <v>W</v>
      </c>
      <c r="F280" s="3"/>
      <c r="G280" s="3"/>
      <c r="H280" s="3"/>
      <c r="I280" s="3"/>
      <c r="J280" s="3"/>
      <c r="K280" s="3"/>
      <c r="L280" s="1" t="str">
        <f>MID(C280,3,17)</f>
        <v>AMWP-55D26LX-A8P3</v>
      </c>
      <c r="M280" s="1" t="str">
        <f>VLOOKUP(L280,'[1]Plate Infor'!$B:$C,2,FALSE)</f>
        <v>W-UNPL-WG83PXX-L65F-00-7C00</v>
      </c>
      <c r="N280" s="1" t="str">
        <f>VLOOKUP(MID(M280,8,4),'[1]Tipe Plate'!$C:$D,2,FALSE)</f>
        <v>Grid Punching</v>
      </c>
      <c r="O280" s="4">
        <f>VLOOKUP(L280,'[1]Plate Infor'!$B:$D,3,FALSE)*D280</f>
        <v>864</v>
      </c>
      <c r="P280" s="4">
        <f>IFERROR(VLOOKUP(IF(MID(M280,3,1)="F","W-UNPL-"&amp;RIGHT(M280,20),M280),'[1]Data Pule'!$C:$E,3,FALSE),0)*O280</f>
        <v>146.27519999999998</v>
      </c>
      <c r="Q280" s="1" t="str">
        <f>VLOOKUP(L280,'[1]Plate Infor'!$B:$E,4,FALSE)</f>
        <v>W-UNPL-WG87NXX-T3AF-00-7C00</v>
      </c>
      <c r="R280" s="1" t="str">
        <f>VLOOKUP(MID(Q280,8,4),'[1]Tipe Plate'!$C:$D,2,FALSE)</f>
        <v>Grid Punching</v>
      </c>
      <c r="S280" s="4">
        <f>VLOOKUP(L280,'[1]Plate Infor'!$B:$F,5,FALSE)*D280</f>
        <v>864</v>
      </c>
      <c r="T280" s="4">
        <f>IFERROR(VLOOKUP(IF(MID(Q280,3,1)="F","W-UNPL-"&amp;RIGHT(Q280,20),Q280),'[1]Data Pule'!$C:$E,3,FALSE),0)*S280</f>
        <v>112.92479999999999</v>
      </c>
    </row>
    <row r="281" spans="3:20" x14ac:dyDescent="0.35">
      <c r="C281" s="1" t="s">
        <v>254</v>
      </c>
      <c r="D281">
        <v>63</v>
      </c>
      <c r="E281" s="3" t="str">
        <f>MID(C281,5,1)</f>
        <v>W</v>
      </c>
      <c r="F281" s="3"/>
      <c r="G281" s="3"/>
      <c r="H281" s="3"/>
      <c r="I281" s="3"/>
      <c r="J281" s="3"/>
      <c r="K281" s="3"/>
      <c r="L281" s="1" t="str">
        <f>MID(C281,3,17)</f>
        <v>AMWP-80D31RX-B2P3</v>
      </c>
      <c r="M281" s="1" t="str">
        <f>VLOOKUP(L281,'[1]Plate Infor'!$B:$C,2,FALSE)</f>
        <v>W-UNPL-WG83PXX-L65F-00-7C00</v>
      </c>
      <c r="N281" s="1" t="str">
        <f>VLOOKUP(MID(M281,8,4),'[1]Tipe Plate'!$C:$D,2,FALSE)</f>
        <v>Grid Punching</v>
      </c>
      <c r="O281" s="4">
        <f>VLOOKUP(L281,'[1]Plate Infor'!$B:$D,3,FALSE)*D281</f>
        <v>1134</v>
      </c>
      <c r="P281" s="4">
        <f>IFERROR(VLOOKUP(IF(MID(M281,3,1)="F","W-UNPL-"&amp;RIGHT(M281,20),M281),'[1]Data Pule'!$C:$E,3,FALSE),0)*O281</f>
        <v>191.98619999999997</v>
      </c>
      <c r="Q281" s="1" t="str">
        <f>VLOOKUP(L281,'[1]Plate Infor'!$B:$E,4,FALSE)</f>
        <v>W-UNPL-WG87NXX-T3AF-00-7C00</v>
      </c>
      <c r="R281" s="1" t="str">
        <f>VLOOKUP(MID(Q281,8,4),'[1]Tipe Plate'!$C:$D,2,FALSE)</f>
        <v>Grid Punching</v>
      </c>
      <c r="S281" s="4">
        <f>VLOOKUP(L281,'[1]Plate Infor'!$B:$F,5,FALSE)*D281</f>
        <v>1134</v>
      </c>
      <c r="T281" s="4">
        <f>IFERROR(VLOOKUP(IF(MID(Q281,3,1)="F","W-UNPL-"&amp;RIGHT(Q281,20),Q281),'[1]Data Pule'!$C:$E,3,FALSE),0)*S281</f>
        <v>148.21379999999999</v>
      </c>
    </row>
    <row r="282" spans="3:20" x14ac:dyDescent="0.35">
      <c r="C282" s="1" t="s">
        <v>255</v>
      </c>
      <c r="D282">
        <v>128</v>
      </c>
      <c r="E282" s="3" t="str">
        <f>MID(C282,5,1)</f>
        <v>U</v>
      </c>
      <c r="F282" s="3"/>
      <c r="G282" s="3"/>
      <c r="H282" s="3"/>
      <c r="I282" s="3"/>
      <c r="J282" s="3"/>
      <c r="K282" s="3"/>
      <c r="L282" s="1" t="str">
        <f>MID(C282,3,17)</f>
        <v>ACUP-95E41RX-B5C4</v>
      </c>
      <c r="M282" s="1" t="str">
        <f>VLOOKUP(L282,'[1]Plate Infor'!$B:$C,2,FALSE)</f>
        <v>W-UNPL-CG80PXX-L870-02-7S00</v>
      </c>
      <c r="N282" s="1" t="str">
        <f>VLOOKUP(MID(M282,8,4),'[1]Tipe Plate'!$C:$D,2,FALSE)</f>
        <v>Grid Casting</v>
      </c>
      <c r="O282" s="4">
        <f>VLOOKUP(L282,'[1]Plate Infor'!$B:$D,3,FALSE)*D282</f>
        <v>2688</v>
      </c>
      <c r="P282" s="4">
        <f>IFERROR(VLOOKUP(IF(MID(M282,3,1)="F","W-UNPL-"&amp;RIGHT(M282,20),M282),'[1]Data Pule'!$C:$E,3,FALSE),0)*O282</f>
        <v>406.15679999999998</v>
      </c>
      <c r="Q282" s="1" t="str">
        <f>VLOOKUP(L282,'[1]Plate Infor'!$B:$E,4,FALSE)</f>
        <v>W-UNPL-CG87NXX-T3L0-02-7S00</v>
      </c>
      <c r="R282" s="1" t="str">
        <f>VLOOKUP(MID(Q282,8,4),'[1]Tipe Plate'!$C:$D,2,FALSE)</f>
        <v>Grid Casting</v>
      </c>
      <c r="S282" s="4">
        <f>VLOOKUP(L282,'[1]Plate Infor'!$B:$F,5,FALSE)*D282</f>
        <v>3072</v>
      </c>
      <c r="T282" s="4">
        <f>IFERROR(VLOOKUP(IF(MID(Q282,3,1)="F","W-UNPL-"&amp;RIGHT(Q282,20),Q282),'[1]Data Pule'!$C:$E,3,FALSE),0)*S282</f>
        <v>353.28000000000003</v>
      </c>
    </row>
    <row r="283" spans="3:20" x14ac:dyDescent="0.35">
      <c r="C283" s="1" t="s">
        <v>256</v>
      </c>
      <c r="D283">
        <v>72</v>
      </c>
      <c r="E283" s="3" t="str">
        <f>MID(C283,5,1)</f>
        <v>U</v>
      </c>
      <c r="F283" s="3"/>
      <c r="G283" s="3"/>
      <c r="H283" s="3"/>
      <c r="I283" s="3"/>
      <c r="J283" s="3"/>
      <c r="K283" s="3"/>
      <c r="L283" s="1" t="str">
        <f>MID(C283,3,17)</f>
        <v>ACUP-115F51X-C1C3</v>
      </c>
      <c r="M283" s="1" t="str">
        <f>VLOOKUP(L283,'[1]Plate Infor'!$B:$C,2,FALSE)</f>
        <v>W-UNPL-CG80PXX-L870-02-7S00</v>
      </c>
      <c r="N283" s="1" t="str">
        <f>VLOOKUP(MID(M283,8,4),'[1]Tipe Plate'!$C:$D,2,FALSE)</f>
        <v>Grid Casting</v>
      </c>
      <c r="O283" s="4">
        <f>VLOOKUP(L283,'[1]Plate Infor'!$B:$D,3,FALSE)*D283</f>
        <v>2160</v>
      </c>
      <c r="P283" s="4">
        <f>IFERROR(VLOOKUP(IF(MID(M283,3,1)="F","W-UNPL-"&amp;RIGHT(M283,20),M283),'[1]Data Pule'!$C:$E,3,FALSE),0)*O283</f>
        <v>326.37599999999998</v>
      </c>
      <c r="Q283" s="1" t="str">
        <f>VLOOKUP(L283,'[1]Plate Infor'!$B:$E,4,FALSE)</f>
        <v>W-UNPL-CG87NXX-T3L0-02-7S00</v>
      </c>
      <c r="R283" s="1" t="str">
        <f>VLOOKUP(MID(Q283,8,4),'[1]Tipe Plate'!$C:$D,2,FALSE)</f>
        <v>Grid Casting</v>
      </c>
      <c r="S283" s="4">
        <f>VLOOKUP(L283,'[1]Plate Infor'!$B:$F,5,FALSE)*D283</f>
        <v>2376</v>
      </c>
      <c r="T283" s="4">
        <f>IFERROR(VLOOKUP(IF(MID(Q283,3,1)="F","W-UNPL-"&amp;RIGHT(Q283,20),Q283),'[1]Data Pule'!$C:$E,3,FALSE),0)*S283</f>
        <v>273.24</v>
      </c>
    </row>
    <row r="284" spans="3:20" x14ac:dyDescent="0.35">
      <c r="C284" s="1" t="s">
        <v>227</v>
      </c>
      <c r="D284">
        <v>60</v>
      </c>
      <c r="E284" s="3" t="str">
        <f>MID(C284,5,1)</f>
        <v>U</v>
      </c>
      <c r="F284" s="3"/>
      <c r="G284" s="3"/>
      <c r="H284" s="3"/>
      <c r="I284" s="3"/>
      <c r="J284" s="3"/>
      <c r="K284" s="3"/>
      <c r="L284" s="1" t="str">
        <f>MID(C284,3,17)</f>
        <v>ACUP-145G51X-C3C5</v>
      </c>
      <c r="M284" s="1" t="str">
        <f>VLOOKUP(L284,'[1]Plate Infor'!$B:$C,2,FALSE)</f>
        <v>W-UNPL-CG82PXX-L870-02-7S00</v>
      </c>
      <c r="N284" s="1" t="str">
        <f>VLOOKUP(MID(M284,8,4),'[1]Tipe Plate'!$C:$D,2,FALSE)</f>
        <v>Grid Casting</v>
      </c>
      <c r="O284" s="4">
        <f>VLOOKUP(L284,'[1]Plate Infor'!$B:$D,3,FALSE)*D284</f>
        <v>1980</v>
      </c>
      <c r="P284" s="4">
        <f>IFERROR(VLOOKUP(IF(MID(M284,3,1)="F","W-UNPL-"&amp;RIGHT(M284,20),M284),'[1]Data Pule'!$C:$E,3,FALSE),0)*O284</f>
        <v>254.42999999999995</v>
      </c>
      <c r="Q284" s="1" t="str">
        <f>VLOOKUP(L284,'[1]Plate Infor'!$B:$E,4,FALSE)</f>
        <v>W-UNPL-CG87NXX-T3L0-02-7S00</v>
      </c>
      <c r="R284" s="1" t="str">
        <f>VLOOKUP(MID(Q284,8,4),'[1]Tipe Plate'!$C:$D,2,FALSE)</f>
        <v>Grid Casting</v>
      </c>
      <c r="S284" s="4">
        <f>VLOOKUP(L284,'[1]Plate Infor'!$B:$F,5,FALSE)*D284</f>
        <v>2160</v>
      </c>
      <c r="T284" s="4">
        <f>IFERROR(VLOOKUP(IF(MID(Q284,3,1)="F","W-UNPL-"&amp;RIGHT(Q284,20),Q284),'[1]Data Pule'!$C:$E,3,FALSE),0)*S284</f>
        <v>248.4</v>
      </c>
    </row>
    <row r="285" spans="3:20" x14ac:dyDescent="0.35">
      <c r="C285" s="1" t="s">
        <v>226</v>
      </c>
      <c r="D285">
        <v>72</v>
      </c>
      <c r="E285" s="3" t="str">
        <f>MID(C285,5,1)</f>
        <v>U</v>
      </c>
      <c r="F285" s="3"/>
      <c r="G285" s="3"/>
      <c r="H285" s="3"/>
      <c r="I285" s="3"/>
      <c r="J285" s="3"/>
      <c r="K285" s="3"/>
      <c r="L285" s="1" t="str">
        <f>MID(C285,3,17)</f>
        <v>ACUP-115F51X-B9C4</v>
      </c>
      <c r="M285" s="1" t="str">
        <f>VLOOKUP(L285,'[1]Plate Infor'!$B:$C,2,FALSE)</f>
        <v>W-UNPL-CG82PXX-L870-02-7S00</v>
      </c>
      <c r="N285" s="1" t="str">
        <f>VLOOKUP(MID(M285,8,4),'[1]Tipe Plate'!$C:$D,2,FALSE)</f>
        <v>Grid Casting</v>
      </c>
      <c r="O285" s="4">
        <f>VLOOKUP(L285,'[1]Plate Infor'!$B:$D,3,FALSE)*D285</f>
        <v>1944</v>
      </c>
      <c r="P285" s="4">
        <f>IFERROR(VLOOKUP(IF(MID(M285,3,1)="F","W-UNPL-"&amp;RIGHT(M285,20),M285),'[1]Data Pule'!$C:$E,3,FALSE),0)*O285</f>
        <v>249.80399999999995</v>
      </c>
      <c r="Q285" s="1" t="str">
        <f>VLOOKUP(L285,'[1]Plate Infor'!$B:$E,4,FALSE)</f>
        <v>W-UNPL-CG87NXX-T3L0-02-7S00</v>
      </c>
      <c r="R285" s="1" t="str">
        <f>VLOOKUP(MID(Q285,8,4),'[1]Tipe Plate'!$C:$D,2,FALSE)</f>
        <v>Grid Casting</v>
      </c>
      <c r="S285" s="4">
        <f>VLOOKUP(L285,'[1]Plate Infor'!$B:$F,5,FALSE)*D285</f>
        <v>2160</v>
      </c>
      <c r="T285" s="4">
        <f>IFERROR(VLOOKUP(IF(MID(Q285,3,1)="F","W-UNPL-"&amp;RIGHT(Q285,20),Q285),'[1]Data Pule'!$C:$E,3,FALSE),0)*S285</f>
        <v>248.4</v>
      </c>
    </row>
    <row r="286" spans="3:20" x14ac:dyDescent="0.35">
      <c r="C286" s="1" t="s">
        <v>257</v>
      </c>
      <c r="D286">
        <v>144</v>
      </c>
      <c r="E286" s="3" t="str">
        <f>MID(C286,5,1)</f>
        <v>U</v>
      </c>
      <c r="F286" s="3"/>
      <c r="G286" s="3"/>
      <c r="H286" s="3"/>
      <c r="I286" s="3"/>
      <c r="J286" s="3"/>
      <c r="K286" s="3"/>
      <c r="L286" s="1" t="str">
        <f>MID(C286,3,17)</f>
        <v>ACUP-190H52X-C9C7</v>
      </c>
      <c r="M286" s="1" t="str">
        <f>VLOOKUP(L286,'[1]Plate Infor'!$B:$C,2,FALSE)</f>
        <v>W-UNPL-CG82PXX-L870-02-7S00</v>
      </c>
      <c r="N286" s="1" t="str">
        <f>VLOOKUP(MID(M286,8,4),'[1]Tipe Plate'!$C:$D,2,FALSE)</f>
        <v>Grid Casting</v>
      </c>
      <c r="O286" s="4">
        <f>VLOOKUP(L286,'[1]Plate Infor'!$B:$D,3,FALSE)*D286</f>
        <v>6048</v>
      </c>
      <c r="P286" s="4">
        <f>IFERROR(VLOOKUP(IF(MID(M286,3,1)="F","W-UNPL-"&amp;RIGHT(M286,20),M286),'[1]Data Pule'!$C:$E,3,FALSE),0)*O286</f>
        <v>777.16799999999989</v>
      </c>
      <c r="Q286" s="1" t="str">
        <f>VLOOKUP(L286,'[1]Plate Infor'!$B:$E,4,FALSE)</f>
        <v>W-UNPL-CG87NXX-T3L0-02-7S00</v>
      </c>
      <c r="R286" s="1" t="str">
        <f>VLOOKUP(MID(Q286,8,4),'[1]Tipe Plate'!$C:$D,2,FALSE)</f>
        <v>Grid Casting</v>
      </c>
      <c r="S286" s="4">
        <f>VLOOKUP(L286,'[1]Plate Infor'!$B:$F,5,FALSE)*D286</f>
        <v>6480</v>
      </c>
      <c r="T286" s="4">
        <f>IFERROR(VLOOKUP(IF(MID(Q286,3,1)="F","W-UNPL-"&amp;RIGHT(Q286,20),Q286),'[1]Data Pule'!$C:$E,3,FALSE),0)*S286</f>
        <v>745.2</v>
      </c>
    </row>
    <row r="287" spans="3:20" x14ac:dyDescent="0.35">
      <c r="C287" s="1" t="s">
        <v>258</v>
      </c>
      <c r="D287">
        <v>96</v>
      </c>
      <c r="E287" s="3" t="str">
        <f>MID(C287,5,1)</f>
        <v>U</v>
      </c>
      <c r="F287" s="3"/>
      <c r="G287" s="3"/>
      <c r="H287" s="3"/>
      <c r="I287" s="3"/>
      <c r="J287" s="3"/>
      <c r="K287" s="3"/>
      <c r="L287" s="1" t="str">
        <f>MID(C287,3,17)</f>
        <v>ACUP-190H52X-D1C6</v>
      </c>
      <c r="M287" s="1" t="str">
        <f>VLOOKUP(L287,'[1]Plate Infor'!$B:$C,2,FALSE)</f>
        <v>W-UNPL-CG82PXX-L870-02-7S00</v>
      </c>
      <c r="N287" s="1" t="str">
        <f>VLOOKUP(MID(M287,8,4),'[1]Tipe Plate'!$C:$D,2,FALSE)</f>
        <v>Grid Casting</v>
      </c>
      <c r="O287" s="4">
        <f>VLOOKUP(L287,'[1]Plate Infor'!$B:$D,3,FALSE)*D287</f>
        <v>4320</v>
      </c>
      <c r="P287" s="4">
        <f>IFERROR(VLOOKUP(IF(MID(M287,3,1)="F","W-UNPL-"&amp;RIGHT(M287,20),M287),'[1]Data Pule'!$C:$E,3,FALSE),0)*O287</f>
        <v>555.11999999999989</v>
      </c>
      <c r="Q287" s="1" t="str">
        <f>VLOOKUP(L287,'[1]Plate Infor'!$B:$E,4,FALSE)</f>
        <v>W-UNPL-CG87NXX-T3L0-02-7S00</v>
      </c>
      <c r="R287" s="1" t="str">
        <f>VLOOKUP(MID(Q287,8,4),'[1]Tipe Plate'!$C:$D,2,FALSE)</f>
        <v>Grid Casting</v>
      </c>
      <c r="S287" s="4">
        <f>VLOOKUP(L287,'[1]Plate Infor'!$B:$F,5,FALSE)*D287</f>
        <v>4608</v>
      </c>
      <c r="T287" s="4">
        <f>IFERROR(VLOOKUP(IF(MID(Q287,3,1)="F","W-UNPL-"&amp;RIGHT(Q287,20),Q287),'[1]Data Pule'!$C:$E,3,FALSE),0)*S287</f>
        <v>529.92000000000007</v>
      </c>
    </row>
    <row r="288" spans="3:20" x14ac:dyDescent="0.35">
      <c r="C288" s="1" t="s">
        <v>259</v>
      </c>
      <c r="D288">
        <v>168</v>
      </c>
      <c r="E288" s="3" t="str">
        <f>MID(C288,5,1)</f>
        <v>U</v>
      </c>
      <c r="F288" s="3"/>
      <c r="G288" s="3"/>
      <c r="H288" s="3"/>
      <c r="I288" s="3"/>
      <c r="J288" s="3"/>
      <c r="K288" s="3"/>
      <c r="L288" s="1" t="str">
        <f>MID(C288,3,17)</f>
        <v>ACUP-75D31RX-B5C3</v>
      </c>
      <c r="M288" s="1" t="str">
        <f>VLOOKUP(L288,'[1]Plate Infor'!$B:$C,2,FALSE)</f>
        <v>W-UNPL-CG82PXX-L870-02-7S00</v>
      </c>
      <c r="N288" s="1" t="str">
        <f>VLOOKUP(MID(M288,8,4),'[1]Tipe Plate'!$C:$D,2,FALSE)</f>
        <v>Grid Casting</v>
      </c>
      <c r="O288" s="4">
        <f>VLOOKUP(L288,'[1]Plate Infor'!$B:$D,3,FALSE)*D288</f>
        <v>3528</v>
      </c>
      <c r="P288" s="4">
        <f>IFERROR(VLOOKUP(IF(MID(M288,3,1)="F","W-UNPL-"&amp;RIGHT(M288,20),M288),'[1]Data Pule'!$C:$E,3,FALSE),0)*O288</f>
        <v>453.3479999999999</v>
      </c>
      <c r="Q288" s="1" t="str">
        <f>VLOOKUP(L288,'[1]Plate Infor'!$B:$E,4,FALSE)</f>
        <v>W-UNPL-CG87NXX-T3L0-02-7S00</v>
      </c>
      <c r="R288" s="1" t="str">
        <f>VLOOKUP(MID(Q288,8,4),'[1]Tipe Plate'!$C:$D,2,FALSE)</f>
        <v>Grid Casting</v>
      </c>
      <c r="S288" s="4">
        <f>VLOOKUP(L288,'[1]Plate Infor'!$B:$F,5,FALSE)*D288</f>
        <v>4032</v>
      </c>
      <c r="T288" s="4">
        <f>IFERROR(VLOOKUP(IF(MID(Q288,3,1)="F","W-UNPL-"&amp;RIGHT(Q288,20),Q288),'[1]Data Pule'!$C:$E,3,FALSE),0)*S288</f>
        <v>463.68</v>
      </c>
    </row>
    <row r="289" spans="3:20" x14ac:dyDescent="0.35">
      <c r="C289" s="1" t="s">
        <v>260</v>
      </c>
      <c r="D289">
        <v>168</v>
      </c>
      <c r="E289" s="3" t="str">
        <f>MID(C289,5,1)</f>
        <v>U</v>
      </c>
      <c r="F289" s="3"/>
      <c r="G289" s="3"/>
      <c r="H289" s="3"/>
      <c r="I289" s="3"/>
      <c r="J289" s="3"/>
      <c r="K289" s="3"/>
      <c r="L289" s="1" t="str">
        <f>MID(C289,3,17)</f>
        <v>ACUP-75D31LX-B5C3</v>
      </c>
      <c r="M289" s="1" t="str">
        <f>VLOOKUP(L289,'[1]Plate Infor'!$B:$C,2,FALSE)</f>
        <v>W-UNPL-CG82PXX-L870-02-7S00</v>
      </c>
      <c r="N289" s="1" t="str">
        <f>VLOOKUP(MID(M289,8,4),'[1]Tipe Plate'!$C:$D,2,FALSE)</f>
        <v>Grid Casting</v>
      </c>
      <c r="O289" s="4">
        <f>VLOOKUP(L289,'[1]Plate Infor'!$B:$D,3,FALSE)*D289</f>
        <v>3528</v>
      </c>
      <c r="P289" s="4">
        <f>IFERROR(VLOOKUP(IF(MID(M289,3,1)="F","W-UNPL-"&amp;RIGHT(M289,20),M289),'[1]Data Pule'!$C:$E,3,FALSE),0)*O289</f>
        <v>453.3479999999999</v>
      </c>
      <c r="Q289" s="1" t="str">
        <f>VLOOKUP(L289,'[1]Plate Infor'!$B:$E,4,FALSE)</f>
        <v>W-UNPL-CG87NXX-T3L0-02-7S00</v>
      </c>
      <c r="R289" s="1" t="str">
        <f>VLOOKUP(MID(Q289,8,4),'[1]Tipe Plate'!$C:$D,2,FALSE)</f>
        <v>Grid Casting</v>
      </c>
      <c r="S289" s="4">
        <f>VLOOKUP(L289,'[1]Plate Infor'!$B:$F,5,FALSE)*D289</f>
        <v>4032</v>
      </c>
      <c r="T289" s="4">
        <f>IFERROR(VLOOKUP(IF(MID(Q289,3,1)="F","W-UNPL-"&amp;RIGHT(Q289,20),Q289),'[1]Data Pule'!$C:$E,3,FALSE),0)*S289</f>
        <v>463.68</v>
      </c>
    </row>
    <row r="290" spans="3:20" x14ac:dyDescent="0.35">
      <c r="C290" s="1" t="s">
        <v>261</v>
      </c>
      <c r="D290">
        <v>180</v>
      </c>
      <c r="E290" s="3" t="str">
        <f>MID(C290,5,1)</f>
        <v>U</v>
      </c>
      <c r="F290" s="3"/>
      <c r="G290" s="3"/>
      <c r="H290" s="3"/>
      <c r="I290" s="3"/>
      <c r="J290" s="3"/>
      <c r="K290" s="3"/>
      <c r="L290" s="1" t="str">
        <f>MID(C290,3,17)</f>
        <v>ACUP-36B20LX-A9C4</v>
      </c>
      <c r="M290" s="1" t="str">
        <f>VLOOKUP(L290,'[1]Plate Infor'!$B:$C,2,FALSE)</f>
        <v>W-UNPL-CM84APX-L870-02-7S00</v>
      </c>
      <c r="N290" s="1" t="str">
        <f>VLOOKUP(MID(M290,8,4),'[1]Tipe Plate'!$C:$D,2,FALSE)</f>
        <v>Grid Casting</v>
      </c>
      <c r="O290" s="4">
        <f>VLOOKUP(L290,'[1]Plate Infor'!$B:$D,3,FALSE)*D290</f>
        <v>2160</v>
      </c>
      <c r="P290" s="4">
        <f>IFERROR(VLOOKUP(IF(MID(M290,3,1)="F","W-UNPL-"&amp;RIGHT(M290,20),M290),'[1]Data Pule'!$C:$E,3,FALSE),0)*O290</f>
        <v>193.75200000000001</v>
      </c>
      <c r="Q290" s="1" t="str">
        <f>VLOOKUP(L290,'[1]Plate Infor'!$B:$E,4,FALSE)</f>
        <v>W-UNPL-CM8786N-T3L0-02-7S00</v>
      </c>
      <c r="R290" s="1" t="str">
        <f>VLOOKUP(MID(Q290,8,4),'[1]Tipe Plate'!$C:$D,2,FALSE)</f>
        <v>Grid Casting</v>
      </c>
      <c r="S290" s="4">
        <f>VLOOKUP(L290,'[1]Plate Infor'!$B:$F,5,FALSE)*D290</f>
        <v>2700</v>
      </c>
      <c r="T290" s="4">
        <f>IFERROR(VLOOKUP(IF(MID(Q290,3,1)="F","W-UNPL-"&amp;RIGHT(Q290,20),Q290),'[1]Data Pule'!$C:$E,3,FALSE),0)*S290</f>
        <v>254.61</v>
      </c>
    </row>
    <row r="291" spans="3:20" x14ac:dyDescent="0.35">
      <c r="C291" s="1" t="s">
        <v>262</v>
      </c>
      <c r="D291">
        <v>144</v>
      </c>
      <c r="E291" s="3" t="str">
        <f>MID(C291,5,1)</f>
        <v>U</v>
      </c>
      <c r="F291" s="3"/>
      <c r="G291" s="3"/>
      <c r="H291" s="3"/>
      <c r="I291" s="3"/>
      <c r="J291" s="3"/>
      <c r="K291" s="3"/>
      <c r="L291" s="1" t="str">
        <f>MID(C291,3,17)</f>
        <v>ACUP-46B24RS-B1C4</v>
      </c>
      <c r="M291" s="1" t="str">
        <f>VLOOKUP(L291,'[1]Plate Infor'!$B:$C,2,FALSE)</f>
        <v>W-UNPL-CM84APX-L870-02-7S00</v>
      </c>
      <c r="N291" s="1" t="str">
        <f>VLOOKUP(MID(M291,8,4),'[1]Tipe Plate'!$C:$D,2,FALSE)</f>
        <v>Grid Casting</v>
      </c>
      <c r="O291" s="4">
        <f>VLOOKUP(L291,'[1]Plate Infor'!$B:$D,3,FALSE)*D291</f>
        <v>2160</v>
      </c>
      <c r="P291" s="4">
        <f>IFERROR(VLOOKUP(IF(MID(M291,3,1)="F","W-UNPL-"&amp;RIGHT(M291,20),M291),'[1]Data Pule'!$C:$E,3,FALSE),0)*O291</f>
        <v>193.75200000000001</v>
      </c>
      <c r="Q291" s="1" t="str">
        <f>VLOOKUP(L291,'[1]Plate Infor'!$B:$E,4,FALSE)</f>
        <v>W-UNPL-CM8786N-T3L0-02-7S00</v>
      </c>
      <c r="R291" s="1" t="str">
        <f>VLOOKUP(MID(Q291,8,4),'[1]Tipe Plate'!$C:$D,2,FALSE)</f>
        <v>Grid Casting</v>
      </c>
      <c r="S291" s="4">
        <f>VLOOKUP(L291,'[1]Plate Infor'!$B:$F,5,FALSE)*D291</f>
        <v>2592</v>
      </c>
      <c r="T291" s="4">
        <f>IFERROR(VLOOKUP(IF(MID(Q291,3,1)="F","W-UNPL-"&amp;RIGHT(Q291,20),Q291),'[1]Data Pule'!$C:$E,3,FALSE),0)*S291</f>
        <v>244.42560000000003</v>
      </c>
    </row>
    <row r="292" spans="3:20" x14ac:dyDescent="0.35">
      <c r="C292" s="1" t="s">
        <v>222</v>
      </c>
      <c r="D292">
        <v>288</v>
      </c>
      <c r="E292" s="3" t="str">
        <f>MID(C292,5,1)</f>
        <v>U</v>
      </c>
      <c r="F292" s="3"/>
      <c r="G292" s="3"/>
      <c r="H292" s="3"/>
      <c r="I292" s="3"/>
      <c r="J292" s="3"/>
      <c r="K292" s="3"/>
      <c r="L292" s="1" t="str">
        <f>MID(C292,3,17)</f>
        <v>ACUP-65D26RX-B1C4</v>
      </c>
      <c r="M292" s="1" t="str">
        <f>VLOOKUP(L292,'[1]Plate Infor'!$B:$C,2,FALSE)</f>
        <v>W-UNPL-CG82PXX-L870-02-7S00</v>
      </c>
      <c r="N292" s="1" t="str">
        <f>VLOOKUP(MID(M292,8,4),'[1]Tipe Plate'!$C:$D,2,FALSE)</f>
        <v>Grid Casting</v>
      </c>
      <c r="O292" s="4">
        <f>VLOOKUP(L292,'[1]Plate Infor'!$B:$D,3,FALSE)*D292</f>
        <v>4320</v>
      </c>
      <c r="P292" s="4">
        <f>IFERROR(VLOOKUP(IF(MID(M292,3,1)="F","W-UNPL-"&amp;RIGHT(M292,20),M292),'[1]Data Pule'!$C:$E,3,FALSE),0)*O292</f>
        <v>555.11999999999989</v>
      </c>
      <c r="Q292" s="1" t="str">
        <f>VLOOKUP(L292,'[1]Plate Infor'!$B:$E,4,FALSE)</f>
        <v>W-UNPL-CG87NXX-T3L0-02-7S00</v>
      </c>
      <c r="R292" s="1" t="str">
        <f>VLOOKUP(MID(Q292,8,4),'[1]Tipe Plate'!$C:$D,2,FALSE)</f>
        <v>Grid Casting</v>
      </c>
      <c r="S292" s="4">
        <f>VLOOKUP(L292,'[1]Plate Infor'!$B:$F,5,FALSE)*D292</f>
        <v>5184</v>
      </c>
      <c r="T292" s="4">
        <f>IFERROR(VLOOKUP(IF(MID(Q292,3,1)="F","W-UNPL-"&amp;RIGHT(Q292,20),Q292),'[1]Data Pule'!$C:$E,3,FALSE),0)*S292</f>
        <v>596.16000000000008</v>
      </c>
    </row>
    <row r="293" spans="3:20" x14ac:dyDescent="0.35">
      <c r="C293" s="1" t="s">
        <v>263</v>
      </c>
      <c r="D293">
        <v>96</v>
      </c>
      <c r="E293" s="3" t="str">
        <f>MID(C293,5,1)</f>
        <v>U</v>
      </c>
      <c r="F293" s="3"/>
      <c r="G293" s="3"/>
      <c r="H293" s="3"/>
      <c r="I293" s="3"/>
      <c r="J293" s="3"/>
      <c r="K293" s="3"/>
      <c r="L293" s="1" t="str">
        <f>MID(C293,3,17)</f>
        <v>ACUP-65D26RX-B2C3</v>
      </c>
      <c r="M293" s="1" t="str">
        <f>VLOOKUP(L293,'[1]Plate Infor'!$B:$C,2,FALSE)</f>
        <v>W-UNPL-CG82PXX-L870-02-7S00</v>
      </c>
      <c r="N293" s="1" t="str">
        <f>VLOOKUP(MID(M293,8,4),'[1]Tipe Plate'!$C:$D,2,FALSE)</f>
        <v>Grid Casting</v>
      </c>
      <c r="O293" s="4">
        <f>VLOOKUP(L293,'[1]Plate Infor'!$B:$D,3,FALSE)*D293</f>
        <v>1728</v>
      </c>
      <c r="P293" s="4">
        <f>IFERROR(VLOOKUP(IF(MID(M293,3,1)="F","W-UNPL-"&amp;RIGHT(M293,20),M293),'[1]Data Pule'!$C:$E,3,FALSE),0)*O293</f>
        <v>222.04799999999994</v>
      </c>
      <c r="Q293" s="1" t="str">
        <f>VLOOKUP(L293,'[1]Plate Infor'!$B:$E,4,FALSE)</f>
        <v>W-UNPL-CG87NXX-T3L0-02-7S00</v>
      </c>
      <c r="R293" s="1" t="str">
        <f>VLOOKUP(MID(Q293,8,4),'[1]Tipe Plate'!$C:$D,2,FALSE)</f>
        <v>Grid Casting</v>
      </c>
      <c r="S293" s="4">
        <f>VLOOKUP(L293,'[1]Plate Infor'!$B:$F,5,FALSE)*D293</f>
        <v>1728</v>
      </c>
      <c r="T293" s="4">
        <f>IFERROR(VLOOKUP(IF(MID(Q293,3,1)="F","W-UNPL-"&amp;RIGHT(Q293,20),Q293),'[1]Data Pule'!$C:$E,3,FALSE),0)*S293</f>
        <v>198.72</v>
      </c>
    </row>
    <row r="294" spans="3:20" x14ac:dyDescent="0.35">
      <c r="C294" s="1" t="s">
        <v>223</v>
      </c>
      <c r="D294">
        <v>192</v>
      </c>
      <c r="E294" s="3" t="str">
        <f>MID(C294,5,1)</f>
        <v>U</v>
      </c>
      <c r="F294" s="3"/>
      <c r="G294" s="3"/>
      <c r="H294" s="3"/>
      <c r="I294" s="3"/>
      <c r="J294" s="3"/>
      <c r="K294" s="3"/>
      <c r="L294" s="1" t="str">
        <f>MID(C294,3,17)</f>
        <v>ACUP-65D26LX-B1C4</v>
      </c>
      <c r="M294" s="1" t="str">
        <f>VLOOKUP(L294,'[1]Plate Infor'!$B:$C,2,FALSE)</f>
        <v>W-UNPL-CG82PXX-L870-02-7S00</v>
      </c>
      <c r="N294" s="1" t="str">
        <f>VLOOKUP(MID(M294,8,4),'[1]Tipe Plate'!$C:$D,2,FALSE)</f>
        <v>Grid Casting</v>
      </c>
      <c r="O294" s="4">
        <f>VLOOKUP(L294,'[1]Plate Infor'!$B:$D,3,FALSE)*D294</f>
        <v>2880</v>
      </c>
      <c r="P294" s="4">
        <f>IFERROR(VLOOKUP(IF(MID(M294,3,1)="F","W-UNPL-"&amp;RIGHT(M294,20),M294),'[1]Data Pule'!$C:$E,3,FALSE),0)*O294</f>
        <v>370.07999999999993</v>
      </c>
      <c r="Q294" s="1" t="str">
        <f>VLOOKUP(L294,'[1]Plate Infor'!$B:$E,4,FALSE)</f>
        <v>W-UNPL-CG87NXX-T3L0-02-7S00</v>
      </c>
      <c r="R294" s="1" t="str">
        <f>VLOOKUP(MID(Q294,8,4),'[1]Tipe Plate'!$C:$D,2,FALSE)</f>
        <v>Grid Casting</v>
      </c>
      <c r="S294" s="4">
        <f>VLOOKUP(L294,'[1]Plate Infor'!$B:$F,5,FALSE)*D294</f>
        <v>3456</v>
      </c>
      <c r="T294" s="4">
        <f>IFERROR(VLOOKUP(IF(MID(Q294,3,1)="F","W-UNPL-"&amp;RIGHT(Q294,20),Q294),'[1]Data Pule'!$C:$E,3,FALSE),0)*S294</f>
        <v>397.44</v>
      </c>
    </row>
    <row r="295" spans="3:20" x14ac:dyDescent="0.35">
      <c r="C295" s="1" t="s">
        <v>264</v>
      </c>
      <c r="D295">
        <v>288</v>
      </c>
      <c r="E295" s="3" t="str">
        <f>MID(C295,5,1)</f>
        <v>U</v>
      </c>
      <c r="F295" s="3"/>
      <c r="G295" s="3"/>
      <c r="H295" s="3"/>
      <c r="I295" s="3"/>
      <c r="J295" s="3"/>
      <c r="K295" s="3"/>
      <c r="L295" s="1" t="str">
        <f>MID(C295,3,17)</f>
        <v>ACUP-65D26LX-B1C4</v>
      </c>
      <c r="M295" s="1" t="str">
        <f>VLOOKUP(L295,'[1]Plate Infor'!$B:$C,2,FALSE)</f>
        <v>W-UNPL-CG82PXX-L870-02-7S00</v>
      </c>
      <c r="N295" s="1" t="str">
        <f>VLOOKUP(MID(M295,8,4),'[1]Tipe Plate'!$C:$D,2,FALSE)</f>
        <v>Grid Casting</v>
      </c>
      <c r="O295" s="4">
        <f>VLOOKUP(L295,'[1]Plate Infor'!$B:$D,3,FALSE)*D295</f>
        <v>4320</v>
      </c>
      <c r="P295" s="4">
        <f>IFERROR(VLOOKUP(IF(MID(M295,3,1)="F","W-UNPL-"&amp;RIGHT(M295,20),M295),'[1]Data Pule'!$C:$E,3,FALSE),0)*O295</f>
        <v>555.11999999999989</v>
      </c>
      <c r="Q295" s="1" t="str">
        <f>VLOOKUP(L295,'[1]Plate Infor'!$B:$E,4,FALSE)</f>
        <v>W-UNPL-CG87NXX-T3L0-02-7S00</v>
      </c>
      <c r="R295" s="1" t="str">
        <f>VLOOKUP(MID(Q295,8,4),'[1]Tipe Plate'!$C:$D,2,FALSE)</f>
        <v>Grid Casting</v>
      </c>
      <c r="S295" s="4">
        <f>VLOOKUP(L295,'[1]Plate Infor'!$B:$F,5,FALSE)*D295</f>
        <v>5184</v>
      </c>
      <c r="T295" s="4">
        <f>IFERROR(VLOOKUP(IF(MID(Q295,3,1)="F","W-UNPL-"&amp;RIGHT(Q295,20),Q295),'[1]Data Pule'!$C:$E,3,FALSE),0)*S295</f>
        <v>596.16000000000008</v>
      </c>
    </row>
    <row r="296" spans="3:20" x14ac:dyDescent="0.35">
      <c r="C296" s="1" t="s">
        <v>265</v>
      </c>
      <c r="D296">
        <v>192</v>
      </c>
      <c r="E296" s="3" t="str">
        <f>MID(C296,5,1)</f>
        <v>U</v>
      </c>
      <c r="F296" s="3"/>
      <c r="G296" s="3"/>
      <c r="H296" s="3"/>
      <c r="I296" s="3"/>
      <c r="J296" s="3"/>
      <c r="K296" s="3"/>
      <c r="L296" s="1" t="str">
        <f>MID(C296,3,17)</f>
        <v>ACUP-65D26RX-B1C4</v>
      </c>
      <c r="M296" s="1" t="str">
        <f>VLOOKUP(L296,'[1]Plate Infor'!$B:$C,2,FALSE)</f>
        <v>W-UNPL-CG82PXX-L870-02-7S00</v>
      </c>
      <c r="N296" s="1" t="str">
        <f>VLOOKUP(MID(M296,8,4),'[1]Tipe Plate'!$C:$D,2,FALSE)</f>
        <v>Grid Casting</v>
      </c>
      <c r="O296" s="4">
        <f>VLOOKUP(L296,'[1]Plate Infor'!$B:$D,3,FALSE)*D296</f>
        <v>2880</v>
      </c>
      <c r="P296" s="4">
        <f>IFERROR(VLOOKUP(IF(MID(M296,3,1)="F","W-UNPL-"&amp;RIGHT(M296,20),M296),'[1]Data Pule'!$C:$E,3,FALSE),0)*O296</f>
        <v>370.07999999999993</v>
      </c>
      <c r="Q296" s="1" t="str">
        <f>VLOOKUP(L296,'[1]Plate Infor'!$B:$E,4,FALSE)</f>
        <v>W-UNPL-CG87NXX-T3L0-02-7S00</v>
      </c>
      <c r="R296" s="1" t="str">
        <f>VLOOKUP(MID(Q296,8,4),'[1]Tipe Plate'!$C:$D,2,FALSE)</f>
        <v>Grid Casting</v>
      </c>
      <c r="S296" s="4">
        <f>VLOOKUP(L296,'[1]Plate Infor'!$B:$F,5,FALSE)*D296</f>
        <v>3456</v>
      </c>
      <c r="T296" s="4">
        <f>IFERROR(VLOOKUP(IF(MID(Q296,3,1)="F","W-UNPL-"&amp;RIGHT(Q296,20),Q296),'[1]Data Pule'!$C:$E,3,FALSE),0)*S296</f>
        <v>397.44</v>
      </c>
    </row>
    <row r="297" spans="3:20" x14ac:dyDescent="0.35">
      <c r="C297" s="1" t="s">
        <v>266</v>
      </c>
      <c r="D297">
        <v>360</v>
      </c>
      <c r="E297" s="3" t="str">
        <f>MID(C297,5,1)</f>
        <v>U</v>
      </c>
      <c r="F297" s="3"/>
      <c r="G297" s="3"/>
      <c r="H297" s="3"/>
      <c r="I297" s="3"/>
      <c r="J297" s="3"/>
      <c r="K297" s="3"/>
      <c r="L297" s="1" t="str">
        <f>MID(C297,3,17)</f>
        <v>ACUP-36B20LX-A9C4</v>
      </c>
      <c r="M297" s="1" t="str">
        <f>VLOOKUP(L297,'[1]Plate Infor'!$B:$C,2,FALSE)</f>
        <v>W-UNPL-CM84APX-L870-02-7S00</v>
      </c>
      <c r="N297" s="1" t="str">
        <f>VLOOKUP(MID(M297,8,4),'[1]Tipe Plate'!$C:$D,2,FALSE)</f>
        <v>Grid Casting</v>
      </c>
      <c r="O297" s="4">
        <f>VLOOKUP(L297,'[1]Plate Infor'!$B:$D,3,FALSE)*D297</f>
        <v>4320</v>
      </c>
      <c r="P297" s="4">
        <f>IFERROR(VLOOKUP(IF(MID(M297,3,1)="F","W-UNPL-"&amp;RIGHT(M297,20),M297),'[1]Data Pule'!$C:$E,3,FALSE),0)*O297</f>
        <v>387.50400000000002</v>
      </c>
      <c r="Q297" s="1" t="str">
        <f>VLOOKUP(L297,'[1]Plate Infor'!$B:$E,4,FALSE)</f>
        <v>W-UNPL-CM8786N-T3L0-02-7S00</v>
      </c>
      <c r="R297" s="1" t="str">
        <f>VLOOKUP(MID(Q297,8,4),'[1]Tipe Plate'!$C:$D,2,FALSE)</f>
        <v>Grid Casting</v>
      </c>
      <c r="S297" s="4">
        <f>VLOOKUP(L297,'[1]Plate Infor'!$B:$F,5,FALSE)*D297</f>
        <v>5400</v>
      </c>
      <c r="T297" s="4">
        <f>IFERROR(VLOOKUP(IF(MID(Q297,3,1)="F","W-UNPL-"&amp;RIGHT(Q297,20),Q297),'[1]Data Pule'!$C:$E,3,FALSE),0)*S297</f>
        <v>509.22</v>
      </c>
    </row>
    <row r="298" spans="3:20" x14ac:dyDescent="0.35">
      <c r="C298" s="1" t="s">
        <v>267</v>
      </c>
      <c r="D298">
        <v>144</v>
      </c>
      <c r="E298" s="3" t="str">
        <f>MID(C298,5,1)</f>
        <v>U</v>
      </c>
      <c r="F298" s="3"/>
      <c r="G298" s="3"/>
      <c r="H298" s="3"/>
      <c r="I298" s="3"/>
      <c r="J298" s="3"/>
      <c r="K298" s="3"/>
      <c r="L298" s="1" t="str">
        <f>MID(C298,3,17)</f>
        <v>ACUP-46B24RS-A9C5</v>
      </c>
      <c r="M298" s="1" t="str">
        <f>VLOOKUP(L298,'[1]Plate Infor'!$B:$C,2,FALSE)</f>
        <v>W-UNPL-CM84APX-L870-02-7S00</v>
      </c>
      <c r="N298" s="1" t="str">
        <f>VLOOKUP(MID(M298,8,4),'[1]Tipe Plate'!$C:$D,2,FALSE)</f>
        <v>Grid Casting</v>
      </c>
      <c r="O298" s="4">
        <f>VLOOKUP(L298,'[1]Plate Infor'!$B:$D,3,FALSE)*D298</f>
        <v>1728</v>
      </c>
      <c r="P298" s="4">
        <f>IFERROR(VLOOKUP(IF(MID(M298,3,1)="F","W-UNPL-"&amp;RIGHT(M298,20),M298),'[1]Data Pule'!$C:$E,3,FALSE),0)*O298</f>
        <v>155.0016</v>
      </c>
      <c r="Q298" s="1" t="str">
        <f>VLOOKUP(L298,'[1]Plate Infor'!$B:$E,4,FALSE)</f>
        <v>W-UNPL-CM8786N-T3L0-02-7S00</v>
      </c>
      <c r="R298" s="1" t="str">
        <f>VLOOKUP(MID(Q298,8,4),'[1]Tipe Plate'!$C:$D,2,FALSE)</f>
        <v>Grid Casting</v>
      </c>
      <c r="S298" s="4">
        <f>VLOOKUP(L298,'[1]Plate Infor'!$B:$F,5,FALSE)*D298</f>
        <v>2160</v>
      </c>
      <c r="T298" s="4">
        <f>IFERROR(VLOOKUP(IF(MID(Q298,3,1)="F","W-UNPL-"&amp;RIGHT(Q298,20),Q298),'[1]Data Pule'!$C:$E,3,FALSE),0)*S298</f>
        <v>203.68800000000002</v>
      </c>
    </row>
    <row r="299" spans="3:20" x14ac:dyDescent="0.35">
      <c r="C299" s="1" t="s">
        <v>268</v>
      </c>
      <c r="D299">
        <v>144</v>
      </c>
      <c r="E299" s="3" t="str">
        <f>MID(C299,5,1)</f>
        <v>U</v>
      </c>
      <c r="F299" s="3"/>
      <c r="G299" s="3"/>
      <c r="H299" s="3"/>
      <c r="I299" s="3"/>
      <c r="J299" s="3"/>
      <c r="K299" s="3"/>
      <c r="L299" s="1" t="str">
        <f>MID(C299,3,17)</f>
        <v>ACUP-46B24LS-A9C5</v>
      </c>
      <c r="M299" s="1" t="str">
        <f>VLOOKUP(L299,'[1]Plate Infor'!$B:$C,2,FALSE)</f>
        <v>W-UNPL-CM84APX-L870-02-7S00</v>
      </c>
      <c r="N299" s="1" t="str">
        <f>VLOOKUP(MID(M299,8,4),'[1]Tipe Plate'!$C:$D,2,FALSE)</f>
        <v>Grid Casting</v>
      </c>
      <c r="O299" s="4">
        <f>VLOOKUP(L299,'[1]Plate Infor'!$B:$D,3,FALSE)*D299</f>
        <v>1728</v>
      </c>
      <c r="P299" s="4">
        <f>IFERROR(VLOOKUP(IF(MID(M299,3,1)="F","W-UNPL-"&amp;RIGHT(M299,20),M299),'[1]Data Pule'!$C:$E,3,FALSE),0)*O299</f>
        <v>155.0016</v>
      </c>
      <c r="Q299" s="1" t="str">
        <f>VLOOKUP(L299,'[1]Plate Infor'!$B:$E,4,FALSE)</f>
        <v>W-UNPL-CM8786N-T3L0-02-7S00</v>
      </c>
      <c r="R299" s="1" t="str">
        <f>VLOOKUP(MID(Q299,8,4),'[1]Tipe Plate'!$C:$D,2,FALSE)</f>
        <v>Grid Casting</v>
      </c>
      <c r="S299" s="4">
        <f>VLOOKUP(L299,'[1]Plate Infor'!$B:$F,5,FALSE)*D299</f>
        <v>2160</v>
      </c>
      <c r="T299" s="4">
        <f>IFERROR(VLOOKUP(IF(MID(Q299,3,1)="F","W-UNPL-"&amp;RIGHT(Q299,20),Q299),'[1]Data Pule'!$C:$E,3,FALSE),0)*S299</f>
        <v>203.68800000000002</v>
      </c>
    </row>
    <row r="300" spans="3:20" x14ac:dyDescent="0.35">
      <c r="C300" s="1" t="s">
        <v>226</v>
      </c>
      <c r="D300">
        <v>288</v>
      </c>
      <c r="E300" s="3" t="str">
        <f>MID(C300,5,1)</f>
        <v>U</v>
      </c>
      <c r="F300" s="3"/>
      <c r="G300" s="3"/>
      <c r="H300" s="3"/>
      <c r="I300" s="3"/>
      <c r="J300" s="3"/>
      <c r="K300" s="3"/>
      <c r="L300" s="1" t="str">
        <f>MID(C300,3,17)</f>
        <v>ACUP-115F51X-B9C4</v>
      </c>
      <c r="M300" s="1" t="str">
        <f>VLOOKUP(L300,'[1]Plate Infor'!$B:$C,2,FALSE)</f>
        <v>W-UNPL-CG82PXX-L870-02-7S00</v>
      </c>
      <c r="N300" s="1" t="str">
        <f>VLOOKUP(MID(M300,8,4),'[1]Tipe Plate'!$C:$D,2,FALSE)</f>
        <v>Grid Casting</v>
      </c>
      <c r="O300" s="4">
        <f>VLOOKUP(L300,'[1]Plate Infor'!$B:$D,3,FALSE)*D300</f>
        <v>7776</v>
      </c>
      <c r="P300" s="4">
        <f>IFERROR(VLOOKUP(IF(MID(M300,3,1)="F","W-UNPL-"&amp;RIGHT(M300,20),M300),'[1]Data Pule'!$C:$E,3,FALSE),0)*O300</f>
        <v>999.21599999999978</v>
      </c>
      <c r="Q300" s="1" t="str">
        <f>VLOOKUP(L300,'[1]Plate Infor'!$B:$E,4,FALSE)</f>
        <v>W-UNPL-CG87NXX-T3L0-02-7S00</v>
      </c>
      <c r="R300" s="1" t="str">
        <f>VLOOKUP(MID(Q300,8,4),'[1]Tipe Plate'!$C:$D,2,FALSE)</f>
        <v>Grid Casting</v>
      </c>
      <c r="S300" s="4">
        <f>VLOOKUP(L300,'[1]Plate Infor'!$B:$F,5,FALSE)*D300</f>
        <v>8640</v>
      </c>
      <c r="T300" s="4">
        <f>IFERROR(VLOOKUP(IF(MID(Q300,3,1)="F","W-UNPL-"&amp;RIGHT(Q300,20),Q300),'[1]Data Pule'!$C:$E,3,FALSE),0)*S300</f>
        <v>993.6</v>
      </c>
    </row>
    <row r="301" spans="3:20" x14ac:dyDescent="0.35">
      <c r="C301" s="1" t="s">
        <v>227</v>
      </c>
      <c r="D301">
        <v>240</v>
      </c>
      <c r="E301" s="3" t="str">
        <f>MID(C301,5,1)</f>
        <v>U</v>
      </c>
      <c r="F301" s="3"/>
      <c r="G301" s="3"/>
      <c r="H301" s="3"/>
      <c r="I301" s="3"/>
      <c r="J301" s="3"/>
      <c r="K301" s="3"/>
      <c r="L301" s="1" t="str">
        <f>MID(C301,3,17)</f>
        <v>ACUP-145G51X-C3C5</v>
      </c>
      <c r="M301" s="1" t="str">
        <f>VLOOKUP(L301,'[1]Plate Infor'!$B:$C,2,FALSE)</f>
        <v>W-UNPL-CG82PXX-L870-02-7S00</v>
      </c>
      <c r="N301" s="1" t="str">
        <f>VLOOKUP(MID(M301,8,4),'[1]Tipe Plate'!$C:$D,2,FALSE)</f>
        <v>Grid Casting</v>
      </c>
      <c r="O301" s="4">
        <f>VLOOKUP(L301,'[1]Plate Infor'!$B:$D,3,FALSE)*D301</f>
        <v>7920</v>
      </c>
      <c r="P301" s="4">
        <f>IFERROR(VLOOKUP(IF(MID(M301,3,1)="F","W-UNPL-"&amp;RIGHT(M301,20),M301),'[1]Data Pule'!$C:$E,3,FALSE),0)*O301</f>
        <v>1017.7199999999998</v>
      </c>
      <c r="Q301" s="1" t="str">
        <f>VLOOKUP(L301,'[1]Plate Infor'!$B:$E,4,FALSE)</f>
        <v>W-UNPL-CG87NXX-T3L0-02-7S00</v>
      </c>
      <c r="R301" s="1" t="str">
        <f>VLOOKUP(MID(Q301,8,4),'[1]Tipe Plate'!$C:$D,2,FALSE)</f>
        <v>Grid Casting</v>
      </c>
      <c r="S301" s="4">
        <f>VLOOKUP(L301,'[1]Plate Infor'!$B:$F,5,FALSE)*D301</f>
        <v>8640</v>
      </c>
      <c r="T301" s="4">
        <f>IFERROR(VLOOKUP(IF(MID(Q301,3,1)="F","W-UNPL-"&amp;RIGHT(Q301,20),Q301),'[1]Data Pule'!$C:$E,3,FALSE),0)*S301</f>
        <v>993.6</v>
      </c>
    </row>
    <row r="302" spans="3:20" x14ac:dyDescent="0.35">
      <c r="C302" s="1" t="s">
        <v>257</v>
      </c>
      <c r="D302">
        <v>96</v>
      </c>
      <c r="E302" s="3" t="str">
        <f>MID(C302,5,1)</f>
        <v>U</v>
      </c>
      <c r="F302" s="3"/>
      <c r="G302" s="3"/>
      <c r="H302" s="3"/>
      <c r="I302" s="3"/>
      <c r="J302" s="3"/>
      <c r="K302" s="3"/>
      <c r="L302" s="1" t="str">
        <f>MID(C302,3,17)</f>
        <v>ACUP-190H52X-C9C7</v>
      </c>
      <c r="M302" s="1" t="str">
        <f>VLOOKUP(L302,'[1]Plate Infor'!$B:$C,2,FALSE)</f>
        <v>W-UNPL-CG82PXX-L870-02-7S00</v>
      </c>
      <c r="N302" s="1" t="str">
        <f>VLOOKUP(MID(M302,8,4),'[1]Tipe Plate'!$C:$D,2,FALSE)</f>
        <v>Grid Casting</v>
      </c>
      <c r="O302" s="4">
        <f>VLOOKUP(L302,'[1]Plate Infor'!$B:$D,3,FALSE)*D302</f>
        <v>4032</v>
      </c>
      <c r="P302" s="4">
        <f>IFERROR(VLOOKUP(IF(MID(M302,3,1)="F","W-UNPL-"&amp;RIGHT(M302,20),M302),'[1]Data Pule'!$C:$E,3,FALSE),0)*O302</f>
        <v>518.11199999999985</v>
      </c>
      <c r="Q302" s="1" t="str">
        <f>VLOOKUP(L302,'[1]Plate Infor'!$B:$E,4,FALSE)</f>
        <v>W-UNPL-CG87NXX-T3L0-02-7S00</v>
      </c>
      <c r="R302" s="1" t="str">
        <f>VLOOKUP(MID(Q302,8,4),'[1]Tipe Plate'!$C:$D,2,FALSE)</f>
        <v>Grid Casting</v>
      </c>
      <c r="S302" s="4">
        <f>VLOOKUP(L302,'[1]Plate Infor'!$B:$F,5,FALSE)*D302</f>
        <v>4320</v>
      </c>
      <c r="T302" s="4">
        <f>IFERROR(VLOOKUP(IF(MID(Q302,3,1)="F","W-UNPL-"&amp;RIGHT(Q302,20),Q302),'[1]Data Pule'!$C:$E,3,FALSE),0)*S302</f>
        <v>496.8</v>
      </c>
    </row>
    <row r="303" spans="3:20" x14ac:dyDescent="0.35">
      <c r="C303" s="1" t="s">
        <v>266</v>
      </c>
      <c r="D303">
        <v>180</v>
      </c>
      <c r="E303" s="3" t="str">
        <f>MID(C303,5,1)</f>
        <v>U</v>
      </c>
      <c r="F303" s="3"/>
      <c r="G303" s="3"/>
      <c r="H303" s="3"/>
      <c r="I303" s="3"/>
      <c r="J303" s="3"/>
      <c r="K303" s="3"/>
      <c r="L303" s="1" t="str">
        <f>MID(C303,3,17)</f>
        <v>ACUP-36B20LX-A9C4</v>
      </c>
      <c r="M303" s="1" t="str">
        <f>VLOOKUP(L303,'[1]Plate Infor'!$B:$C,2,FALSE)</f>
        <v>W-UNPL-CM84APX-L870-02-7S00</v>
      </c>
      <c r="N303" s="1" t="str">
        <f>VLOOKUP(MID(M303,8,4),'[1]Tipe Plate'!$C:$D,2,FALSE)</f>
        <v>Grid Casting</v>
      </c>
      <c r="O303" s="4">
        <f>VLOOKUP(L303,'[1]Plate Infor'!$B:$D,3,FALSE)*D303</f>
        <v>2160</v>
      </c>
      <c r="P303" s="4">
        <f>IFERROR(VLOOKUP(IF(MID(M303,3,1)="F","W-UNPL-"&amp;RIGHT(M303,20),M303),'[1]Data Pule'!$C:$E,3,FALSE),0)*O303</f>
        <v>193.75200000000001</v>
      </c>
      <c r="Q303" s="1" t="str">
        <f>VLOOKUP(L303,'[1]Plate Infor'!$B:$E,4,FALSE)</f>
        <v>W-UNPL-CM8786N-T3L0-02-7S00</v>
      </c>
      <c r="R303" s="1" t="str">
        <f>VLOOKUP(MID(Q303,8,4),'[1]Tipe Plate'!$C:$D,2,FALSE)</f>
        <v>Grid Casting</v>
      </c>
      <c r="S303" s="4">
        <f>VLOOKUP(L303,'[1]Plate Infor'!$B:$F,5,FALSE)*D303</f>
        <v>2700</v>
      </c>
      <c r="T303" s="4">
        <f>IFERROR(VLOOKUP(IF(MID(Q303,3,1)="F","W-UNPL-"&amp;RIGHT(Q303,20),Q303),'[1]Data Pule'!$C:$E,3,FALSE),0)*S303</f>
        <v>254.61</v>
      </c>
    </row>
    <row r="304" spans="3:20" x14ac:dyDescent="0.35">
      <c r="C304" s="1" t="s">
        <v>265</v>
      </c>
      <c r="D304">
        <v>96</v>
      </c>
      <c r="E304" s="3" t="str">
        <f>MID(C304,5,1)</f>
        <v>U</v>
      </c>
      <c r="F304" s="3"/>
      <c r="G304" s="3"/>
      <c r="H304" s="3"/>
      <c r="I304" s="3"/>
      <c r="J304" s="3"/>
      <c r="K304" s="3"/>
      <c r="L304" s="1" t="str">
        <f>MID(C304,3,17)</f>
        <v>ACUP-65D26RX-B1C4</v>
      </c>
      <c r="M304" s="1" t="str">
        <f>VLOOKUP(L304,'[1]Plate Infor'!$B:$C,2,FALSE)</f>
        <v>W-UNPL-CG82PXX-L870-02-7S00</v>
      </c>
      <c r="N304" s="1" t="str">
        <f>VLOOKUP(MID(M304,8,4),'[1]Tipe Plate'!$C:$D,2,FALSE)</f>
        <v>Grid Casting</v>
      </c>
      <c r="O304" s="4">
        <f>VLOOKUP(L304,'[1]Plate Infor'!$B:$D,3,FALSE)*D304</f>
        <v>1440</v>
      </c>
      <c r="P304" s="4">
        <f>IFERROR(VLOOKUP(IF(MID(M304,3,1)="F","W-UNPL-"&amp;RIGHT(M304,20),M304),'[1]Data Pule'!$C:$E,3,FALSE),0)*O304</f>
        <v>185.03999999999996</v>
      </c>
      <c r="Q304" s="1" t="str">
        <f>VLOOKUP(L304,'[1]Plate Infor'!$B:$E,4,FALSE)</f>
        <v>W-UNPL-CG87NXX-T3L0-02-7S00</v>
      </c>
      <c r="R304" s="1" t="str">
        <f>VLOOKUP(MID(Q304,8,4),'[1]Tipe Plate'!$C:$D,2,FALSE)</f>
        <v>Grid Casting</v>
      </c>
      <c r="S304" s="4">
        <f>VLOOKUP(L304,'[1]Plate Infor'!$B:$F,5,FALSE)*D304</f>
        <v>1728</v>
      </c>
      <c r="T304" s="4">
        <f>IFERROR(VLOOKUP(IF(MID(Q304,3,1)="F","W-UNPL-"&amp;RIGHT(Q304,20),Q304),'[1]Data Pule'!$C:$E,3,FALSE),0)*S304</f>
        <v>198.72</v>
      </c>
    </row>
    <row r="305" spans="3:20" x14ac:dyDescent="0.35">
      <c r="C305" s="1" t="s">
        <v>264</v>
      </c>
      <c r="D305">
        <v>96</v>
      </c>
      <c r="E305" s="3" t="str">
        <f>MID(C305,5,1)</f>
        <v>U</v>
      </c>
      <c r="F305" s="3"/>
      <c r="G305" s="3"/>
      <c r="H305" s="3"/>
      <c r="I305" s="3"/>
      <c r="J305" s="3"/>
      <c r="K305" s="3"/>
      <c r="L305" s="1" t="str">
        <f>MID(C305,3,17)</f>
        <v>ACUP-65D26LX-B1C4</v>
      </c>
      <c r="M305" s="1" t="str">
        <f>VLOOKUP(L305,'[1]Plate Infor'!$B:$C,2,FALSE)</f>
        <v>W-UNPL-CG82PXX-L870-02-7S00</v>
      </c>
      <c r="N305" s="1" t="str">
        <f>VLOOKUP(MID(M305,8,4),'[1]Tipe Plate'!$C:$D,2,FALSE)</f>
        <v>Grid Casting</v>
      </c>
      <c r="O305" s="4">
        <f>VLOOKUP(L305,'[1]Plate Infor'!$B:$D,3,FALSE)*D305</f>
        <v>1440</v>
      </c>
      <c r="P305" s="4">
        <f>IFERROR(VLOOKUP(IF(MID(M305,3,1)="F","W-UNPL-"&amp;RIGHT(M305,20),M305),'[1]Data Pule'!$C:$E,3,FALSE),0)*O305</f>
        <v>185.03999999999996</v>
      </c>
      <c r="Q305" s="1" t="str">
        <f>VLOOKUP(L305,'[1]Plate Infor'!$B:$E,4,FALSE)</f>
        <v>W-UNPL-CG87NXX-T3L0-02-7S00</v>
      </c>
      <c r="R305" s="1" t="str">
        <f>VLOOKUP(MID(Q305,8,4),'[1]Tipe Plate'!$C:$D,2,FALSE)</f>
        <v>Grid Casting</v>
      </c>
      <c r="S305" s="4">
        <f>VLOOKUP(L305,'[1]Plate Infor'!$B:$F,5,FALSE)*D305</f>
        <v>1728</v>
      </c>
      <c r="T305" s="4">
        <f>IFERROR(VLOOKUP(IF(MID(Q305,3,1)="F","W-UNPL-"&amp;RIGHT(Q305,20),Q305),'[1]Data Pule'!$C:$E,3,FALSE),0)*S305</f>
        <v>198.72</v>
      </c>
    </row>
    <row r="306" spans="3:20" x14ac:dyDescent="0.35">
      <c r="C306" s="1" t="s">
        <v>269</v>
      </c>
      <c r="D306">
        <v>84</v>
      </c>
      <c r="E306" s="3" t="str">
        <f>MID(C306,5,1)</f>
        <v>U</v>
      </c>
      <c r="F306" s="3"/>
      <c r="G306" s="3"/>
      <c r="H306" s="3"/>
      <c r="I306" s="3"/>
      <c r="J306" s="3"/>
      <c r="K306" s="3"/>
      <c r="L306" s="1" t="str">
        <f>MID(C306,3,17)</f>
        <v>ACUP-75D31RX-B5C3</v>
      </c>
      <c r="M306" s="1" t="str">
        <f>VLOOKUP(L306,'[1]Plate Infor'!$B:$C,2,FALSE)</f>
        <v>W-UNPL-CG82PXX-L870-02-7S00</v>
      </c>
      <c r="N306" s="1" t="str">
        <f>VLOOKUP(MID(M306,8,4),'[1]Tipe Plate'!$C:$D,2,FALSE)</f>
        <v>Grid Casting</v>
      </c>
      <c r="O306" s="4">
        <f>VLOOKUP(L306,'[1]Plate Infor'!$B:$D,3,FALSE)*D306</f>
        <v>1764</v>
      </c>
      <c r="P306" s="4">
        <f>IFERROR(VLOOKUP(IF(MID(M306,3,1)="F","W-UNPL-"&amp;RIGHT(M306,20),M306),'[1]Data Pule'!$C:$E,3,FALSE),0)*O306</f>
        <v>226.67399999999995</v>
      </c>
      <c r="Q306" s="1" t="str">
        <f>VLOOKUP(L306,'[1]Plate Infor'!$B:$E,4,FALSE)</f>
        <v>W-UNPL-CG87NXX-T3L0-02-7S00</v>
      </c>
      <c r="R306" s="1" t="str">
        <f>VLOOKUP(MID(Q306,8,4),'[1]Tipe Plate'!$C:$D,2,FALSE)</f>
        <v>Grid Casting</v>
      </c>
      <c r="S306" s="4">
        <f>VLOOKUP(L306,'[1]Plate Infor'!$B:$F,5,FALSE)*D306</f>
        <v>2016</v>
      </c>
      <c r="T306" s="4">
        <f>IFERROR(VLOOKUP(IF(MID(Q306,3,1)="F","W-UNPL-"&amp;RIGHT(Q306,20),Q306),'[1]Data Pule'!$C:$E,3,FALSE),0)*S306</f>
        <v>231.84</v>
      </c>
    </row>
    <row r="307" spans="3:20" x14ac:dyDescent="0.35">
      <c r="C307" s="1" t="s">
        <v>270</v>
      </c>
      <c r="D307">
        <v>84</v>
      </c>
      <c r="E307" s="3" t="str">
        <f>MID(C307,5,1)</f>
        <v>U</v>
      </c>
      <c r="F307" s="3"/>
      <c r="G307" s="3"/>
      <c r="H307" s="3"/>
      <c r="I307" s="3"/>
      <c r="J307" s="3"/>
      <c r="K307" s="3"/>
      <c r="L307" s="1" t="str">
        <f>MID(C307,3,17)</f>
        <v>ACUP-75D31LX-B5C3</v>
      </c>
      <c r="M307" s="1" t="str">
        <f>VLOOKUP(L307,'[1]Plate Infor'!$B:$C,2,FALSE)</f>
        <v>W-UNPL-CG82PXX-L870-02-7S00</v>
      </c>
      <c r="N307" s="1" t="str">
        <f>VLOOKUP(MID(M307,8,4),'[1]Tipe Plate'!$C:$D,2,FALSE)</f>
        <v>Grid Casting</v>
      </c>
      <c r="O307" s="4">
        <f>VLOOKUP(L307,'[1]Plate Infor'!$B:$D,3,FALSE)*D307</f>
        <v>1764</v>
      </c>
      <c r="P307" s="4">
        <f>IFERROR(VLOOKUP(IF(MID(M307,3,1)="F","W-UNPL-"&amp;RIGHT(M307,20),M307),'[1]Data Pule'!$C:$E,3,FALSE),0)*O307</f>
        <v>226.67399999999995</v>
      </c>
      <c r="Q307" s="1" t="str">
        <f>VLOOKUP(L307,'[1]Plate Infor'!$B:$E,4,FALSE)</f>
        <v>W-UNPL-CG87NXX-T3L0-02-7S00</v>
      </c>
      <c r="R307" s="1" t="str">
        <f>VLOOKUP(MID(Q307,8,4),'[1]Tipe Plate'!$C:$D,2,FALSE)</f>
        <v>Grid Casting</v>
      </c>
      <c r="S307" s="4">
        <f>VLOOKUP(L307,'[1]Plate Infor'!$B:$F,5,FALSE)*D307</f>
        <v>2016</v>
      </c>
      <c r="T307" s="4">
        <f>IFERROR(VLOOKUP(IF(MID(Q307,3,1)="F","W-UNPL-"&amp;RIGHT(Q307,20),Q307),'[1]Data Pule'!$C:$E,3,FALSE),0)*S307</f>
        <v>231.84</v>
      </c>
    </row>
    <row r="308" spans="3:20" x14ac:dyDescent="0.35">
      <c r="C308" s="1" t="s">
        <v>271</v>
      </c>
      <c r="D308">
        <v>64</v>
      </c>
      <c r="E308" s="3" t="str">
        <f>MID(C308,5,1)</f>
        <v>U</v>
      </c>
      <c r="F308" s="3"/>
      <c r="G308" s="3"/>
      <c r="H308" s="3"/>
      <c r="I308" s="3"/>
      <c r="J308" s="3"/>
      <c r="K308" s="3"/>
      <c r="L308" s="1" t="str">
        <f>MID(C308,3,17)</f>
        <v>ACUP-95E41RX-B7C3</v>
      </c>
      <c r="M308" s="1" t="str">
        <f>VLOOKUP(L308,'[1]Plate Infor'!$B:$C,2,FALSE)</f>
        <v>W-UNPL-CG80PXX-L870-02-7S00</v>
      </c>
      <c r="N308" s="1" t="str">
        <f>VLOOKUP(MID(M308,8,4),'[1]Tipe Plate'!$C:$D,2,FALSE)</f>
        <v>Grid Casting</v>
      </c>
      <c r="O308" s="4">
        <f>VLOOKUP(L308,'[1]Plate Infor'!$B:$D,3,FALSE)*D308</f>
        <v>1536</v>
      </c>
      <c r="P308" s="4">
        <f>IFERROR(VLOOKUP(IF(MID(M308,3,1)="F","W-UNPL-"&amp;RIGHT(M308,20),M308),'[1]Data Pule'!$C:$E,3,FALSE),0)*O308</f>
        <v>232.08959999999996</v>
      </c>
      <c r="Q308" s="1" t="str">
        <f>VLOOKUP(L308,'[1]Plate Infor'!$B:$E,4,FALSE)</f>
        <v>W-UNPL-CG87NXX-T3L0-02-7S00</v>
      </c>
      <c r="R308" s="1" t="str">
        <f>VLOOKUP(MID(Q308,8,4),'[1]Tipe Plate'!$C:$D,2,FALSE)</f>
        <v>Grid Casting</v>
      </c>
      <c r="S308" s="4">
        <f>VLOOKUP(L308,'[1]Plate Infor'!$B:$F,5,FALSE)*D308</f>
        <v>1728</v>
      </c>
      <c r="T308" s="4">
        <f>IFERROR(VLOOKUP(IF(MID(Q308,3,1)="F","W-UNPL-"&amp;RIGHT(Q308,20),Q308),'[1]Data Pule'!$C:$E,3,FALSE),0)*S308</f>
        <v>198.72</v>
      </c>
    </row>
    <row r="309" spans="3:20" x14ac:dyDescent="0.35">
      <c r="C309" s="1" t="s">
        <v>272</v>
      </c>
      <c r="D309">
        <v>180</v>
      </c>
      <c r="E309" s="3" t="str">
        <f>MID(C309,5,1)</f>
        <v>U</v>
      </c>
      <c r="F309" s="3"/>
      <c r="G309" s="3"/>
      <c r="H309" s="3"/>
      <c r="I309" s="3"/>
      <c r="J309" s="3"/>
      <c r="K309" s="3"/>
      <c r="L309" s="1" t="str">
        <f>MID(C309,3,17)</f>
        <v>ACUP-115F51X-B9C4</v>
      </c>
      <c r="M309" s="1" t="str">
        <f>VLOOKUP(L309,'[1]Plate Infor'!$B:$C,2,FALSE)</f>
        <v>W-UNPL-CG82PXX-L870-02-7S00</v>
      </c>
      <c r="N309" s="1" t="str">
        <f>VLOOKUP(MID(M309,8,4),'[1]Tipe Plate'!$C:$D,2,FALSE)</f>
        <v>Grid Casting</v>
      </c>
      <c r="O309" s="4">
        <f>VLOOKUP(L309,'[1]Plate Infor'!$B:$D,3,FALSE)*D309</f>
        <v>4860</v>
      </c>
      <c r="P309" s="4">
        <f>IFERROR(VLOOKUP(IF(MID(M309,3,1)="F","W-UNPL-"&amp;RIGHT(M309,20),M309),'[1]Data Pule'!$C:$E,3,FALSE),0)*O309</f>
        <v>624.50999999999988</v>
      </c>
      <c r="Q309" s="1" t="str">
        <f>VLOOKUP(L309,'[1]Plate Infor'!$B:$E,4,FALSE)</f>
        <v>W-UNPL-CG87NXX-T3L0-02-7S00</v>
      </c>
      <c r="R309" s="1" t="str">
        <f>VLOOKUP(MID(Q309,8,4),'[1]Tipe Plate'!$C:$D,2,FALSE)</f>
        <v>Grid Casting</v>
      </c>
      <c r="S309" s="4">
        <f>VLOOKUP(L309,'[1]Plate Infor'!$B:$F,5,FALSE)*D309</f>
        <v>5400</v>
      </c>
      <c r="T309" s="4">
        <f>IFERROR(VLOOKUP(IF(MID(Q309,3,1)="F","W-UNPL-"&amp;RIGHT(Q309,20),Q309),'[1]Data Pule'!$C:$E,3,FALSE),0)*S309</f>
        <v>621</v>
      </c>
    </row>
    <row r="310" spans="3:20" x14ac:dyDescent="0.35">
      <c r="C310" s="1" t="s">
        <v>273</v>
      </c>
      <c r="D310">
        <v>180</v>
      </c>
      <c r="E310" s="3" t="str">
        <f>MID(C310,5,1)</f>
        <v>U</v>
      </c>
      <c r="F310" s="3"/>
      <c r="G310" s="3"/>
      <c r="H310" s="3"/>
      <c r="I310" s="3"/>
      <c r="J310" s="3"/>
      <c r="K310" s="3"/>
      <c r="L310" s="1" t="str">
        <f>MID(C310,3,17)</f>
        <v>ACUP-145G51X-C3C5</v>
      </c>
      <c r="M310" s="1" t="str">
        <f>VLOOKUP(L310,'[1]Plate Infor'!$B:$C,2,FALSE)</f>
        <v>W-UNPL-CG82PXX-L870-02-7S00</v>
      </c>
      <c r="N310" s="1" t="str">
        <f>VLOOKUP(MID(M310,8,4),'[1]Tipe Plate'!$C:$D,2,FALSE)</f>
        <v>Grid Casting</v>
      </c>
      <c r="O310" s="4">
        <f>VLOOKUP(L310,'[1]Plate Infor'!$B:$D,3,FALSE)*D310</f>
        <v>5940</v>
      </c>
      <c r="P310" s="4">
        <f>IFERROR(VLOOKUP(IF(MID(M310,3,1)="F","W-UNPL-"&amp;RIGHT(M310,20),M310),'[1]Data Pule'!$C:$E,3,FALSE),0)*O310</f>
        <v>763.28999999999985</v>
      </c>
      <c r="Q310" s="1" t="str">
        <f>VLOOKUP(L310,'[1]Plate Infor'!$B:$E,4,FALSE)</f>
        <v>W-UNPL-CG87NXX-T3L0-02-7S00</v>
      </c>
      <c r="R310" s="1" t="str">
        <f>VLOOKUP(MID(Q310,8,4),'[1]Tipe Plate'!$C:$D,2,FALSE)</f>
        <v>Grid Casting</v>
      </c>
      <c r="S310" s="4">
        <f>VLOOKUP(L310,'[1]Plate Infor'!$B:$F,5,FALSE)*D310</f>
        <v>6480</v>
      </c>
      <c r="T310" s="4">
        <f>IFERROR(VLOOKUP(IF(MID(Q310,3,1)="F","W-UNPL-"&amp;RIGHT(Q310,20),Q310),'[1]Data Pule'!$C:$E,3,FALSE),0)*S310</f>
        <v>745.2</v>
      </c>
    </row>
    <row r="311" spans="3:20" x14ac:dyDescent="0.35">
      <c r="C311" s="1" t="s">
        <v>274</v>
      </c>
      <c r="D311">
        <v>48</v>
      </c>
      <c r="E311" s="3" t="str">
        <f>MID(C311,5,1)</f>
        <v>U</v>
      </c>
      <c r="F311" s="3"/>
      <c r="G311" s="3"/>
      <c r="H311" s="3"/>
      <c r="I311" s="3"/>
      <c r="J311" s="3"/>
      <c r="K311" s="3"/>
      <c r="L311" s="1" t="str">
        <f>MID(C311,3,17)</f>
        <v>ACUP-190H52X-C9C7</v>
      </c>
      <c r="M311" s="1" t="str">
        <f>VLOOKUP(L311,'[1]Plate Infor'!$B:$C,2,FALSE)</f>
        <v>W-UNPL-CG82PXX-L870-02-7S00</v>
      </c>
      <c r="N311" s="1" t="str">
        <f>VLOOKUP(MID(M311,8,4),'[1]Tipe Plate'!$C:$D,2,FALSE)</f>
        <v>Grid Casting</v>
      </c>
      <c r="O311" s="4">
        <f>VLOOKUP(L311,'[1]Plate Infor'!$B:$D,3,FALSE)*D311</f>
        <v>2016</v>
      </c>
      <c r="P311" s="4">
        <f>IFERROR(VLOOKUP(IF(MID(M311,3,1)="F","W-UNPL-"&amp;RIGHT(M311,20),M311),'[1]Data Pule'!$C:$E,3,FALSE),0)*O311</f>
        <v>259.05599999999993</v>
      </c>
      <c r="Q311" s="1" t="str">
        <f>VLOOKUP(L311,'[1]Plate Infor'!$B:$E,4,FALSE)</f>
        <v>W-UNPL-CG87NXX-T3L0-02-7S00</v>
      </c>
      <c r="R311" s="1" t="str">
        <f>VLOOKUP(MID(Q311,8,4),'[1]Tipe Plate'!$C:$D,2,FALSE)</f>
        <v>Grid Casting</v>
      </c>
      <c r="S311" s="4">
        <f>VLOOKUP(L311,'[1]Plate Infor'!$B:$F,5,FALSE)*D311</f>
        <v>2160</v>
      </c>
      <c r="T311" s="4">
        <f>IFERROR(VLOOKUP(IF(MID(Q311,3,1)="F","W-UNPL-"&amp;RIGHT(Q311,20),Q311),'[1]Data Pule'!$C:$E,3,FALSE),0)*S311</f>
        <v>248.4</v>
      </c>
    </row>
    <row r="312" spans="3:20" x14ac:dyDescent="0.35">
      <c r="C312" s="1" t="s">
        <v>275</v>
      </c>
      <c r="D312">
        <v>30</v>
      </c>
      <c r="E312" s="3" t="str">
        <f>MID(C312,5,1)</f>
        <v>U</v>
      </c>
      <c r="F312" s="3"/>
      <c r="G312" s="3"/>
      <c r="H312" s="3"/>
      <c r="I312" s="3"/>
      <c r="J312" s="3"/>
      <c r="K312" s="3"/>
      <c r="L312" s="1" t="str">
        <f>MID(C312,3,17)</f>
        <v>ACUP-145G51L-C7C3</v>
      </c>
      <c r="M312" s="1" t="str">
        <f>VLOOKUP(L312,'[1]Plate Infor'!$B:$C,2,FALSE)</f>
        <v>W-UNPL-CG82PXX-L870-02-7S00</v>
      </c>
      <c r="N312" s="1" t="str">
        <f>VLOOKUP(MID(M312,8,4),'[1]Tipe Plate'!$C:$D,2,FALSE)</f>
        <v>Grid Casting</v>
      </c>
      <c r="O312" s="4">
        <f>VLOOKUP(L312,'[1]Plate Infor'!$B:$D,3,FALSE)*D312</f>
        <v>1170</v>
      </c>
      <c r="P312" s="4">
        <f>IFERROR(VLOOKUP(IF(MID(M312,3,1)="F","W-UNPL-"&amp;RIGHT(M312,20),M312),'[1]Data Pule'!$C:$E,3,FALSE),0)*O312</f>
        <v>150.34499999999997</v>
      </c>
      <c r="Q312" s="1" t="str">
        <f>VLOOKUP(L312,'[1]Plate Infor'!$B:$E,4,FALSE)</f>
        <v>W-UNPL-CG87NXX-T3L0-02-7S00</v>
      </c>
      <c r="R312" s="1" t="str">
        <f>VLOOKUP(MID(Q312,8,4),'[1]Tipe Plate'!$C:$D,2,FALSE)</f>
        <v>Grid Casting</v>
      </c>
      <c r="S312" s="4">
        <f>VLOOKUP(L312,'[1]Plate Infor'!$B:$F,5,FALSE)*D312</f>
        <v>1260</v>
      </c>
      <c r="T312" s="4">
        <f>IFERROR(VLOOKUP(IF(MID(Q312,3,1)="F","W-UNPL-"&amp;RIGHT(Q312,20),Q312),'[1]Data Pule'!$C:$E,3,FALSE),0)*S312</f>
        <v>144.9</v>
      </c>
    </row>
    <row r="313" spans="3:20" x14ac:dyDescent="0.35">
      <c r="C313" s="1" t="s">
        <v>276</v>
      </c>
      <c r="D313">
        <v>135</v>
      </c>
      <c r="E313" s="3" t="str">
        <f>MID(C313,5,1)</f>
        <v>D</v>
      </c>
      <c r="F313" s="3"/>
      <c r="G313" s="3"/>
      <c r="H313" s="3"/>
      <c r="I313" s="3"/>
      <c r="J313" s="3"/>
      <c r="K313" s="3"/>
      <c r="L313" s="1" t="str">
        <f>MID(C313,3,17)</f>
        <v>ACDP-32B20LX-A9C3</v>
      </c>
      <c r="M313" s="1" t="str">
        <f>VLOOKUP(L313,'[1]Plate Infor'!$B:$C,2,FALSE)</f>
        <v>W-FOPL-CM84APX-L870-02-7S00</v>
      </c>
      <c r="N313" s="1" t="str">
        <f>VLOOKUP(MID(M313,8,4),'[1]Tipe Plate'!$C:$D,2,FALSE)</f>
        <v>Grid Casting</v>
      </c>
      <c r="O313" s="4">
        <f>VLOOKUP(L313,'[1]Plate Infor'!$B:$D,3,FALSE)*D313</f>
        <v>1620</v>
      </c>
      <c r="P313" s="4">
        <f>IFERROR(VLOOKUP(IF(MID(M313,3,1)="F","W-UNPL-"&amp;RIGHT(M313,20),M313),'[1]Data Pule'!$C:$E,3,FALSE),0)*O313</f>
        <v>145.31399999999999</v>
      </c>
      <c r="Q313" s="1" t="str">
        <f>VLOOKUP(L313,'[1]Plate Infor'!$B:$E,4,FALSE)</f>
        <v>W-FOPL-CM8786N-T3L0-02-7S00</v>
      </c>
      <c r="R313" s="1" t="str">
        <f>VLOOKUP(MID(Q313,8,4),'[1]Tipe Plate'!$C:$D,2,FALSE)</f>
        <v>Grid Casting</v>
      </c>
      <c r="S313" s="4">
        <f>VLOOKUP(L313,'[1]Plate Infor'!$B:$F,5,FALSE)*D313</f>
        <v>2025</v>
      </c>
      <c r="T313" s="4">
        <f>IFERROR(VLOOKUP(IF(MID(Q313,3,1)="F","W-UNPL-"&amp;RIGHT(Q313,20),Q313),'[1]Data Pule'!$C:$E,3,FALSE),0)*S313</f>
        <v>190.95750000000001</v>
      </c>
    </row>
    <row r="314" spans="3:20" x14ac:dyDescent="0.35">
      <c r="C314" s="1" t="s">
        <v>277</v>
      </c>
      <c r="D314">
        <v>108</v>
      </c>
      <c r="E314" s="3" t="str">
        <f>MID(C314,5,1)</f>
        <v>D</v>
      </c>
      <c r="F314" s="3"/>
      <c r="G314" s="3"/>
      <c r="H314" s="3"/>
      <c r="I314" s="3"/>
      <c r="J314" s="3"/>
      <c r="K314" s="3"/>
      <c r="L314" s="1" t="str">
        <f>MID(C314,3,17)</f>
        <v>ACDP-46B24LX-B2C3</v>
      </c>
      <c r="M314" s="1" t="str">
        <f>VLOOKUP(L314,'[1]Plate Infor'!$B:$C,2,FALSE)</f>
        <v>W-FOPL-CM84APX-L870-02-7S00</v>
      </c>
      <c r="N314" s="1" t="str">
        <f>VLOOKUP(MID(M314,8,4),'[1]Tipe Plate'!$C:$D,2,FALSE)</f>
        <v>Grid Casting</v>
      </c>
      <c r="O314" s="4">
        <f>VLOOKUP(L314,'[1]Plate Infor'!$B:$D,3,FALSE)*D314</f>
        <v>1944</v>
      </c>
      <c r="P314" s="4">
        <f>IFERROR(VLOOKUP(IF(MID(M314,3,1)="F","W-UNPL-"&amp;RIGHT(M314,20),M314),'[1]Data Pule'!$C:$E,3,FALSE),0)*O314</f>
        <v>174.3768</v>
      </c>
      <c r="Q314" s="1" t="str">
        <f>VLOOKUP(L314,'[1]Plate Infor'!$B:$E,4,FALSE)</f>
        <v>W-FOPL-CM8786N-T3L0-02-7S00</v>
      </c>
      <c r="R314" s="1" t="str">
        <f>VLOOKUP(MID(Q314,8,4),'[1]Tipe Plate'!$C:$D,2,FALSE)</f>
        <v>Grid Casting</v>
      </c>
      <c r="S314" s="4">
        <f>VLOOKUP(L314,'[1]Plate Infor'!$B:$F,5,FALSE)*D314</f>
        <v>1944</v>
      </c>
      <c r="T314" s="4">
        <f>IFERROR(VLOOKUP(IF(MID(Q314,3,1)="F","W-UNPL-"&amp;RIGHT(Q314,20),Q314),'[1]Data Pule'!$C:$E,3,FALSE),0)*S314</f>
        <v>183.31920000000002</v>
      </c>
    </row>
    <row r="315" spans="3:20" x14ac:dyDescent="0.35">
      <c r="C315" s="1" t="s">
        <v>278</v>
      </c>
      <c r="D315">
        <v>96</v>
      </c>
      <c r="E315" s="3" t="str">
        <f>MID(C315,5,1)</f>
        <v>D</v>
      </c>
      <c r="F315" s="3"/>
      <c r="G315" s="3"/>
      <c r="H315" s="3"/>
      <c r="I315" s="3"/>
      <c r="J315" s="3"/>
      <c r="K315" s="3"/>
      <c r="L315" s="1" t="str">
        <f>MID(C315,3,17)</f>
        <v>ACDP-48D26LX-A9C3</v>
      </c>
      <c r="M315" s="1" t="str">
        <f>VLOOKUP(L315,'[1]Plate Infor'!$B:$C,2,FALSE)</f>
        <v>W-FOPL-CG80PXX-L870-02-7S00</v>
      </c>
      <c r="N315" s="1" t="str">
        <f>VLOOKUP(MID(M315,8,4),'[1]Tipe Plate'!$C:$D,2,FALSE)</f>
        <v>Grid Casting</v>
      </c>
      <c r="O315" s="4">
        <f>VLOOKUP(L315,'[1]Plate Infor'!$B:$D,3,FALSE)*D315</f>
        <v>1152</v>
      </c>
      <c r="P315" s="4">
        <f>IFERROR(VLOOKUP(IF(MID(M315,3,1)="F","W-UNPL-"&amp;RIGHT(M315,20),M315),'[1]Data Pule'!$C:$E,3,FALSE),0)*O315</f>
        <v>174.06719999999999</v>
      </c>
      <c r="Q315" s="1" t="str">
        <f>VLOOKUP(L315,'[1]Plate Infor'!$B:$E,4,FALSE)</f>
        <v>W-FOPL-CG87NXX-T3L0-02-7S00</v>
      </c>
      <c r="R315" s="1" t="str">
        <f>VLOOKUP(MID(Q315,8,4),'[1]Tipe Plate'!$C:$D,2,FALSE)</f>
        <v>Grid Casting</v>
      </c>
      <c r="S315" s="4">
        <f>VLOOKUP(L315,'[1]Plate Infor'!$B:$F,5,FALSE)*D315</f>
        <v>1440</v>
      </c>
      <c r="T315" s="4">
        <f>IFERROR(VLOOKUP(IF(MID(Q315,3,1)="F","W-UNPL-"&amp;RIGHT(Q315,20),Q315),'[1]Data Pule'!$C:$E,3,FALSE),0)*S315</f>
        <v>165.6</v>
      </c>
    </row>
    <row r="316" spans="3:20" x14ac:dyDescent="0.35">
      <c r="C316" s="1" t="s">
        <v>279</v>
      </c>
      <c r="D316">
        <v>1488</v>
      </c>
      <c r="E316" s="3" t="str">
        <f>MID(C316,5,1)</f>
        <v>D</v>
      </c>
      <c r="F316" s="3"/>
      <c r="G316" s="3"/>
      <c r="H316" s="3"/>
      <c r="I316" s="3"/>
      <c r="J316" s="3"/>
      <c r="K316" s="3"/>
      <c r="L316" s="1" t="str">
        <f>MID(C316,3,17)</f>
        <v>ACDP-48D26RX-A9C3</v>
      </c>
      <c r="M316" s="1" t="str">
        <f>VLOOKUP(L316,'[1]Plate Infor'!$B:$C,2,FALSE)</f>
        <v>W-FOPL-CG80PXX-L870-02-7S00</v>
      </c>
      <c r="N316" s="1" t="str">
        <f>VLOOKUP(MID(M316,8,4),'[1]Tipe Plate'!$C:$D,2,FALSE)</f>
        <v>Grid Casting</v>
      </c>
      <c r="O316" s="4">
        <f>VLOOKUP(L316,'[1]Plate Infor'!$B:$D,3,FALSE)*D316</f>
        <v>17856</v>
      </c>
      <c r="P316" s="4">
        <f>IFERROR(VLOOKUP(IF(MID(M316,3,1)="F","W-UNPL-"&amp;RIGHT(M316,20),M316),'[1]Data Pule'!$C:$E,3,FALSE),0)*O316</f>
        <v>2698.0415999999996</v>
      </c>
      <c r="Q316" s="1" t="str">
        <f>VLOOKUP(L316,'[1]Plate Infor'!$B:$E,4,FALSE)</f>
        <v>W-FOPL-CG87NXX-T3L0-02-7S00</v>
      </c>
      <c r="R316" s="1" t="str">
        <f>VLOOKUP(MID(Q316,8,4),'[1]Tipe Plate'!$C:$D,2,FALSE)</f>
        <v>Grid Casting</v>
      </c>
      <c r="S316" s="4">
        <f>VLOOKUP(L316,'[1]Plate Infor'!$B:$F,5,FALSE)*D316</f>
        <v>22320</v>
      </c>
      <c r="T316" s="4">
        <f>IFERROR(VLOOKUP(IF(MID(Q316,3,1)="F","W-UNPL-"&amp;RIGHT(Q316,20),Q316),'[1]Data Pule'!$C:$E,3,FALSE),0)*S316</f>
        <v>2566.8000000000002</v>
      </c>
    </row>
    <row r="317" spans="3:20" x14ac:dyDescent="0.35">
      <c r="C317" s="1" t="s">
        <v>280</v>
      </c>
      <c r="D317">
        <v>96</v>
      </c>
      <c r="E317" s="3" t="str">
        <f>MID(C317,5,1)</f>
        <v>D</v>
      </c>
      <c r="F317" s="3"/>
      <c r="G317" s="3"/>
      <c r="H317" s="3"/>
      <c r="I317" s="3"/>
      <c r="J317" s="3"/>
      <c r="K317" s="3"/>
      <c r="L317" s="1" t="str">
        <f>MID(C317,3,17)</f>
        <v>ACDP-55D26RX-B1C3</v>
      </c>
      <c r="M317" s="1" t="str">
        <f>VLOOKUP(L317,'[1]Plate Infor'!$B:$C,2,FALSE)</f>
        <v>W-FOPL-CG80PXX-L870-02-7S00</v>
      </c>
      <c r="N317" s="1" t="str">
        <f>VLOOKUP(MID(M317,8,4),'[1]Tipe Plate'!$C:$D,2,FALSE)</f>
        <v>Grid Casting</v>
      </c>
      <c r="O317" s="4">
        <f>VLOOKUP(L317,'[1]Plate Infor'!$B:$D,3,FALSE)*D317</f>
        <v>1440</v>
      </c>
      <c r="P317" s="4">
        <f>IFERROR(VLOOKUP(IF(MID(M317,3,1)="F","W-UNPL-"&amp;RIGHT(M317,20),M317),'[1]Data Pule'!$C:$E,3,FALSE),0)*O317</f>
        <v>217.58399999999997</v>
      </c>
      <c r="Q317" s="1" t="str">
        <f>VLOOKUP(L317,'[1]Plate Infor'!$B:$E,4,FALSE)</f>
        <v>W-FOPL-CG87NXX-T3L0-02-7S00</v>
      </c>
      <c r="R317" s="1" t="str">
        <f>VLOOKUP(MID(Q317,8,4),'[1]Tipe Plate'!$C:$D,2,FALSE)</f>
        <v>Grid Casting</v>
      </c>
      <c r="S317" s="4">
        <f>VLOOKUP(L317,'[1]Plate Infor'!$B:$F,5,FALSE)*D317</f>
        <v>1728</v>
      </c>
      <c r="T317" s="4">
        <f>IFERROR(VLOOKUP(IF(MID(Q317,3,1)="F","W-UNPL-"&amp;RIGHT(Q317,20),Q317),'[1]Data Pule'!$C:$E,3,FALSE),0)*S317</f>
        <v>198.72</v>
      </c>
    </row>
    <row r="318" spans="3:20" x14ac:dyDescent="0.35">
      <c r="C318" s="1" t="s">
        <v>281</v>
      </c>
      <c r="D318">
        <v>168</v>
      </c>
      <c r="E318" s="3" t="str">
        <f>MID(C318,5,1)</f>
        <v>D</v>
      </c>
      <c r="F318" s="3"/>
      <c r="G318" s="3"/>
      <c r="H318" s="3"/>
      <c r="I318" s="3"/>
      <c r="J318" s="3"/>
      <c r="K318" s="3"/>
      <c r="L318" s="1" t="str">
        <f>MID(C318,3,17)</f>
        <v>ACDP-65D31RX-B3C3</v>
      </c>
      <c r="M318" s="1" t="str">
        <f>VLOOKUP(L318,'[1]Plate Infor'!$B:$C,2,FALSE)</f>
        <v>W-FOPL-CG82PXX-L870-02-7S00</v>
      </c>
      <c r="N318" s="1" t="str">
        <f>VLOOKUP(MID(M318,8,4),'[1]Tipe Plate'!$C:$D,2,FALSE)</f>
        <v>Grid Casting</v>
      </c>
      <c r="O318" s="4">
        <f>VLOOKUP(L318,'[1]Plate Infor'!$B:$D,3,FALSE)*D318</f>
        <v>3024</v>
      </c>
      <c r="P318" s="4">
        <f>IFERROR(VLOOKUP(IF(MID(M318,3,1)="F","W-UNPL-"&amp;RIGHT(M318,20),M318),'[1]Data Pule'!$C:$E,3,FALSE),0)*O318</f>
        <v>388.58399999999995</v>
      </c>
      <c r="Q318" s="1" t="str">
        <f>VLOOKUP(L318,'[1]Plate Infor'!$B:$E,4,FALSE)</f>
        <v>W-FOPL-CG87NXX-T3L0-02-7S00</v>
      </c>
      <c r="R318" s="1" t="str">
        <f>VLOOKUP(MID(Q318,8,4),'[1]Tipe Plate'!$C:$D,2,FALSE)</f>
        <v>Grid Casting</v>
      </c>
      <c r="S318" s="4">
        <f>VLOOKUP(L318,'[1]Plate Infor'!$B:$F,5,FALSE)*D318</f>
        <v>3528</v>
      </c>
      <c r="T318" s="4">
        <f>IFERROR(VLOOKUP(IF(MID(Q318,3,1)="F","W-UNPL-"&amp;RIGHT(Q318,20),Q318),'[1]Data Pule'!$C:$E,3,FALSE),0)*S318</f>
        <v>405.72</v>
      </c>
    </row>
    <row r="319" spans="3:20" x14ac:dyDescent="0.35">
      <c r="C319" s="1" t="s">
        <v>282</v>
      </c>
      <c r="D319">
        <v>63</v>
      </c>
      <c r="E319" s="3" t="str">
        <f>MID(C319,5,1)</f>
        <v>D</v>
      </c>
      <c r="F319" s="3"/>
      <c r="G319" s="3"/>
      <c r="H319" s="3"/>
      <c r="I319" s="3"/>
      <c r="J319" s="3"/>
      <c r="K319" s="3"/>
      <c r="L319" s="1" t="str">
        <f>MID(C319,3,17)</f>
        <v>ACDP-75D31RX-B4C3</v>
      </c>
      <c r="M319" s="1" t="str">
        <f>VLOOKUP(L319,'[1]Plate Infor'!$B:$C,2,FALSE)</f>
        <v>W-FOPL-CG82PXX-L870-02-7S00</v>
      </c>
      <c r="N319" s="1" t="str">
        <f>VLOOKUP(MID(M319,8,4),'[1]Tipe Plate'!$C:$D,2,FALSE)</f>
        <v>Grid Casting</v>
      </c>
      <c r="O319" s="4">
        <f>VLOOKUP(L319,'[1]Plate Infor'!$B:$D,3,FALSE)*D319</f>
        <v>1323</v>
      </c>
      <c r="P319" s="4">
        <f>IFERROR(VLOOKUP(IF(MID(M319,3,1)="F","W-UNPL-"&amp;RIGHT(M319,20),M319),'[1]Data Pule'!$C:$E,3,FALSE),0)*O319</f>
        <v>170.00549999999996</v>
      </c>
      <c r="Q319" s="1" t="str">
        <f>VLOOKUP(L319,'[1]Plate Infor'!$B:$E,4,FALSE)</f>
        <v>W-FOPL-CG87NXX-T3L0-02-7S00</v>
      </c>
      <c r="R319" s="1" t="str">
        <f>VLOOKUP(MID(Q319,8,4),'[1]Tipe Plate'!$C:$D,2,FALSE)</f>
        <v>Grid Casting</v>
      </c>
      <c r="S319" s="4">
        <f>VLOOKUP(L319,'[1]Plate Infor'!$B:$F,5,FALSE)*D319</f>
        <v>1323</v>
      </c>
      <c r="T319" s="4">
        <f>IFERROR(VLOOKUP(IF(MID(Q319,3,1)="F","W-UNPL-"&amp;RIGHT(Q319,20),Q319),'[1]Data Pule'!$C:$E,3,FALSE),0)*S319</f>
        <v>152.14500000000001</v>
      </c>
    </row>
    <row r="320" spans="3:20" x14ac:dyDescent="0.35">
      <c r="C320" s="1" t="s">
        <v>283</v>
      </c>
      <c r="D320">
        <v>63</v>
      </c>
      <c r="E320" s="3" t="str">
        <f>MID(C320,5,1)</f>
        <v>D</v>
      </c>
      <c r="F320" s="3"/>
      <c r="G320" s="3"/>
      <c r="H320" s="3"/>
      <c r="I320" s="3"/>
      <c r="J320" s="3"/>
      <c r="K320" s="3"/>
      <c r="L320" s="1" t="str">
        <f>MID(C320,3,17)</f>
        <v>ACDP-75D31LX-B4C3</v>
      </c>
      <c r="M320" s="1" t="str">
        <f>VLOOKUP(L320,'[1]Plate Infor'!$B:$C,2,FALSE)</f>
        <v>W-FOPL-CG82PXX-L870-02-7S00</v>
      </c>
      <c r="N320" s="1" t="str">
        <f>VLOOKUP(MID(M320,8,4),'[1]Tipe Plate'!$C:$D,2,FALSE)</f>
        <v>Grid Casting</v>
      </c>
      <c r="O320" s="4">
        <f>VLOOKUP(L320,'[1]Plate Infor'!$B:$D,3,FALSE)*D320</f>
        <v>1323</v>
      </c>
      <c r="P320" s="4">
        <f>IFERROR(VLOOKUP(IF(MID(M320,3,1)="F","W-UNPL-"&amp;RIGHT(M320,20),M320),'[1]Data Pule'!$C:$E,3,FALSE),0)*O320</f>
        <v>170.00549999999996</v>
      </c>
      <c r="Q320" s="1" t="str">
        <f>VLOOKUP(L320,'[1]Plate Infor'!$B:$E,4,FALSE)</f>
        <v>W-FOPL-CG87NXX-T3L0-02-7S00</v>
      </c>
      <c r="R320" s="1" t="str">
        <f>VLOOKUP(MID(Q320,8,4),'[1]Tipe Plate'!$C:$D,2,FALSE)</f>
        <v>Grid Casting</v>
      </c>
      <c r="S320" s="4">
        <f>VLOOKUP(L320,'[1]Plate Infor'!$B:$F,5,FALSE)*D320</f>
        <v>1323</v>
      </c>
      <c r="T320" s="4">
        <f>IFERROR(VLOOKUP(IF(MID(Q320,3,1)="F","W-UNPL-"&amp;RIGHT(Q320,20),Q320),'[1]Data Pule'!$C:$E,3,FALSE),0)*S320</f>
        <v>152.14500000000001</v>
      </c>
    </row>
    <row r="321" spans="3:20" x14ac:dyDescent="0.35">
      <c r="C321" s="1" t="s">
        <v>284</v>
      </c>
      <c r="D321">
        <v>60</v>
      </c>
      <c r="E321" s="3" t="str">
        <f>MID(C321,5,1)</f>
        <v>D</v>
      </c>
      <c r="F321" s="3"/>
      <c r="G321" s="3"/>
      <c r="H321" s="3"/>
      <c r="I321" s="3"/>
      <c r="J321" s="3"/>
      <c r="K321" s="3"/>
      <c r="L321" s="1" t="str">
        <f>MID(C321,3,17)</f>
        <v>ACDP-145G51X-C7C3</v>
      </c>
      <c r="M321" s="1" t="str">
        <f>VLOOKUP(L321,'[1]Plate Infor'!$B:$C,2,FALSE)</f>
        <v>W-FOPL-CG82PXX-L870-02-7S00</v>
      </c>
      <c r="N321" s="1" t="str">
        <f>VLOOKUP(MID(M321,8,4),'[1]Tipe Plate'!$C:$D,2,FALSE)</f>
        <v>Grid Casting</v>
      </c>
      <c r="O321" s="4">
        <f>VLOOKUP(L321,'[1]Plate Infor'!$B:$D,3,FALSE)*D321</f>
        <v>2340</v>
      </c>
      <c r="P321" s="4">
        <f>IFERROR(VLOOKUP(IF(MID(M321,3,1)="F","W-UNPL-"&amp;RIGHT(M321,20),M321),'[1]Data Pule'!$C:$E,3,FALSE),0)*O321</f>
        <v>300.68999999999994</v>
      </c>
      <c r="Q321" s="1" t="str">
        <f>VLOOKUP(L321,'[1]Plate Infor'!$B:$E,4,FALSE)</f>
        <v>W-FOPL-CG87NXX-T3L0-02-7S00</v>
      </c>
      <c r="R321" s="1" t="str">
        <f>VLOOKUP(MID(Q321,8,4),'[1]Tipe Plate'!$C:$D,2,FALSE)</f>
        <v>Grid Casting</v>
      </c>
      <c r="S321" s="4">
        <f>VLOOKUP(L321,'[1]Plate Infor'!$B:$F,5,FALSE)*D321</f>
        <v>2520</v>
      </c>
      <c r="T321" s="4">
        <f>IFERROR(VLOOKUP(IF(MID(Q321,3,1)="F","W-UNPL-"&amp;RIGHT(Q321,20),Q321),'[1]Data Pule'!$C:$E,3,FALSE),0)*S321</f>
        <v>289.8</v>
      </c>
    </row>
    <row r="322" spans="3:20" x14ac:dyDescent="0.35">
      <c r="C322" s="1" t="s">
        <v>285</v>
      </c>
      <c r="D322">
        <v>126</v>
      </c>
      <c r="E322" s="3" t="str">
        <f>MID(C322,5,1)</f>
        <v>W</v>
      </c>
      <c r="F322" s="3"/>
      <c r="G322" s="3"/>
      <c r="H322" s="3"/>
      <c r="I322" s="3"/>
      <c r="J322" s="3"/>
      <c r="K322" s="3"/>
      <c r="L322" s="1" t="str">
        <f>MID(C322,3,17)</f>
        <v>AMWP-80D31RX-B2P3</v>
      </c>
      <c r="M322" s="1" t="str">
        <f>VLOOKUP(L322,'[1]Plate Infor'!$B:$C,2,FALSE)</f>
        <v>W-UNPL-WG83PXX-L65F-00-7C00</v>
      </c>
      <c r="N322" s="1" t="str">
        <f>VLOOKUP(MID(M322,8,4),'[1]Tipe Plate'!$C:$D,2,FALSE)</f>
        <v>Grid Punching</v>
      </c>
      <c r="O322" s="4">
        <f>VLOOKUP(L322,'[1]Plate Infor'!$B:$D,3,FALSE)*D322</f>
        <v>2268</v>
      </c>
      <c r="P322" s="4">
        <f>IFERROR(VLOOKUP(IF(MID(M322,3,1)="F","W-UNPL-"&amp;RIGHT(M322,20),M322),'[1]Data Pule'!$C:$E,3,FALSE),0)*O322</f>
        <v>383.97239999999994</v>
      </c>
      <c r="Q322" s="1" t="str">
        <f>VLOOKUP(L322,'[1]Plate Infor'!$B:$E,4,FALSE)</f>
        <v>W-UNPL-WG87NXX-T3AF-00-7C00</v>
      </c>
      <c r="R322" s="1" t="str">
        <f>VLOOKUP(MID(Q322,8,4),'[1]Tipe Plate'!$C:$D,2,FALSE)</f>
        <v>Grid Punching</v>
      </c>
      <c r="S322" s="4">
        <f>VLOOKUP(L322,'[1]Plate Infor'!$B:$F,5,FALSE)*D322</f>
        <v>2268</v>
      </c>
      <c r="T322" s="4">
        <f>IFERROR(VLOOKUP(IF(MID(Q322,3,1)="F","W-UNPL-"&amp;RIGHT(Q322,20),Q322),'[1]Data Pule'!$C:$E,3,FALSE),0)*S322</f>
        <v>296.42759999999998</v>
      </c>
    </row>
    <row r="323" spans="3:20" x14ac:dyDescent="0.35">
      <c r="C323" s="1" t="s">
        <v>286</v>
      </c>
      <c r="D323">
        <v>62</v>
      </c>
      <c r="E323" s="3" t="str">
        <f>MID(C323,5,1)</f>
        <v>W</v>
      </c>
      <c r="F323" s="3"/>
      <c r="G323" s="3"/>
      <c r="H323" s="3"/>
      <c r="I323" s="3"/>
      <c r="J323" s="3"/>
      <c r="K323" s="3"/>
      <c r="L323" s="1" t="str">
        <f>MID(C323,3,17)</f>
        <v>AMWP-80D31LX-B2P3</v>
      </c>
      <c r="M323" s="1" t="str">
        <f>VLOOKUP(L323,'[1]Plate Infor'!$B:$C,2,FALSE)</f>
        <v>W-UNPL-WG83PXX-L65F-00-7C00</v>
      </c>
      <c r="N323" s="1" t="str">
        <f>VLOOKUP(MID(M323,8,4),'[1]Tipe Plate'!$C:$D,2,FALSE)</f>
        <v>Grid Punching</v>
      </c>
      <c r="O323" s="4">
        <f>VLOOKUP(L323,'[1]Plate Infor'!$B:$D,3,FALSE)*D323</f>
        <v>1116</v>
      </c>
      <c r="P323" s="4">
        <f>IFERROR(VLOOKUP(IF(MID(M323,3,1)="F","W-UNPL-"&amp;RIGHT(M323,20),M323),'[1]Data Pule'!$C:$E,3,FALSE),0)*O323</f>
        <v>188.93879999999999</v>
      </c>
      <c r="Q323" s="1" t="str">
        <f>VLOOKUP(L323,'[1]Plate Infor'!$B:$E,4,FALSE)</f>
        <v>W-UNPL-WG87NXX-T3AF-00-7C00</v>
      </c>
      <c r="R323" s="1" t="str">
        <f>VLOOKUP(MID(Q323,8,4),'[1]Tipe Plate'!$C:$D,2,FALSE)</f>
        <v>Grid Punching</v>
      </c>
      <c r="S323" s="4">
        <f>VLOOKUP(L323,'[1]Plate Infor'!$B:$F,5,FALSE)*D323</f>
        <v>1116</v>
      </c>
      <c r="T323" s="4">
        <f>IFERROR(VLOOKUP(IF(MID(Q323,3,1)="F","W-UNPL-"&amp;RIGHT(Q323,20),Q323),'[1]Data Pule'!$C:$E,3,FALSE),0)*S323</f>
        <v>145.86119999999997</v>
      </c>
    </row>
    <row r="324" spans="3:20" x14ac:dyDescent="0.35">
      <c r="C324" s="1" t="s">
        <v>287</v>
      </c>
      <c r="D324">
        <v>72</v>
      </c>
      <c r="E324" s="3" t="str">
        <f>MID(C324,5,1)</f>
        <v>W</v>
      </c>
      <c r="F324" s="3"/>
      <c r="G324" s="3"/>
      <c r="H324" s="3"/>
      <c r="I324" s="3"/>
      <c r="J324" s="3"/>
      <c r="K324" s="3"/>
      <c r="L324" s="1" t="str">
        <f>MID(C324,3,17)</f>
        <v>AMWP-55D26LX-A8P3</v>
      </c>
      <c r="M324" s="1" t="str">
        <f>VLOOKUP(L324,'[1]Plate Infor'!$B:$C,2,FALSE)</f>
        <v>W-UNPL-WG83PXX-L65F-00-7C00</v>
      </c>
      <c r="N324" s="1" t="str">
        <f>VLOOKUP(MID(M324,8,4),'[1]Tipe Plate'!$C:$D,2,FALSE)</f>
        <v>Grid Punching</v>
      </c>
      <c r="O324" s="4">
        <f>VLOOKUP(L324,'[1]Plate Infor'!$B:$D,3,FALSE)*D324</f>
        <v>864</v>
      </c>
      <c r="P324" s="4">
        <f>IFERROR(VLOOKUP(IF(MID(M324,3,1)="F","W-UNPL-"&amp;RIGHT(M324,20),M324),'[1]Data Pule'!$C:$E,3,FALSE),0)*O324</f>
        <v>146.27519999999998</v>
      </c>
      <c r="Q324" s="1" t="str">
        <f>VLOOKUP(L324,'[1]Plate Infor'!$B:$E,4,FALSE)</f>
        <v>W-UNPL-WG87NXX-T3AF-00-7C00</v>
      </c>
      <c r="R324" s="1" t="str">
        <f>VLOOKUP(MID(Q324,8,4),'[1]Tipe Plate'!$C:$D,2,FALSE)</f>
        <v>Grid Punching</v>
      </c>
      <c r="S324" s="4">
        <f>VLOOKUP(L324,'[1]Plate Infor'!$B:$F,5,FALSE)*D324</f>
        <v>864</v>
      </c>
      <c r="T324" s="4">
        <f>IFERROR(VLOOKUP(IF(MID(Q324,3,1)="F","W-UNPL-"&amp;RIGHT(Q324,20),Q324),'[1]Data Pule'!$C:$E,3,FALSE),0)*S324</f>
        <v>112.92479999999999</v>
      </c>
    </row>
    <row r="325" spans="3:20" x14ac:dyDescent="0.35">
      <c r="C325" s="1" t="s">
        <v>288</v>
      </c>
      <c r="D325">
        <v>144</v>
      </c>
      <c r="E325" s="3" t="str">
        <f>MID(C325,5,1)</f>
        <v>U</v>
      </c>
      <c r="F325" s="3"/>
      <c r="G325" s="3"/>
      <c r="H325" s="3"/>
      <c r="I325" s="3"/>
      <c r="J325" s="3"/>
      <c r="K325" s="3"/>
      <c r="L325" s="1" t="str">
        <f>MID(C325,3,17)</f>
        <v>ACUP-46B24RS-A9C5</v>
      </c>
      <c r="M325" s="1" t="str">
        <f>VLOOKUP(L325,'[1]Plate Infor'!$B:$C,2,FALSE)</f>
        <v>W-UNPL-CM84APX-L870-02-7S00</v>
      </c>
      <c r="N325" s="1" t="str">
        <f>VLOOKUP(MID(M325,8,4),'[1]Tipe Plate'!$C:$D,2,FALSE)</f>
        <v>Grid Casting</v>
      </c>
      <c r="O325" s="4">
        <f>VLOOKUP(L325,'[1]Plate Infor'!$B:$D,3,FALSE)*D325</f>
        <v>1728</v>
      </c>
      <c r="P325" s="4">
        <f>IFERROR(VLOOKUP(IF(MID(M325,3,1)="F","W-UNPL-"&amp;RIGHT(M325,20),M325),'[1]Data Pule'!$C:$E,3,FALSE),0)*O325</f>
        <v>155.0016</v>
      </c>
      <c r="Q325" s="1" t="str">
        <f>VLOOKUP(L325,'[1]Plate Infor'!$B:$E,4,FALSE)</f>
        <v>W-UNPL-CM8786N-T3L0-02-7S00</v>
      </c>
      <c r="R325" s="1" t="str">
        <f>VLOOKUP(MID(Q325,8,4),'[1]Tipe Plate'!$C:$D,2,FALSE)</f>
        <v>Grid Casting</v>
      </c>
      <c r="S325" s="4">
        <f>VLOOKUP(L325,'[1]Plate Infor'!$B:$F,5,FALSE)*D325</f>
        <v>2160</v>
      </c>
      <c r="T325" s="4">
        <f>IFERROR(VLOOKUP(IF(MID(Q325,3,1)="F","W-UNPL-"&amp;RIGHT(Q325,20),Q325),'[1]Data Pule'!$C:$E,3,FALSE),0)*S325</f>
        <v>203.68800000000002</v>
      </c>
    </row>
    <row r="326" spans="3:20" x14ac:dyDescent="0.35">
      <c r="C326" s="1" t="s">
        <v>289</v>
      </c>
      <c r="D326">
        <v>144</v>
      </c>
      <c r="E326" s="3" t="str">
        <f>MID(C326,5,1)</f>
        <v>U</v>
      </c>
      <c r="F326" s="3"/>
      <c r="G326" s="3"/>
      <c r="H326" s="3"/>
      <c r="I326" s="3"/>
      <c r="J326" s="3"/>
      <c r="K326" s="3"/>
      <c r="L326" s="1" t="str">
        <f>MID(C326,3,17)</f>
        <v>ACUP-46B24LX-B1C4</v>
      </c>
      <c r="M326" s="1" t="str">
        <f>VLOOKUP(L326,'[1]Plate Infor'!$B:$C,2,FALSE)</f>
        <v>W-UNPL-CM84APX-L870-02-7S00</v>
      </c>
      <c r="N326" s="1" t="str">
        <f>VLOOKUP(MID(M326,8,4),'[1]Tipe Plate'!$C:$D,2,FALSE)</f>
        <v>Grid Casting</v>
      </c>
      <c r="O326" s="4">
        <f>VLOOKUP(L326,'[1]Plate Infor'!$B:$D,3,FALSE)*D326</f>
        <v>2160</v>
      </c>
      <c r="P326" s="4">
        <f>IFERROR(VLOOKUP(IF(MID(M326,3,1)="F","W-UNPL-"&amp;RIGHT(M326,20),M326),'[1]Data Pule'!$C:$E,3,FALSE),0)*O326</f>
        <v>193.75200000000001</v>
      </c>
      <c r="Q326" s="1" t="str">
        <f>VLOOKUP(L326,'[1]Plate Infor'!$B:$E,4,FALSE)</f>
        <v>W-UNPL-CM8786N-T3L0-02-7S00</v>
      </c>
      <c r="R326" s="1" t="str">
        <f>VLOOKUP(MID(Q326,8,4),'[1]Tipe Plate'!$C:$D,2,FALSE)</f>
        <v>Grid Casting</v>
      </c>
      <c r="S326" s="4">
        <f>VLOOKUP(L326,'[1]Plate Infor'!$B:$F,5,FALSE)*D326</f>
        <v>2592</v>
      </c>
      <c r="T326" s="4">
        <f>IFERROR(VLOOKUP(IF(MID(Q326,3,1)="F","W-UNPL-"&amp;RIGHT(Q326,20),Q326),'[1]Data Pule'!$C:$E,3,FALSE),0)*S326</f>
        <v>244.42560000000003</v>
      </c>
    </row>
    <row r="327" spans="3:20" x14ac:dyDescent="0.35">
      <c r="C327" s="1" t="s">
        <v>290</v>
      </c>
      <c r="D327">
        <v>192</v>
      </c>
      <c r="E327" s="3" t="str">
        <f>MID(C327,5,1)</f>
        <v>U</v>
      </c>
      <c r="F327" s="3"/>
      <c r="G327" s="3"/>
      <c r="H327" s="3"/>
      <c r="I327" s="3"/>
      <c r="J327" s="3"/>
      <c r="K327" s="3"/>
      <c r="L327" s="1" t="str">
        <f>MID(C327,3,17)</f>
        <v>ACUP-65D26RX-A9C5</v>
      </c>
      <c r="M327" s="1" t="str">
        <f>VLOOKUP(L327,'[1]Plate Infor'!$B:$C,2,FALSE)</f>
        <v>W-UNPL-CG80PXX-L870-02-7S00</v>
      </c>
      <c r="N327" s="1" t="str">
        <f>VLOOKUP(MID(M327,8,4),'[1]Tipe Plate'!$C:$D,2,FALSE)</f>
        <v>Grid Casting</v>
      </c>
      <c r="O327" s="4">
        <f>VLOOKUP(L327,'[1]Plate Infor'!$B:$D,3,FALSE)*D327</f>
        <v>2304</v>
      </c>
      <c r="P327" s="4">
        <f>IFERROR(VLOOKUP(IF(MID(M327,3,1)="F","W-UNPL-"&amp;RIGHT(M327,20),M327),'[1]Data Pule'!$C:$E,3,FALSE),0)*O327</f>
        <v>348.13439999999997</v>
      </c>
      <c r="Q327" s="1" t="str">
        <f>VLOOKUP(L327,'[1]Plate Infor'!$B:$E,4,FALSE)</f>
        <v>W-UNPL-CG87NXX-T3L0-02-7S00</v>
      </c>
      <c r="R327" s="1" t="str">
        <f>VLOOKUP(MID(Q327,8,4),'[1]Tipe Plate'!$C:$D,2,FALSE)</f>
        <v>Grid Casting</v>
      </c>
      <c r="S327" s="4">
        <f>VLOOKUP(L327,'[1]Plate Infor'!$B:$F,5,FALSE)*D327</f>
        <v>2880</v>
      </c>
      <c r="T327" s="4">
        <f>IFERROR(VLOOKUP(IF(MID(Q327,3,1)="F","W-UNPL-"&amp;RIGHT(Q327,20),Q327),'[1]Data Pule'!$C:$E,3,FALSE),0)*S327</f>
        <v>331.2</v>
      </c>
    </row>
    <row r="328" spans="3:20" x14ac:dyDescent="0.35">
      <c r="C328" s="1" t="s">
        <v>291</v>
      </c>
      <c r="D328">
        <v>96</v>
      </c>
      <c r="E328" s="3" t="str">
        <f>MID(C328,5,1)</f>
        <v>U</v>
      </c>
      <c r="F328" s="3"/>
      <c r="G328" s="3"/>
      <c r="H328" s="3"/>
      <c r="I328" s="3"/>
      <c r="J328" s="3"/>
      <c r="K328" s="3"/>
      <c r="L328" s="1" t="str">
        <f>MID(C328,3,17)</f>
        <v>ACUP-65D26LX-A9C5</v>
      </c>
      <c r="M328" s="1" t="str">
        <f>VLOOKUP(L328,'[1]Plate Infor'!$B:$C,2,FALSE)</f>
        <v>W-UNPL-CG80PXX-L870-02-7S00</v>
      </c>
      <c r="N328" s="1" t="str">
        <f>VLOOKUP(MID(M328,8,4),'[1]Tipe Plate'!$C:$D,2,FALSE)</f>
        <v>Grid Casting</v>
      </c>
      <c r="O328" s="4">
        <f>VLOOKUP(L328,'[1]Plate Infor'!$B:$D,3,FALSE)*D328</f>
        <v>1152</v>
      </c>
      <c r="P328" s="4">
        <f>IFERROR(VLOOKUP(IF(MID(M328,3,1)="F","W-UNPL-"&amp;RIGHT(M328,20),M328),'[1]Data Pule'!$C:$E,3,FALSE),0)*O328</f>
        <v>174.06719999999999</v>
      </c>
      <c r="Q328" s="1" t="str">
        <f>VLOOKUP(L328,'[1]Plate Infor'!$B:$E,4,FALSE)</f>
        <v>W-UNPL-CG87NXX-T3L0-02-7S00</v>
      </c>
      <c r="R328" s="1" t="str">
        <f>VLOOKUP(MID(Q328,8,4),'[1]Tipe Plate'!$C:$D,2,FALSE)</f>
        <v>Grid Casting</v>
      </c>
      <c r="S328" s="4">
        <f>VLOOKUP(L328,'[1]Plate Infor'!$B:$F,5,FALSE)*D328</f>
        <v>1440</v>
      </c>
      <c r="T328" s="4">
        <f>IFERROR(VLOOKUP(IF(MID(Q328,3,1)="F","W-UNPL-"&amp;RIGHT(Q328,20),Q328),'[1]Data Pule'!$C:$E,3,FALSE),0)*S328</f>
        <v>165.6</v>
      </c>
    </row>
    <row r="329" spans="3:20" x14ac:dyDescent="0.35">
      <c r="C329" s="1" t="s">
        <v>292</v>
      </c>
      <c r="D329">
        <v>96</v>
      </c>
      <c r="E329" s="3" t="str">
        <f>MID(C329,5,1)</f>
        <v>U</v>
      </c>
      <c r="F329" s="3"/>
      <c r="G329" s="3"/>
      <c r="H329" s="3"/>
      <c r="I329" s="3"/>
      <c r="J329" s="3"/>
      <c r="K329" s="3"/>
      <c r="L329" s="1" t="str">
        <f>MID(C329,3,17)</f>
        <v>ACUP-65D26RX-B1C4</v>
      </c>
      <c r="M329" s="1" t="str">
        <f>VLOOKUP(L329,'[1]Plate Infor'!$B:$C,2,FALSE)</f>
        <v>W-UNPL-CG82PXX-L870-02-7S00</v>
      </c>
      <c r="N329" s="1" t="str">
        <f>VLOOKUP(MID(M329,8,4),'[1]Tipe Plate'!$C:$D,2,FALSE)</f>
        <v>Grid Casting</v>
      </c>
      <c r="O329" s="4">
        <f>VLOOKUP(L329,'[1]Plate Infor'!$B:$D,3,FALSE)*D329</f>
        <v>1440</v>
      </c>
      <c r="P329" s="4">
        <f>IFERROR(VLOOKUP(IF(MID(M329,3,1)="F","W-UNPL-"&amp;RIGHT(M329,20),M329),'[1]Data Pule'!$C:$E,3,FALSE),0)*O329</f>
        <v>185.03999999999996</v>
      </c>
      <c r="Q329" s="1" t="str">
        <f>VLOOKUP(L329,'[1]Plate Infor'!$B:$E,4,FALSE)</f>
        <v>W-UNPL-CG87NXX-T3L0-02-7S00</v>
      </c>
      <c r="R329" s="1" t="str">
        <f>VLOOKUP(MID(Q329,8,4),'[1]Tipe Plate'!$C:$D,2,FALSE)</f>
        <v>Grid Casting</v>
      </c>
      <c r="S329" s="4">
        <f>VLOOKUP(L329,'[1]Plate Infor'!$B:$F,5,FALSE)*D329</f>
        <v>1728</v>
      </c>
      <c r="T329" s="4">
        <f>IFERROR(VLOOKUP(IF(MID(Q329,3,1)="F","W-UNPL-"&amp;RIGHT(Q329,20),Q329),'[1]Data Pule'!$C:$E,3,FALSE),0)*S329</f>
        <v>198.72</v>
      </c>
    </row>
    <row r="330" spans="3:20" x14ac:dyDescent="0.35">
      <c r="C330" s="1" t="s">
        <v>293</v>
      </c>
      <c r="D330">
        <v>168</v>
      </c>
      <c r="E330" s="3" t="str">
        <f>MID(C330,5,1)</f>
        <v>U</v>
      </c>
      <c r="F330" s="3"/>
      <c r="G330" s="3"/>
      <c r="H330" s="3"/>
      <c r="I330" s="3"/>
      <c r="J330" s="3"/>
      <c r="K330" s="3"/>
      <c r="L330" s="1" t="str">
        <f>MID(C330,3,17)</f>
        <v>ACUP-95D31RX-B3C5</v>
      </c>
      <c r="M330" s="1" t="str">
        <f>VLOOKUP(L330,'[1]Plate Infor'!$B:$C,2,FALSE)</f>
        <v>W-UNPL-CG82PXX-L870-02-7S00</v>
      </c>
      <c r="N330" s="1" t="str">
        <f>VLOOKUP(MID(M330,8,4),'[1]Tipe Plate'!$C:$D,2,FALSE)</f>
        <v>Grid Casting</v>
      </c>
      <c r="O330" s="4">
        <f>VLOOKUP(L330,'[1]Plate Infor'!$B:$D,3,FALSE)*D330</f>
        <v>3024</v>
      </c>
      <c r="P330" s="4">
        <f>IFERROR(VLOOKUP(IF(MID(M330,3,1)="F","W-UNPL-"&amp;RIGHT(M330,20),M330),'[1]Data Pule'!$C:$E,3,FALSE),0)*O330</f>
        <v>388.58399999999995</v>
      </c>
      <c r="Q330" s="1" t="str">
        <f>VLOOKUP(L330,'[1]Plate Infor'!$B:$E,4,FALSE)</f>
        <v>W-UNPL-CG87NXX-T3L0-02-7S00</v>
      </c>
      <c r="R330" s="1" t="str">
        <f>VLOOKUP(MID(Q330,8,4),'[1]Tipe Plate'!$C:$D,2,FALSE)</f>
        <v>Grid Casting</v>
      </c>
      <c r="S330" s="4">
        <f>VLOOKUP(L330,'[1]Plate Infor'!$B:$F,5,FALSE)*D330</f>
        <v>3528</v>
      </c>
      <c r="T330" s="4">
        <f>IFERROR(VLOOKUP(IF(MID(Q330,3,1)="F","W-UNPL-"&amp;RIGHT(Q330,20),Q330),'[1]Data Pule'!$C:$E,3,FALSE),0)*S330</f>
        <v>405.72</v>
      </c>
    </row>
    <row r="331" spans="3:20" x14ac:dyDescent="0.35">
      <c r="C331" s="1" t="s">
        <v>294</v>
      </c>
      <c r="D331">
        <v>84</v>
      </c>
      <c r="E331" s="3" t="str">
        <f>MID(C331,5,1)</f>
        <v>U</v>
      </c>
      <c r="F331" s="3"/>
      <c r="G331" s="3"/>
      <c r="H331" s="3"/>
      <c r="I331" s="3"/>
      <c r="J331" s="3"/>
      <c r="K331" s="3"/>
      <c r="L331" s="1" t="str">
        <f>MID(C331,3,17)</f>
        <v>ACUP-75D31LX-B5C3</v>
      </c>
      <c r="M331" s="1" t="str">
        <f>VLOOKUP(L331,'[1]Plate Infor'!$B:$C,2,FALSE)</f>
        <v>W-UNPL-CG82PXX-L870-02-7S00</v>
      </c>
      <c r="N331" s="1" t="str">
        <f>VLOOKUP(MID(M331,8,4),'[1]Tipe Plate'!$C:$D,2,FALSE)</f>
        <v>Grid Casting</v>
      </c>
      <c r="O331" s="4">
        <f>VLOOKUP(L331,'[1]Plate Infor'!$B:$D,3,FALSE)*D331</f>
        <v>1764</v>
      </c>
      <c r="P331" s="4">
        <f>IFERROR(VLOOKUP(IF(MID(M331,3,1)="F","W-UNPL-"&amp;RIGHT(M331,20),M331),'[1]Data Pule'!$C:$E,3,FALSE),0)*O331</f>
        <v>226.67399999999995</v>
      </c>
      <c r="Q331" s="1" t="str">
        <f>VLOOKUP(L331,'[1]Plate Infor'!$B:$E,4,FALSE)</f>
        <v>W-UNPL-CG87NXX-T3L0-02-7S00</v>
      </c>
      <c r="R331" s="1" t="str">
        <f>VLOOKUP(MID(Q331,8,4),'[1]Tipe Plate'!$C:$D,2,FALSE)</f>
        <v>Grid Casting</v>
      </c>
      <c r="S331" s="4">
        <f>VLOOKUP(L331,'[1]Plate Infor'!$B:$F,5,FALSE)*D331</f>
        <v>2016</v>
      </c>
      <c r="T331" s="4">
        <f>IFERROR(VLOOKUP(IF(MID(Q331,3,1)="F","W-UNPL-"&amp;RIGHT(Q331,20),Q331),'[1]Data Pule'!$C:$E,3,FALSE),0)*S331</f>
        <v>231.84</v>
      </c>
    </row>
    <row r="332" spans="3:20" x14ac:dyDescent="0.35">
      <c r="C332" s="1" t="s">
        <v>295</v>
      </c>
      <c r="D332">
        <v>64</v>
      </c>
      <c r="E332" s="3" t="str">
        <f>MID(C332,5,1)</f>
        <v>U</v>
      </c>
      <c r="F332" s="3"/>
      <c r="G332" s="3"/>
      <c r="H332" s="3"/>
      <c r="I332" s="3"/>
      <c r="J332" s="3"/>
      <c r="K332" s="3"/>
      <c r="L332" s="1" t="str">
        <f>MID(C332,3,17)</f>
        <v>ACUP-95E41RX-B5C4</v>
      </c>
      <c r="M332" s="1" t="str">
        <f>VLOOKUP(L332,'[1]Plate Infor'!$B:$C,2,FALSE)</f>
        <v>W-UNPL-CG80PXX-L870-02-7S00</v>
      </c>
      <c r="N332" s="1" t="str">
        <f>VLOOKUP(MID(M332,8,4),'[1]Tipe Plate'!$C:$D,2,FALSE)</f>
        <v>Grid Casting</v>
      </c>
      <c r="O332" s="4">
        <f>VLOOKUP(L332,'[1]Plate Infor'!$B:$D,3,FALSE)*D332</f>
        <v>1344</v>
      </c>
      <c r="P332" s="4">
        <f>IFERROR(VLOOKUP(IF(MID(M332,3,1)="F","W-UNPL-"&amp;RIGHT(M332,20),M332),'[1]Data Pule'!$C:$E,3,FALSE),0)*O332</f>
        <v>203.07839999999999</v>
      </c>
      <c r="Q332" s="1" t="str">
        <f>VLOOKUP(L332,'[1]Plate Infor'!$B:$E,4,FALSE)</f>
        <v>W-UNPL-CG87NXX-T3L0-02-7S00</v>
      </c>
      <c r="R332" s="1" t="str">
        <f>VLOOKUP(MID(Q332,8,4),'[1]Tipe Plate'!$C:$D,2,FALSE)</f>
        <v>Grid Casting</v>
      </c>
      <c r="S332" s="4">
        <f>VLOOKUP(L332,'[1]Plate Infor'!$B:$F,5,FALSE)*D332</f>
        <v>1536</v>
      </c>
      <c r="T332" s="4">
        <f>IFERROR(VLOOKUP(IF(MID(Q332,3,1)="F","W-UNPL-"&amp;RIGHT(Q332,20),Q332),'[1]Data Pule'!$C:$E,3,FALSE),0)*S332</f>
        <v>176.64000000000001</v>
      </c>
    </row>
    <row r="333" spans="3:20" x14ac:dyDescent="0.35">
      <c r="C333" s="1" t="s">
        <v>296</v>
      </c>
      <c r="D333">
        <v>64</v>
      </c>
      <c r="E333" s="3" t="str">
        <f>MID(C333,5,1)</f>
        <v>U</v>
      </c>
      <c r="F333" s="3"/>
      <c r="G333" s="3"/>
      <c r="H333" s="3"/>
      <c r="I333" s="3"/>
      <c r="J333" s="3"/>
      <c r="K333" s="3"/>
      <c r="L333" s="1" t="str">
        <f>MID(C333,3,17)</f>
        <v>ACUP-95E41RX-B7C3</v>
      </c>
      <c r="M333" s="1" t="str">
        <f>VLOOKUP(L333,'[1]Plate Infor'!$B:$C,2,FALSE)</f>
        <v>W-UNPL-CG80PXX-L870-02-7S00</v>
      </c>
      <c r="N333" s="1" t="str">
        <f>VLOOKUP(MID(M333,8,4),'[1]Tipe Plate'!$C:$D,2,FALSE)</f>
        <v>Grid Casting</v>
      </c>
      <c r="O333" s="4">
        <f>VLOOKUP(L333,'[1]Plate Infor'!$B:$D,3,FALSE)*D333</f>
        <v>1536</v>
      </c>
      <c r="P333" s="4">
        <f>IFERROR(VLOOKUP(IF(MID(M333,3,1)="F","W-UNPL-"&amp;RIGHT(M333,20),M333),'[1]Data Pule'!$C:$E,3,FALSE),0)*O333</f>
        <v>232.08959999999996</v>
      </c>
      <c r="Q333" s="1" t="str">
        <f>VLOOKUP(L333,'[1]Plate Infor'!$B:$E,4,FALSE)</f>
        <v>W-UNPL-CG87NXX-T3L0-02-7S00</v>
      </c>
      <c r="R333" s="1" t="str">
        <f>VLOOKUP(MID(Q333,8,4),'[1]Tipe Plate'!$C:$D,2,FALSE)</f>
        <v>Grid Casting</v>
      </c>
      <c r="S333" s="4">
        <f>VLOOKUP(L333,'[1]Plate Infor'!$B:$F,5,FALSE)*D333</f>
        <v>1728</v>
      </c>
      <c r="T333" s="4">
        <f>IFERROR(VLOOKUP(IF(MID(Q333,3,1)="F","W-UNPL-"&amp;RIGHT(Q333,20),Q333),'[1]Data Pule'!$C:$E,3,FALSE),0)*S333</f>
        <v>198.72</v>
      </c>
    </row>
    <row r="334" spans="3:20" x14ac:dyDescent="0.35">
      <c r="C334" s="1" t="s">
        <v>297</v>
      </c>
      <c r="D334">
        <v>72</v>
      </c>
      <c r="E334" s="3" t="str">
        <f>MID(C334,5,1)</f>
        <v>U</v>
      </c>
      <c r="F334" s="3"/>
      <c r="G334" s="3"/>
      <c r="H334" s="3"/>
      <c r="I334" s="3"/>
      <c r="J334" s="3"/>
      <c r="K334" s="3"/>
      <c r="L334" s="1" t="str">
        <f>MID(C334,3,17)</f>
        <v>ACUP-115F51X-B9C4</v>
      </c>
      <c r="M334" s="1" t="str">
        <f>VLOOKUP(L334,'[1]Plate Infor'!$B:$C,2,FALSE)</f>
        <v>W-UNPL-CG82PXX-L870-02-7S00</v>
      </c>
      <c r="N334" s="1" t="str">
        <f>VLOOKUP(MID(M334,8,4),'[1]Tipe Plate'!$C:$D,2,FALSE)</f>
        <v>Grid Casting</v>
      </c>
      <c r="O334" s="4">
        <f>VLOOKUP(L334,'[1]Plate Infor'!$B:$D,3,FALSE)*D334</f>
        <v>1944</v>
      </c>
      <c r="P334" s="4">
        <f>IFERROR(VLOOKUP(IF(MID(M334,3,1)="F","W-UNPL-"&amp;RIGHT(M334,20),M334),'[1]Data Pule'!$C:$E,3,FALSE),0)*O334</f>
        <v>249.80399999999995</v>
      </c>
      <c r="Q334" s="1" t="str">
        <f>VLOOKUP(L334,'[1]Plate Infor'!$B:$E,4,FALSE)</f>
        <v>W-UNPL-CG87NXX-T3L0-02-7S00</v>
      </c>
      <c r="R334" s="1" t="str">
        <f>VLOOKUP(MID(Q334,8,4),'[1]Tipe Plate'!$C:$D,2,FALSE)</f>
        <v>Grid Casting</v>
      </c>
      <c r="S334" s="4">
        <f>VLOOKUP(L334,'[1]Plate Infor'!$B:$F,5,FALSE)*D334</f>
        <v>2160</v>
      </c>
      <c r="T334" s="4">
        <f>IFERROR(VLOOKUP(IF(MID(Q334,3,1)="F","W-UNPL-"&amp;RIGHT(Q334,20),Q334),'[1]Data Pule'!$C:$E,3,FALSE),0)*S334</f>
        <v>248.4</v>
      </c>
    </row>
    <row r="335" spans="3:20" x14ac:dyDescent="0.35">
      <c r="C335" s="1" t="s">
        <v>298</v>
      </c>
      <c r="D335">
        <v>36</v>
      </c>
      <c r="E335" s="3" t="str">
        <f>MID(C335,5,1)</f>
        <v>U</v>
      </c>
      <c r="F335" s="3"/>
      <c r="G335" s="3"/>
      <c r="H335" s="3"/>
      <c r="I335" s="3"/>
      <c r="J335" s="3"/>
      <c r="K335" s="3"/>
      <c r="L335" s="1" t="str">
        <f>MID(C335,3,17)</f>
        <v>ACUP-115F51X-C1C3</v>
      </c>
      <c r="M335" s="1" t="str">
        <f>VLOOKUP(L335,'[1]Plate Infor'!$B:$C,2,FALSE)</f>
        <v>W-UNPL-CG80PXX-L870-02-7S00</v>
      </c>
      <c r="N335" s="1" t="str">
        <f>VLOOKUP(MID(M335,8,4),'[1]Tipe Plate'!$C:$D,2,FALSE)</f>
        <v>Grid Casting</v>
      </c>
      <c r="O335" s="4">
        <f>VLOOKUP(L335,'[1]Plate Infor'!$B:$D,3,FALSE)*D335</f>
        <v>1080</v>
      </c>
      <c r="P335" s="4">
        <f>IFERROR(VLOOKUP(IF(MID(M335,3,1)="F","W-UNPL-"&amp;RIGHT(M335,20),M335),'[1]Data Pule'!$C:$E,3,FALSE),0)*O335</f>
        <v>163.18799999999999</v>
      </c>
      <c r="Q335" s="1" t="str">
        <f>VLOOKUP(L335,'[1]Plate Infor'!$B:$E,4,FALSE)</f>
        <v>W-UNPL-CG87NXX-T3L0-02-7S00</v>
      </c>
      <c r="R335" s="1" t="str">
        <f>VLOOKUP(MID(Q335,8,4),'[1]Tipe Plate'!$C:$D,2,FALSE)</f>
        <v>Grid Casting</v>
      </c>
      <c r="S335" s="4">
        <f>VLOOKUP(L335,'[1]Plate Infor'!$B:$F,5,FALSE)*D335</f>
        <v>1188</v>
      </c>
      <c r="T335" s="4">
        <f>IFERROR(VLOOKUP(IF(MID(Q335,3,1)="F","W-UNPL-"&amp;RIGHT(Q335,20),Q335),'[1]Data Pule'!$C:$E,3,FALSE),0)*S335</f>
        <v>136.62</v>
      </c>
    </row>
    <row r="336" spans="3:20" x14ac:dyDescent="0.35">
      <c r="C336" s="1" t="s">
        <v>299</v>
      </c>
      <c r="D336">
        <v>360</v>
      </c>
      <c r="E336" s="3" t="str">
        <f>MID(C336,5,1)</f>
        <v>U</v>
      </c>
      <c r="F336" s="3"/>
      <c r="G336" s="3"/>
      <c r="H336" s="3"/>
      <c r="I336" s="3"/>
      <c r="J336" s="3"/>
      <c r="K336" s="3"/>
      <c r="L336" s="1" t="str">
        <f>MID(C336,3,17)</f>
        <v>ACUP-145G51X-C3C5</v>
      </c>
      <c r="M336" s="1" t="str">
        <f>VLOOKUP(L336,'[1]Plate Infor'!$B:$C,2,FALSE)</f>
        <v>W-UNPL-CG82PXX-L870-02-7S00</v>
      </c>
      <c r="N336" s="1" t="str">
        <f>VLOOKUP(MID(M336,8,4),'[1]Tipe Plate'!$C:$D,2,FALSE)</f>
        <v>Grid Casting</v>
      </c>
      <c r="O336" s="4">
        <f>VLOOKUP(L336,'[1]Plate Infor'!$B:$D,3,FALSE)*D336</f>
        <v>11880</v>
      </c>
      <c r="P336" s="4">
        <f>IFERROR(VLOOKUP(IF(MID(M336,3,1)="F","W-UNPL-"&amp;RIGHT(M336,20),M336),'[1]Data Pule'!$C:$E,3,FALSE),0)*O336</f>
        <v>1526.5799999999997</v>
      </c>
      <c r="Q336" s="1" t="str">
        <f>VLOOKUP(L336,'[1]Plate Infor'!$B:$E,4,FALSE)</f>
        <v>W-UNPL-CG87NXX-T3L0-02-7S00</v>
      </c>
      <c r="R336" s="1" t="str">
        <f>VLOOKUP(MID(Q336,8,4),'[1]Tipe Plate'!$C:$D,2,FALSE)</f>
        <v>Grid Casting</v>
      </c>
      <c r="S336" s="4">
        <f>VLOOKUP(L336,'[1]Plate Infor'!$B:$F,5,FALSE)*D336</f>
        <v>12960</v>
      </c>
      <c r="T336" s="4">
        <f>IFERROR(VLOOKUP(IF(MID(Q336,3,1)="F","W-UNPL-"&amp;RIGHT(Q336,20),Q336),'[1]Data Pule'!$C:$E,3,FALSE),0)*S336</f>
        <v>1490.4</v>
      </c>
    </row>
    <row r="337" spans="3:20" x14ac:dyDescent="0.35">
      <c r="C337" s="1" t="s">
        <v>300</v>
      </c>
      <c r="D337">
        <v>60</v>
      </c>
      <c r="E337" s="3" t="str">
        <f>MID(C337,5,1)</f>
        <v>U</v>
      </c>
      <c r="F337" s="3"/>
      <c r="G337" s="3"/>
      <c r="H337" s="3"/>
      <c r="I337" s="3"/>
      <c r="J337" s="3"/>
      <c r="K337" s="3"/>
      <c r="L337" s="1" t="str">
        <f>MID(C337,3,17)</f>
        <v>ACUP-145G51X-C7C3</v>
      </c>
      <c r="M337" s="1" t="str">
        <f>VLOOKUP(L337,'[1]Plate Infor'!$B:$C,2,FALSE)</f>
        <v>W-UNPL-CG82PXX-L870-02-7S00</v>
      </c>
      <c r="N337" s="1" t="str">
        <f>VLOOKUP(MID(M337,8,4),'[1]Tipe Plate'!$C:$D,2,FALSE)</f>
        <v>Grid Casting</v>
      </c>
      <c r="O337" s="4">
        <f>VLOOKUP(L337,'[1]Plate Infor'!$B:$D,3,FALSE)*D337</f>
        <v>2340</v>
      </c>
      <c r="P337" s="4">
        <f>IFERROR(VLOOKUP(IF(MID(M337,3,1)="F","W-UNPL-"&amp;RIGHT(M337,20),M337),'[1]Data Pule'!$C:$E,3,FALSE),0)*O337</f>
        <v>300.68999999999994</v>
      </c>
      <c r="Q337" s="1" t="str">
        <f>VLOOKUP(L337,'[1]Plate Infor'!$B:$E,4,FALSE)</f>
        <v>W-UNPL-CG87NXX-T3L0-02-7S00</v>
      </c>
      <c r="R337" s="1" t="str">
        <f>VLOOKUP(MID(Q337,8,4),'[1]Tipe Plate'!$C:$D,2,FALSE)</f>
        <v>Grid Casting</v>
      </c>
      <c r="S337" s="4">
        <f>VLOOKUP(L337,'[1]Plate Infor'!$B:$F,5,FALSE)*D337</f>
        <v>2520</v>
      </c>
      <c r="T337" s="4">
        <f>IFERROR(VLOOKUP(IF(MID(Q337,3,1)="F","W-UNPL-"&amp;RIGHT(Q337,20),Q337),'[1]Data Pule'!$C:$E,3,FALSE),0)*S337</f>
        <v>289.8</v>
      </c>
    </row>
    <row r="338" spans="3:20" x14ac:dyDescent="0.35">
      <c r="C338" s="1" t="s">
        <v>301</v>
      </c>
      <c r="D338">
        <v>30</v>
      </c>
      <c r="E338" s="3" t="str">
        <f>MID(C338,5,1)</f>
        <v>U</v>
      </c>
      <c r="F338" s="3"/>
      <c r="G338" s="3"/>
      <c r="H338" s="3"/>
      <c r="I338" s="3"/>
      <c r="J338" s="3"/>
      <c r="K338" s="3"/>
      <c r="L338" s="1" t="str">
        <f>MID(C338,3,17)</f>
        <v>ACUP-65038LX-D1C3</v>
      </c>
      <c r="M338" s="1" t="str">
        <f>VLOOKUP(L338,'[1]Plate Infor'!$B:$C,2,FALSE)</f>
        <v>W-UNPL-CG80PXX-L870-02-7S00</v>
      </c>
      <c r="N338" s="1" t="str">
        <f>VLOOKUP(MID(M338,8,4),'[1]Tipe Plate'!$C:$D,2,FALSE)</f>
        <v>Grid Casting</v>
      </c>
      <c r="O338" s="4">
        <f>VLOOKUP(L338,'[1]Plate Infor'!$B:$D,3,FALSE)*D338</f>
        <v>1440</v>
      </c>
      <c r="P338" s="4">
        <f>IFERROR(VLOOKUP(IF(MID(M338,3,1)="F","W-UNPL-"&amp;RIGHT(M338,20),M338),'[1]Data Pule'!$C:$E,3,FALSE),0)*O338</f>
        <v>217.58399999999997</v>
      </c>
      <c r="Q338" s="1" t="str">
        <f>VLOOKUP(L338,'[1]Plate Infor'!$B:$E,4,FALSE)</f>
        <v>W-UNPL-CG85NXX-T3L0-02-7S00</v>
      </c>
      <c r="R338" s="1" t="str">
        <f>VLOOKUP(MID(Q338,8,4),'[1]Tipe Plate'!$C:$D,2,FALSE)</f>
        <v>Grid Casting</v>
      </c>
      <c r="S338" s="4">
        <f>VLOOKUP(L338,'[1]Plate Infor'!$B:$F,5,FALSE)*D338</f>
        <v>1350</v>
      </c>
      <c r="T338" s="4">
        <f>IFERROR(VLOOKUP(IF(MID(Q338,3,1)="F","W-UNPL-"&amp;RIGHT(Q338,20),Q338),'[1]Data Pule'!$C:$E,3,FALSE),0)*S338</f>
        <v>176.44499999999996</v>
      </c>
    </row>
    <row r="339" spans="3:20" x14ac:dyDescent="0.35">
      <c r="C339" s="1" t="s">
        <v>302</v>
      </c>
      <c r="D339">
        <v>84</v>
      </c>
      <c r="E339" s="3" t="str">
        <f>MID(C339,5,1)</f>
        <v>U</v>
      </c>
      <c r="F339" s="3"/>
      <c r="G339" s="3"/>
      <c r="H339" s="3"/>
      <c r="I339" s="3"/>
      <c r="J339" s="3"/>
      <c r="K339" s="3"/>
      <c r="L339" s="1" t="str">
        <f>MID(C339,3,17)</f>
        <v>ACUP-95D31LX-B7C3</v>
      </c>
      <c r="M339" s="1" t="str">
        <f>VLOOKUP(L339,'[1]Plate Infor'!$B:$C,2,FALSE)</f>
        <v>W-UNPL-CG85PXX-L870-02-7S00</v>
      </c>
      <c r="N339" s="1" t="str">
        <f>VLOOKUP(MID(M339,8,4),'[1]Tipe Plate'!$C:$D,2,FALSE)</f>
        <v>Grid Casting</v>
      </c>
      <c r="O339" s="4">
        <f>VLOOKUP(L339,'[1]Plate Infor'!$B:$D,3,FALSE)*D339</f>
        <v>2268</v>
      </c>
      <c r="P339" s="4">
        <f>IFERROR(VLOOKUP(IF(MID(M339,3,1)="F","W-UNPL-"&amp;RIGHT(M339,20),M339),'[1]Data Pule'!$C:$E,3,FALSE),0)*O339</f>
        <v>267.17040000000003</v>
      </c>
      <c r="Q339" s="1" t="str">
        <f>VLOOKUP(L339,'[1]Plate Infor'!$B:$E,4,FALSE)</f>
        <v>W-UNPL-CG85NXX-T3L0-02-7S00</v>
      </c>
      <c r="R339" s="1" t="str">
        <f>VLOOKUP(MID(Q339,8,4),'[1]Tipe Plate'!$C:$D,2,FALSE)</f>
        <v>Grid Casting</v>
      </c>
      <c r="S339" s="4">
        <f>VLOOKUP(L339,'[1]Plate Infor'!$B:$F,5,FALSE)*D339</f>
        <v>2016</v>
      </c>
      <c r="T339" s="4">
        <f>IFERROR(VLOOKUP(IF(MID(Q339,3,1)="F","W-UNPL-"&amp;RIGHT(Q339,20),Q339),'[1]Data Pule'!$C:$E,3,FALSE),0)*S339</f>
        <v>263.49119999999999</v>
      </c>
    </row>
    <row r="340" spans="3:20" x14ac:dyDescent="0.35">
      <c r="C340" s="1" t="s">
        <v>303</v>
      </c>
      <c r="D340">
        <v>405</v>
      </c>
      <c r="E340" s="3" t="str">
        <f>MID(C340,5,1)</f>
        <v>U</v>
      </c>
      <c r="F340" s="3"/>
      <c r="G340" s="3"/>
      <c r="H340" s="3"/>
      <c r="I340" s="3"/>
      <c r="J340" s="3"/>
      <c r="K340" s="3"/>
      <c r="L340" s="1" t="str">
        <f>MID(C340,3,17)</f>
        <v>AMUP-36B20LX-A9P4</v>
      </c>
      <c r="M340" s="1" t="str">
        <f>VLOOKUP(L340,'[1]Plate Infor'!$B:$C,2,FALSE)</f>
        <v>W-UNPL-WM84PXX-L65F-00-7S00</v>
      </c>
      <c r="N340" s="1" t="str">
        <f>VLOOKUP(MID(M340,8,4),'[1]Tipe Plate'!$C:$D,2,FALSE)</f>
        <v>Grid Casting</v>
      </c>
      <c r="O340" s="4">
        <f>VLOOKUP(L340,'[1]Plate Infor'!$B:$D,3,FALSE)*D340</f>
        <v>4860</v>
      </c>
      <c r="P340" s="4">
        <f>IFERROR(VLOOKUP(IF(MID(M340,3,1)="F","W-UNPL-"&amp;RIGHT(M340,20),M340),'[1]Data Pule'!$C:$E,3,FALSE),0)*O340</f>
        <v>553.55399999999997</v>
      </c>
      <c r="Q340" s="1" t="str">
        <f>VLOOKUP(L340,'[1]Plate Infor'!$B:$E,4,FALSE)</f>
        <v>W-UNPL-WM85NXX-T3AF-00-7S00</v>
      </c>
      <c r="R340" s="1" t="str">
        <f>VLOOKUP(MID(Q340,8,4),'[1]Tipe Plate'!$C:$D,2,FALSE)</f>
        <v>Grid Punching</v>
      </c>
      <c r="S340" s="4">
        <f>VLOOKUP(L340,'[1]Plate Infor'!$B:$F,5,FALSE)*D340</f>
        <v>6075</v>
      </c>
      <c r="T340" s="4">
        <f>IFERROR(VLOOKUP(IF(MID(Q340,3,1)="F","W-UNPL-"&amp;RIGHT(Q340,20),Q340),'[1]Data Pule'!$C:$E,3,FALSE),0)*S340</f>
        <v>645.77250000000004</v>
      </c>
    </row>
    <row r="341" spans="3:20" x14ac:dyDescent="0.35">
      <c r="C341" s="1" t="s">
        <v>304</v>
      </c>
      <c r="D341">
        <v>216</v>
      </c>
      <c r="E341" s="3" t="str">
        <f>MID(C341,5,1)</f>
        <v>U</v>
      </c>
      <c r="F341" s="3"/>
      <c r="G341" s="3"/>
      <c r="H341" s="3"/>
      <c r="I341" s="3"/>
      <c r="J341" s="3"/>
      <c r="K341" s="3"/>
      <c r="L341" s="1" t="str">
        <f>MID(C341,3,17)</f>
        <v>AVUP-46B24RS-B0A4</v>
      </c>
      <c r="M341" s="1" t="str">
        <f>VLOOKUP(L341,'[1]Plate Infor'!$B:$C,2,FALSE)</f>
        <v>W-UNPL-CM84APX-L870-02-7S00</v>
      </c>
      <c r="N341" s="1" t="str">
        <f>VLOOKUP(MID(M341,8,4),'[1]Tipe Plate'!$C:$D,2,FALSE)</f>
        <v>Grid Casting</v>
      </c>
      <c r="O341" s="4">
        <f>VLOOKUP(L341,'[1]Plate Infor'!$B:$D,3,FALSE)*D341</f>
        <v>3240</v>
      </c>
      <c r="P341" s="4">
        <f>IFERROR(VLOOKUP(IF(MID(M341,3,1)="F","W-UNPL-"&amp;RIGHT(M341,20),M341),'[1]Data Pule'!$C:$E,3,FALSE),0)*O341</f>
        <v>290.62799999999999</v>
      </c>
      <c r="Q341" s="1" t="str">
        <f>VLOOKUP(L341,'[1]Plate Infor'!$B:$E,4,FALSE)</f>
        <v>W-UNPL-WM85NXX-T3AF-00-7S00</v>
      </c>
      <c r="R341" s="1" t="str">
        <f>VLOOKUP(MID(Q341,8,4),'[1]Tipe Plate'!$C:$D,2,FALSE)</f>
        <v>Grid Punching</v>
      </c>
      <c r="S341" s="4">
        <f>VLOOKUP(L341,'[1]Plate Infor'!$B:$F,5,FALSE)*D341</f>
        <v>3240</v>
      </c>
      <c r="T341" s="4">
        <f>IFERROR(VLOOKUP(IF(MID(Q341,3,1)="F","W-UNPL-"&amp;RIGHT(Q341,20),Q341),'[1]Data Pule'!$C:$E,3,FALSE),0)*S341</f>
        <v>344.41200000000003</v>
      </c>
    </row>
    <row r="342" spans="3:20" x14ac:dyDescent="0.35">
      <c r="C342" s="1" t="s">
        <v>305</v>
      </c>
      <c r="D342">
        <v>108</v>
      </c>
      <c r="E342" s="3" t="str">
        <f>MID(C342,5,1)</f>
        <v>U</v>
      </c>
      <c r="F342" s="3"/>
      <c r="G342" s="3"/>
      <c r="H342" s="3"/>
      <c r="I342" s="3"/>
      <c r="J342" s="3"/>
      <c r="K342" s="3"/>
      <c r="L342" s="1" t="str">
        <f>MID(C342,3,17)</f>
        <v>AVUP-46B24LS-B0A4</v>
      </c>
      <c r="M342" s="1" t="str">
        <f>VLOOKUP(L342,'[1]Plate Infor'!$B:$C,2,FALSE)</f>
        <v>W-UNPL-CM84APX-L870-02-7S00</v>
      </c>
      <c r="N342" s="1" t="str">
        <f>VLOOKUP(MID(M342,8,4),'[1]Tipe Plate'!$C:$D,2,FALSE)</f>
        <v>Grid Casting</v>
      </c>
      <c r="O342" s="4">
        <f>VLOOKUP(L342,'[1]Plate Infor'!$B:$D,3,FALSE)*D342</f>
        <v>1620</v>
      </c>
      <c r="P342" s="4">
        <f>IFERROR(VLOOKUP(IF(MID(M342,3,1)="F","W-UNPL-"&amp;RIGHT(M342,20),M342),'[1]Data Pule'!$C:$E,3,FALSE),0)*O342</f>
        <v>145.31399999999999</v>
      </c>
      <c r="Q342" s="1" t="str">
        <f>VLOOKUP(L342,'[1]Plate Infor'!$B:$E,4,FALSE)</f>
        <v>W-UNPL-WM85NXX-T3AF-00-7S00</v>
      </c>
      <c r="R342" s="1" t="str">
        <f>VLOOKUP(MID(Q342,8,4),'[1]Tipe Plate'!$C:$D,2,FALSE)</f>
        <v>Grid Punching</v>
      </c>
      <c r="S342" s="4">
        <f>VLOOKUP(L342,'[1]Plate Infor'!$B:$F,5,FALSE)*D342</f>
        <v>1620</v>
      </c>
      <c r="T342" s="4">
        <f>IFERROR(VLOOKUP(IF(MID(Q342,3,1)="F","W-UNPL-"&amp;RIGHT(Q342,20),Q342),'[1]Data Pule'!$C:$E,3,FALSE),0)*S342</f>
        <v>172.20600000000002</v>
      </c>
    </row>
    <row r="343" spans="3:20" x14ac:dyDescent="0.35">
      <c r="C343" s="1" t="s">
        <v>306</v>
      </c>
      <c r="D343">
        <v>108</v>
      </c>
      <c r="E343" s="3" t="str">
        <f>MID(C343,5,1)</f>
        <v>U</v>
      </c>
      <c r="F343" s="3"/>
      <c r="G343" s="3"/>
      <c r="H343" s="3"/>
      <c r="I343" s="3"/>
      <c r="J343" s="3"/>
      <c r="K343" s="3"/>
      <c r="L343" s="1" t="str">
        <f>MID(C343,3,17)</f>
        <v>AVUP-46B24LX-B0A4</v>
      </c>
      <c r="M343" s="1" t="str">
        <f>VLOOKUP(L343,'[1]Plate Infor'!$B:$C,2,FALSE)</f>
        <v>W-UNPL-CM84APX-L870-02-7S00</v>
      </c>
      <c r="N343" s="1" t="str">
        <f>VLOOKUP(MID(M343,8,4),'[1]Tipe Plate'!$C:$D,2,FALSE)</f>
        <v>Grid Casting</v>
      </c>
      <c r="O343" s="4">
        <f>VLOOKUP(L343,'[1]Plate Infor'!$B:$D,3,FALSE)*D343</f>
        <v>1620</v>
      </c>
      <c r="P343" s="4">
        <f>IFERROR(VLOOKUP(IF(MID(M343,3,1)="F","W-UNPL-"&amp;RIGHT(M343,20),M343),'[1]Data Pule'!$C:$E,3,FALSE),0)*O343</f>
        <v>145.31399999999999</v>
      </c>
      <c r="Q343" s="1" t="str">
        <f>VLOOKUP(L343,'[1]Plate Infor'!$B:$E,4,FALSE)</f>
        <v>W-UNPL-WM85NXX-T3AF-00-7S00</v>
      </c>
      <c r="R343" s="1" t="str">
        <f>VLOOKUP(MID(Q343,8,4),'[1]Tipe Plate'!$C:$D,2,FALSE)</f>
        <v>Grid Punching</v>
      </c>
      <c r="S343" s="4">
        <f>VLOOKUP(L343,'[1]Plate Infor'!$B:$F,5,FALSE)*D343</f>
        <v>1620</v>
      </c>
      <c r="T343" s="4">
        <f>IFERROR(VLOOKUP(IF(MID(Q343,3,1)="F","W-UNPL-"&amp;RIGHT(Q343,20),Q343),'[1]Data Pule'!$C:$E,3,FALSE),0)*S343</f>
        <v>172.20600000000002</v>
      </c>
    </row>
    <row r="344" spans="3:20" x14ac:dyDescent="0.35">
      <c r="C344" s="1" t="s">
        <v>307</v>
      </c>
      <c r="D344">
        <v>96</v>
      </c>
      <c r="E344" s="3" t="str">
        <f>MID(C344,5,1)</f>
        <v>U</v>
      </c>
      <c r="F344" s="3"/>
      <c r="G344" s="3"/>
      <c r="H344" s="3"/>
      <c r="I344" s="3"/>
      <c r="J344" s="3"/>
      <c r="K344" s="3"/>
      <c r="L344" s="1" t="str">
        <f>MID(C344,3,17)</f>
        <v>AVUP-65D26LX-B0A4</v>
      </c>
      <c r="M344" s="1" t="str">
        <f>VLOOKUP(L344,'[1]Plate Infor'!$B:$C,2,FALSE)</f>
        <v>W-UNPL-CG85EPX-L870-02-7C00</v>
      </c>
      <c r="N344" s="1" t="str">
        <f>VLOOKUP(MID(M344,8,4),'[1]Tipe Plate'!$C:$D,2,FALSE)</f>
        <v>Grid Casting</v>
      </c>
      <c r="O344" s="4">
        <f>VLOOKUP(L344,'[1]Plate Infor'!$B:$D,3,FALSE)*D344</f>
        <v>1440</v>
      </c>
      <c r="P344" s="4">
        <f>IFERROR(VLOOKUP(IF(MID(M344,3,1)="F","W-UNPL-"&amp;RIGHT(M344,20),M344),'[1]Data Pule'!$C:$E,3,FALSE),0)*O344</f>
        <v>175.96800000000002</v>
      </c>
      <c r="Q344" s="1" t="str">
        <f>VLOOKUP(L344,'[1]Plate Infor'!$B:$E,4,FALSE)</f>
        <v>W-UNPL-WG87NXX-T3AF-00-7C00</v>
      </c>
      <c r="R344" s="1" t="str">
        <f>VLOOKUP(MID(Q344,8,4),'[1]Tipe Plate'!$C:$D,2,FALSE)</f>
        <v>Grid Punching</v>
      </c>
      <c r="S344" s="4">
        <f>VLOOKUP(L344,'[1]Plate Infor'!$B:$F,5,FALSE)*D344</f>
        <v>1440</v>
      </c>
      <c r="T344" s="4">
        <f>IFERROR(VLOOKUP(IF(MID(Q344,3,1)="F","W-UNPL-"&amp;RIGHT(Q344,20),Q344),'[1]Data Pule'!$C:$E,3,FALSE),0)*S344</f>
        <v>188.20799999999997</v>
      </c>
    </row>
    <row r="345" spans="3:20" x14ac:dyDescent="0.35">
      <c r="C345" s="1" t="s">
        <v>308</v>
      </c>
      <c r="D345">
        <v>84</v>
      </c>
      <c r="E345" s="3" t="str">
        <f>MID(C345,5,1)</f>
        <v>U</v>
      </c>
      <c r="F345" s="3"/>
      <c r="G345" s="3"/>
      <c r="H345" s="3"/>
      <c r="I345" s="3"/>
      <c r="J345" s="3"/>
      <c r="K345" s="3"/>
      <c r="L345" s="1" t="str">
        <f>MID(C345,3,17)</f>
        <v>AMUP-95D31LX-B3P4</v>
      </c>
      <c r="M345" s="1" t="str">
        <f>VLOOKUP(L345,'[1]Plate Infor'!$B:$C,2,FALSE)</f>
        <v>W-UNPL-WG83PXX-L65F-00-7C00</v>
      </c>
      <c r="N345" s="1" t="str">
        <f>VLOOKUP(MID(M345,8,4),'[1]Tipe Plate'!$C:$D,2,FALSE)</f>
        <v>Grid Punching</v>
      </c>
      <c r="O345" s="4">
        <f>VLOOKUP(L345,'[1]Plate Infor'!$B:$D,3,FALSE)*D345</f>
        <v>1512</v>
      </c>
      <c r="P345" s="4">
        <f>IFERROR(VLOOKUP(IF(MID(M345,3,1)="F","W-UNPL-"&amp;RIGHT(M345,20),M345),'[1]Data Pule'!$C:$E,3,FALSE),0)*O345</f>
        <v>255.98159999999996</v>
      </c>
      <c r="Q345" s="1" t="str">
        <f>VLOOKUP(L345,'[1]Plate Infor'!$B:$E,4,FALSE)</f>
        <v>W-UNPL-WG87NXX-T3AF-00-7C00</v>
      </c>
      <c r="R345" s="1" t="str">
        <f>VLOOKUP(MID(Q345,8,4),'[1]Tipe Plate'!$C:$D,2,FALSE)</f>
        <v>Grid Punching</v>
      </c>
      <c r="S345" s="4">
        <f>VLOOKUP(L345,'[1]Plate Infor'!$B:$F,5,FALSE)*D345</f>
        <v>1764</v>
      </c>
      <c r="T345" s="4">
        <f>IFERROR(VLOOKUP(IF(MID(Q345,3,1)="F","W-UNPL-"&amp;RIGHT(Q345,20),Q345),'[1]Data Pule'!$C:$E,3,FALSE),0)*S345</f>
        <v>230.55479999999997</v>
      </c>
    </row>
    <row r="346" spans="3:20" x14ac:dyDescent="0.35">
      <c r="C346" s="1" t="s">
        <v>309</v>
      </c>
      <c r="D346">
        <v>24</v>
      </c>
      <c r="E346" s="3" t="str">
        <f>MID(C346,5,1)</f>
        <v>U</v>
      </c>
      <c r="F346" s="3"/>
      <c r="G346" s="3"/>
      <c r="H346" s="3"/>
      <c r="I346" s="3"/>
      <c r="J346" s="3"/>
      <c r="K346" s="3"/>
      <c r="L346" s="1" t="str">
        <f>MID(C346,3,17)</f>
        <v>AMUP-190H52X-D5C4</v>
      </c>
      <c r="M346" s="1" t="str">
        <f>VLOOKUP(L346,'[1]Plate Infor'!$B:$C,2,FALSE)</f>
        <v>W-UNPL-YG82PXX-L650-02-7S00</v>
      </c>
      <c r="N346" s="1" t="str">
        <f>VLOOKUP(MID(M346,8,4),'[1]Tipe Plate'!$C:$D,2,FALSE)</f>
        <v>Grid Casting</v>
      </c>
      <c r="O346" s="4">
        <f>VLOOKUP(L346,'[1]Plate Infor'!$B:$D,3,FALSE)*D346</f>
        <v>1296</v>
      </c>
      <c r="P346" s="4">
        <f>IFERROR(VLOOKUP(IF(MID(M346,3,1)="F","W-UNPL-"&amp;RIGHT(M346,20),M346),'[1]Data Pule'!$C:$E,3,FALSE),0)*O346</f>
        <v>178.2</v>
      </c>
      <c r="Q346" s="1" t="str">
        <f>VLOOKUP(L346,'[1]Plate Infor'!$B:$E,4,FALSE)</f>
        <v>W-UNPL-YG85NXX-T3A0-02-7S00</v>
      </c>
      <c r="R346" s="1" t="str">
        <f>VLOOKUP(MID(Q346,8,4),'[1]Tipe Plate'!$C:$D,2,FALSE)</f>
        <v>Grid Casting</v>
      </c>
      <c r="S346" s="4">
        <f>VLOOKUP(L346,'[1]Plate Infor'!$B:$F,5,FALSE)*D346</f>
        <v>1224</v>
      </c>
      <c r="T346" s="4">
        <f>IFERROR(VLOOKUP(IF(MID(Q346,3,1)="F","W-UNPL-"&amp;RIGHT(Q346,20),Q346),'[1]Data Pule'!$C:$E,3,FALSE),0)*S346</f>
        <v>159.97679999999997</v>
      </c>
    </row>
    <row r="347" spans="3:20" x14ac:dyDescent="0.35">
      <c r="C347" s="1" t="s">
        <v>310</v>
      </c>
      <c r="D347">
        <v>72</v>
      </c>
      <c r="E347" s="3" t="str">
        <f>MID(C347,5,1)</f>
        <v>W</v>
      </c>
      <c r="F347" s="3"/>
      <c r="G347" s="3"/>
      <c r="H347" s="3"/>
      <c r="I347" s="3"/>
      <c r="J347" s="3"/>
      <c r="K347" s="3"/>
      <c r="L347" s="1" t="str">
        <f>MID(C347,3,17)</f>
        <v>ACWP-65D26LX-B1C4</v>
      </c>
      <c r="M347" s="1" t="str">
        <f>VLOOKUP(L347,'[1]Plate Infor'!$B:$C,2,FALSE)</f>
        <v>W-UNPL-CG82PXX-L870-02-7S00</v>
      </c>
      <c r="N347" s="1" t="str">
        <f>VLOOKUP(MID(M347,8,4),'[1]Tipe Plate'!$C:$D,2,FALSE)</f>
        <v>Grid Casting</v>
      </c>
      <c r="O347" s="4">
        <f>VLOOKUP(L347,'[1]Plate Infor'!$B:$D,3,FALSE)*D347</f>
        <v>1080</v>
      </c>
      <c r="P347" s="4">
        <f>IFERROR(VLOOKUP(IF(MID(M347,3,1)="F","W-UNPL-"&amp;RIGHT(M347,20),M347),'[1]Data Pule'!$C:$E,3,FALSE),0)*O347</f>
        <v>138.77999999999997</v>
      </c>
      <c r="Q347" s="1" t="str">
        <f>VLOOKUP(L347,'[1]Plate Infor'!$B:$E,4,FALSE)</f>
        <v>W-UNPL-CG87NXX-T3L0-02-7S00</v>
      </c>
      <c r="R347" s="1" t="str">
        <f>VLOOKUP(MID(Q347,8,4),'[1]Tipe Plate'!$C:$D,2,FALSE)</f>
        <v>Grid Casting</v>
      </c>
      <c r="S347" s="4">
        <f>VLOOKUP(L347,'[1]Plate Infor'!$B:$F,5,FALSE)*D347</f>
        <v>1296</v>
      </c>
      <c r="T347" s="4">
        <f>IFERROR(VLOOKUP(IF(MID(Q347,3,1)="F","W-UNPL-"&amp;RIGHT(Q347,20),Q347),'[1]Data Pule'!$C:$E,3,FALSE),0)*S347</f>
        <v>149.04000000000002</v>
      </c>
    </row>
    <row r="348" spans="3:20" x14ac:dyDescent="0.35">
      <c r="C348" s="1" t="s">
        <v>311</v>
      </c>
      <c r="D348">
        <v>63</v>
      </c>
      <c r="E348" s="3" t="str">
        <f>MID(C348,5,1)</f>
        <v>W</v>
      </c>
      <c r="F348" s="3"/>
      <c r="G348" s="3"/>
      <c r="H348" s="3"/>
      <c r="I348" s="3"/>
      <c r="J348" s="3"/>
      <c r="K348" s="3"/>
      <c r="L348" s="1" t="str">
        <f>MID(C348,3,17)</f>
        <v>ACWP-95D31RX-B5C4</v>
      </c>
      <c r="M348" s="1" t="str">
        <f>VLOOKUP(L348,'[1]Plate Infor'!$B:$C,2,FALSE)</f>
        <v>W-UNPL-CG85PXX-L870-02-7S00</v>
      </c>
      <c r="N348" s="1" t="str">
        <f>VLOOKUP(MID(M348,8,4),'[1]Tipe Plate'!$C:$D,2,FALSE)</f>
        <v>Grid Casting</v>
      </c>
      <c r="O348" s="4">
        <f>VLOOKUP(L348,'[1]Plate Infor'!$B:$D,3,FALSE)*D348</f>
        <v>1512</v>
      </c>
      <c r="P348" s="4">
        <f>IFERROR(VLOOKUP(IF(MID(M348,3,1)="F","W-UNPL-"&amp;RIGHT(M348,20),M348),'[1]Data Pule'!$C:$E,3,FALSE),0)*O348</f>
        <v>178.11359999999999</v>
      </c>
      <c r="Q348" s="1" t="str">
        <f>VLOOKUP(L348,'[1]Plate Infor'!$B:$E,4,FALSE)</f>
        <v>W-UNPL-CG85NXX-T3L0-02-7S00</v>
      </c>
      <c r="R348" s="1" t="str">
        <f>VLOOKUP(MID(Q348,8,4),'[1]Tipe Plate'!$C:$D,2,FALSE)</f>
        <v>Grid Casting</v>
      </c>
      <c r="S348" s="4">
        <f>VLOOKUP(L348,'[1]Plate Infor'!$B:$F,5,FALSE)*D348</f>
        <v>1323</v>
      </c>
      <c r="T348" s="4">
        <f>IFERROR(VLOOKUP(IF(MID(Q348,3,1)="F","W-UNPL-"&amp;RIGHT(Q348,20),Q348),'[1]Data Pule'!$C:$E,3,FALSE),0)*S348</f>
        <v>172.91609999999997</v>
      </c>
    </row>
    <row r="349" spans="3:20" x14ac:dyDescent="0.35">
      <c r="C349" s="1" t="s">
        <v>312</v>
      </c>
      <c r="D349">
        <v>63</v>
      </c>
      <c r="E349" s="3" t="str">
        <f>MID(C349,5,1)</f>
        <v>W</v>
      </c>
      <c r="F349" s="3"/>
      <c r="G349" s="3"/>
      <c r="H349" s="3"/>
      <c r="I349" s="3"/>
      <c r="J349" s="3"/>
      <c r="K349" s="3"/>
      <c r="L349" s="1" t="str">
        <f>MID(C349,3,17)</f>
        <v>ACWP-95D31LX-B5C4</v>
      </c>
      <c r="M349" s="1" t="str">
        <f>VLOOKUP(L349,'[1]Plate Infor'!$B:$C,2,FALSE)</f>
        <v>W-UNPL-CG85PXX-L870-02-7S00</v>
      </c>
      <c r="N349" s="1" t="str">
        <f>VLOOKUP(MID(M349,8,4),'[1]Tipe Plate'!$C:$D,2,FALSE)</f>
        <v>Grid Casting</v>
      </c>
      <c r="O349" s="4">
        <f>VLOOKUP(L349,'[1]Plate Infor'!$B:$D,3,FALSE)*D349</f>
        <v>1512</v>
      </c>
      <c r="P349" s="4">
        <f>IFERROR(VLOOKUP(IF(MID(M349,3,1)="F","W-UNPL-"&amp;RIGHT(M349,20),M349),'[1]Data Pule'!$C:$E,3,FALSE),0)*O349</f>
        <v>178.11359999999999</v>
      </c>
      <c r="Q349" s="1" t="str">
        <f>VLOOKUP(L349,'[1]Plate Infor'!$B:$E,4,FALSE)</f>
        <v>W-UNPL-CG85NXX-T3L0-02-7S00</v>
      </c>
      <c r="R349" s="1" t="str">
        <f>VLOOKUP(MID(Q349,8,4),'[1]Tipe Plate'!$C:$D,2,FALSE)</f>
        <v>Grid Casting</v>
      </c>
      <c r="S349" s="4">
        <f>VLOOKUP(L349,'[1]Plate Infor'!$B:$F,5,FALSE)*D349</f>
        <v>1323</v>
      </c>
      <c r="T349" s="4">
        <f>IFERROR(VLOOKUP(IF(MID(Q349,3,1)="F","W-UNPL-"&amp;RIGHT(Q349,20),Q349),'[1]Data Pule'!$C:$E,3,FALSE),0)*S349</f>
        <v>172.91609999999997</v>
      </c>
    </row>
    <row r="350" spans="3:20" x14ac:dyDescent="0.35">
      <c r="C350" s="1" t="s">
        <v>313</v>
      </c>
      <c r="D350">
        <v>42</v>
      </c>
      <c r="E350" s="3" t="str">
        <f>MID(C350,5,1)</f>
        <v>W</v>
      </c>
      <c r="F350" s="3"/>
      <c r="G350" s="3"/>
      <c r="H350" s="3"/>
      <c r="I350" s="3"/>
      <c r="J350" s="3"/>
      <c r="K350" s="3"/>
      <c r="L350" s="1" t="str">
        <f>MID(C350,3,17)</f>
        <v>ACWP-95E41RX-B5C4</v>
      </c>
      <c r="M350" s="1" t="str">
        <f>VLOOKUP(L350,'[1]Plate Infor'!$B:$C,2,FALSE)</f>
        <v>W-UNPL-CG80PXX-L870-02-7S00</v>
      </c>
      <c r="N350" s="1" t="str">
        <f>VLOOKUP(MID(M350,8,4),'[1]Tipe Plate'!$C:$D,2,FALSE)</f>
        <v>Grid Casting</v>
      </c>
      <c r="O350" s="4">
        <f>VLOOKUP(L350,'[1]Plate Infor'!$B:$D,3,FALSE)*D350</f>
        <v>882</v>
      </c>
      <c r="P350" s="4">
        <f>IFERROR(VLOOKUP(IF(MID(M350,3,1)="F","W-UNPL-"&amp;RIGHT(M350,20),M350),'[1]Data Pule'!$C:$E,3,FALSE),0)*O350</f>
        <v>133.27019999999999</v>
      </c>
      <c r="Q350" s="1" t="str">
        <f>VLOOKUP(L350,'[1]Plate Infor'!$B:$E,4,FALSE)</f>
        <v>W-UNPL-CG87NXX-T3L0-02-7S00</v>
      </c>
      <c r="R350" s="1" t="str">
        <f>VLOOKUP(MID(Q350,8,4),'[1]Tipe Plate'!$C:$D,2,FALSE)</f>
        <v>Grid Casting</v>
      </c>
      <c r="S350" s="4">
        <f>VLOOKUP(L350,'[1]Plate Infor'!$B:$F,5,FALSE)*D350</f>
        <v>1008</v>
      </c>
      <c r="T350" s="4">
        <f>IFERROR(VLOOKUP(IF(MID(Q350,3,1)="F","W-UNPL-"&amp;RIGHT(Q350,20),Q350),'[1]Data Pule'!$C:$E,3,FALSE),0)*S350</f>
        <v>115.92</v>
      </c>
    </row>
    <row r="351" spans="3:20" x14ac:dyDescent="0.35">
      <c r="C351" s="1" t="s">
        <v>314</v>
      </c>
      <c r="D351">
        <v>72</v>
      </c>
      <c r="E351" s="3" t="str">
        <f>MID(C351,5,1)</f>
        <v>W</v>
      </c>
      <c r="F351" s="3"/>
      <c r="G351" s="3"/>
      <c r="H351" s="3"/>
      <c r="I351" s="3"/>
      <c r="J351" s="3"/>
      <c r="K351" s="3"/>
      <c r="L351" s="1" t="str">
        <f>MID(C351,3,17)</f>
        <v>ACWP-115F51X-B9C4</v>
      </c>
      <c r="M351" s="1" t="str">
        <f>VLOOKUP(L351,'[1]Plate Infor'!$B:$C,2,FALSE)</f>
        <v>W-UNPL-CG82PXX-L870-02-7S00</v>
      </c>
      <c r="N351" s="1" t="str">
        <f>VLOOKUP(MID(M351,8,4),'[1]Tipe Plate'!$C:$D,2,FALSE)</f>
        <v>Grid Casting</v>
      </c>
      <c r="O351" s="4">
        <f>VLOOKUP(L351,'[1]Plate Infor'!$B:$D,3,FALSE)*D351</f>
        <v>1944</v>
      </c>
      <c r="P351" s="4">
        <f>IFERROR(VLOOKUP(IF(MID(M351,3,1)="F","W-UNPL-"&amp;RIGHT(M351,20),M351),'[1]Data Pule'!$C:$E,3,FALSE),0)*O351</f>
        <v>249.80399999999995</v>
      </c>
      <c r="Q351" s="1" t="str">
        <f>VLOOKUP(L351,'[1]Plate Infor'!$B:$E,4,FALSE)</f>
        <v>W-UNPL-CG87NXX-T3L0-02-7S00</v>
      </c>
      <c r="R351" s="1" t="str">
        <f>VLOOKUP(MID(Q351,8,4),'[1]Tipe Plate'!$C:$D,2,FALSE)</f>
        <v>Grid Casting</v>
      </c>
      <c r="S351" s="4">
        <f>VLOOKUP(L351,'[1]Plate Infor'!$B:$F,5,FALSE)*D351</f>
        <v>2160</v>
      </c>
      <c r="T351" s="4">
        <f>IFERROR(VLOOKUP(IF(MID(Q351,3,1)="F","W-UNPL-"&amp;RIGHT(Q351,20),Q351),'[1]Data Pule'!$C:$E,3,FALSE),0)*S351</f>
        <v>248.4</v>
      </c>
    </row>
    <row r="352" spans="3:20" x14ac:dyDescent="0.35">
      <c r="C352" s="1" t="s">
        <v>315</v>
      </c>
      <c r="D352">
        <v>150</v>
      </c>
      <c r="E352" s="3" t="str">
        <f>MID(C352,5,1)</f>
        <v>W</v>
      </c>
      <c r="F352" s="3"/>
      <c r="G352" s="3"/>
      <c r="H352" s="3"/>
      <c r="I352" s="3"/>
      <c r="J352" s="3"/>
      <c r="K352" s="3"/>
      <c r="L352" s="1" t="str">
        <f>MID(C352,3,17)</f>
        <v>ACWP-145G51X-C3C5</v>
      </c>
      <c r="M352" s="1" t="str">
        <f>VLOOKUP(L352,'[1]Plate Infor'!$B:$C,2,FALSE)</f>
        <v>W-UNPL-CG82PXX-L870-02-7S00</v>
      </c>
      <c r="N352" s="1" t="str">
        <f>VLOOKUP(MID(M352,8,4),'[1]Tipe Plate'!$C:$D,2,FALSE)</f>
        <v>Grid Casting</v>
      </c>
      <c r="O352" s="4">
        <f>VLOOKUP(L352,'[1]Plate Infor'!$B:$D,3,FALSE)*D352</f>
        <v>4950</v>
      </c>
      <c r="P352" s="4">
        <f>IFERROR(VLOOKUP(IF(MID(M352,3,1)="F","W-UNPL-"&amp;RIGHT(M352,20),M352),'[1]Data Pule'!$C:$E,3,FALSE),0)*O352</f>
        <v>636.07499999999993</v>
      </c>
      <c r="Q352" s="1" t="str">
        <f>VLOOKUP(L352,'[1]Plate Infor'!$B:$E,4,FALSE)</f>
        <v>W-UNPL-CG87NXX-T3L0-02-7S00</v>
      </c>
      <c r="R352" s="1" t="str">
        <f>VLOOKUP(MID(Q352,8,4),'[1]Tipe Plate'!$C:$D,2,FALSE)</f>
        <v>Grid Casting</v>
      </c>
      <c r="S352" s="4">
        <f>VLOOKUP(L352,'[1]Plate Infor'!$B:$F,5,FALSE)*D352</f>
        <v>5400</v>
      </c>
      <c r="T352" s="4">
        <f>IFERROR(VLOOKUP(IF(MID(Q352,3,1)="F","W-UNPL-"&amp;RIGHT(Q352,20),Q352),'[1]Data Pule'!$C:$E,3,FALSE),0)*S352</f>
        <v>621</v>
      </c>
    </row>
    <row r="353" spans="3:20" x14ac:dyDescent="0.35">
      <c r="C353" s="1" t="s">
        <v>316</v>
      </c>
      <c r="D353">
        <v>48</v>
      </c>
      <c r="E353" s="3" t="str">
        <f>MID(C353,5,1)</f>
        <v>W</v>
      </c>
      <c r="F353" s="3"/>
      <c r="G353" s="3"/>
      <c r="H353" s="3"/>
      <c r="I353" s="3"/>
      <c r="J353" s="3"/>
      <c r="K353" s="3"/>
      <c r="L353" s="1" t="str">
        <f>MID(C353,3,17)</f>
        <v>ACWP-190H52X-D1C6</v>
      </c>
      <c r="M353" s="1" t="str">
        <f>VLOOKUP(L353,'[1]Plate Infor'!$B:$C,2,FALSE)</f>
        <v>W-UNPL-CG82PXX-L870-02-7S00</v>
      </c>
      <c r="N353" s="1" t="str">
        <f>VLOOKUP(MID(M353,8,4),'[1]Tipe Plate'!$C:$D,2,FALSE)</f>
        <v>Grid Casting</v>
      </c>
      <c r="O353" s="4">
        <f>VLOOKUP(L353,'[1]Plate Infor'!$B:$D,3,FALSE)*D353</f>
        <v>2160</v>
      </c>
      <c r="P353" s="4">
        <f>IFERROR(VLOOKUP(IF(MID(M353,3,1)="F","W-UNPL-"&amp;RIGHT(M353,20),M353),'[1]Data Pule'!$C:$E,3,FALSE),0)*O353</f>
        <v>277.55999999999995</v>
      </c>
      <c r="Q353" s="1" t="str">
        <f>VLOOKUP(L353,'[1]Plate Infor'!$B:$E,4,FALSE)</f>
        <v>W-UNPL-CG87NXX-T3L0-02-7S00</v>
      </c>
      <c r="R353" s="1" t="str">
        <f>VLOOKUP(MID(Q353,8,4),'[1]Tipe Plate'!$C:$D,2,FALSE)</f>
        <v>Grid Casting</v>
      </c>
      <c r="S353" s="4">
        <f>VLOOKUP(L353,'[1]Plate Infor'!$B:$F,5,FALSE)*D353</f>
        <v>2304</v>
      </c>
      <c r="T353" s="4">
        <f>IFERROR(VLOOKUP(IF(MID(Q353,3,1)="F","W-UNPL-"&amp;RIGHT(Q353,20),Q353),'[1]Data Pule'!$C:$E,3,FALSE),0)*S353</f>
        <v>264.96000000000004</v>
      </c>
    </row>
    <row r="354" spans="3:20" x14ac:dyDescent="0.35">
      <c r="C354" s="1" t="s">
        <v>317</v>
      </c>
      <c r="D354">
        <v>72</v>
      </c>
      <c r="E354" s="3" t="str">
        <f>MID(C354,5,1)</f>
        <v>W</v>
      </c>
      <c r="F354" s="3"/>
      <c r="G354" s="3"/>
      <c r="H354" s="3"/>
      <c r="I354" s="3"/>
      <c r="J354" s="3"/>
      <c r="K354" s="3"/>
      <c r="L354" s="1" t="str">
        <f>MID(C354,3,17)</f>
        <v>AMWP-90D26RX-B3P3</v>
      </c>
      <c r="M354" s="1" t="str">
        <f>VLOOKUP(L354,'[1]Plate Infor'!$B:$C,2,FALSE)</f>
        <v>W-UNPL-WG83PXX-L65F-00-7C00</v>
      </c>
      <c r="N354" s="1" t="str">
        <f>VLOOKUP(MID(M354,8,4),'[1]Tipe Plate'!$C:$D,2,FALSE)</f>
        <v>Grid Punching</v>
      </c>
      <c r="O354" s="4">
        <f>VLOOKUP(L354,'[1]Plate Infor'!$B:$D,3,FALSE)*D354</f>
        <v>1512</v>
      </c>
      <c r="P354" s="4">
        <f>IFERROR(VLOOKUP(IF(MID(M354,3,1)="F","W-UNPL-"&amp;RIGHT(M354,20),M354),'[1]Data Pule'!$C:$E,3,FALSE),0)*O354</f>
        <v>255.98159999999996</v>
      </c>
      <c r="Q354" s="1" t="str">
        <f>VLOOKUP(L354,'[1]Plate Infor'!$B:$E,4,FALSE)</f>
        <v>W-UNPL-WG87NXX-T3AF-00-7C00</v>
      </c>
      <c r="R354" s="1" t="str">
        <f>VLOOKUP(MID(Q354,8,4),'[1]Tipe Plate'!$C:$D,2,FALSE)</f>
        <v>Grid Punching</v>
      </c>
      <c r="S354" s="4">
        <f>VLOOKUP(L354,'[1]Plate Infor'!$B:$F,5,FALSE)*D354</f>
        <v>1296</v>
      </c>
      <c r="T354" s="4">
        <f>IFERROR(VLOOKUP(IF(MID(Q354,3,1)="F","W-UNPL-"&amp;RIGHT(Q354,20),Q354),'[1]Data Pule'!$C:$E,3,FALSE),0)*S354</f>
        <v>169.38719999999998</v>
      </c>
    </row>
    <row r="355" spans="3:20" x14ac:dyDescent="0.35">
      <c r="C355" s="1" t="s">
        <v>318</v>
      </c>
      <c r="D355">
        <v>72</v>
      </c>
      <c r="E355" s="3" t="str">
        <f>MID(C355,5,1)</f>
        <v>W</v>
      </c>
      <c r="F355" s="3"/>
      <c r="G355" s="3"/>
      <c r="H355" s="3"/>
      <c r="I355" s="3"/>
      <c r="J355" s="3"/>
      <c r="K355" s="3"/>
      <c r="L355" s="1" t="str">
        <f>MID(C355,3,17)</f>
        <v>AMWP-90D26LX-B3P3</v>
      </c>
      <c r="M355" s="1" t="str">
        <f>VLOOKUP(L355,'[1]Plate Infor'!$B:$C,2,FALSE)</f>
        <v>W-UNPL-WG83PXX-L65F-00-7C00</v>
      </c>
      <c r="N355" s="1" t="str">
        <f>VLOOKUP(MID(M355,8,4),'[1]Tipe Plate'!$C:$D,2,FALSE)</f>
        <v>Grid Punching</v>
      </c>
      <c r="O355" s="4">
        <f>VLOOKUP(L355,'[1]Plate Infor'!$B:$D,3,FALSE)*D355</f>
        <v>1512</v>
      </c>
      <c r="P355" s="4">
        <f>IFERROR(VLOOKUP(IF(MID(M355,3,1)="F","W-UNPL-"&amp;RIGHT(M355,20),M355),'[1]Data Pule'!$C:$E,3,FALSE),0)*O355</f>
        <v>255.98159999999996</v>
      </c>
      <c r="Q355" s="1" t="str">
        <f>VLOOKUP(L355,'[1]Plate Infor'!$B:$E,4,FALSE)</f>
        <v>W-UNPL-WG87NXX-T3AF-00-7C00</v>
      </c>
      <c r="R355" s="1" t="str">
        <f>VLOOKUP(MID(Q355,8,4),'[1]Tipe Plate'!$C:$D,2,FALSE)</f>
        <v>Grid Punching</v>
      </c>
      <c r="S355" s="4">
        <f>VLOOKUP(L355,'[1]Plate Infor'!$B:$F,5,FALSE)*D355</f>
        <v>1296</v>
      </c>
      <c r="T355" s="4">
        <f>IFERROR(VLOOKUP(IF(MID(Q355,3,1)="F","W-UNPL-"&amp;RIGHT(Q355,20),Q355),'[1]Data Pule'!$C:$E,3,FALSE),0)*S355</f>
        <v>169.38719999999998</v>
      </c>
    </row>
    <row r="356" spans="3:20" x14ac:dyDescent="0.35">
      <c r="C356" s="1" t="s">
        <v>319</v>
      </c>
      <c r="D356">
        <v>189</v>
      </c>
      <c r="E356" s="3" t="str">
        <f>MID(C356,5,1)</f>
        <v>W</v>
      </c>
      <c r="F356" s="3"/>
      <c r="G356" s="3"/>
      <c r="H356" s="3"/>
      <c r="I356" s="3"/>
      <c r="J356" s="3"/>
      <c r="K356" s="3"/>
      <c r="L356" s="1" t="str">
        <f>MID(C356,3,17)</f>
        <v>AMWP-110D31R-B6P3</v>
      </c>
      <c r="M356" s="1" t="str">
        <f>VLOOKUP(L356,'[1]Plate Infor'!$B:$C,2,FALSE)</f>
        <v>W-UNPL-WG83PXX-L65F-00-7C00</v>
      </c>
      <c r="N356" s="1" t="str">
        <f>VLOOKUP(MID(M356,8,4),'[1]Tipe Plate'!$C:$D,2,FALSE)</f>
        <v>Grid Punching</v>
      </c>
      <c r="O356" s="4">
        <f>VLOOKUP(L356,'[1]Plate Infor'!$B:$D,3,FALSE)*D356</f>
        <v>4536</v>
      </c>
      <c r="P356" s="4">
        <f>IFERROR(VLOOKUP(IF(MID(M356,3,1)="F","W-UNPL-"&amp;RIGHT(M356,20),M356),'[1]Data Pule'!$C:$E,3,FALSE),0)*O356</f>
        <v>767.94479999999987</v>
      </c>
      <c r="Q356" s="1" t="str">
        <f>VLOOKUP(L356,'[1]Plate Infor'!$B:$E,4,FALSE)</f>
        <v>W-UNPL-WG87NXX-T3AF-00-7C00</v>
      </c>
      <c r="R356" s="1" t="str">
        <f>VLOOKUP(MID(Q356,8,4),'[1]Tipe Plate'!$C:$D,2,FALSE)</f>
        <v>Grid Punching</v>
      </c>
      <c r="S356" s="4">
        <f>VLOOKUP(L356,'[1]Plate Infor'!$B:$F,5,FALSE)*D356</f>
        <v>4536</v>
      </c>
      <c r="T356" s="4">
        <f>IFERROR(VLOOKUP(IF(MID(Q356,3,1)="F","W-UNPL-"&amp;RIGHT(Q356,20),Q356),'[1]Data Pule'!$C:$E,3,FALSE),0)*S356</f>
        <v>592.85519999999997</v>
      </c>
    </row>
    <row r="357" spans="3:20" x14ac:dyDescent="0.35">
      <c r="C357" s="1" t="s">
        <v>320</v>
      </c>
      <c r="D357">
        <v>252</v>
      </c>
      <c r="E357" s="3" t="str">
        <f>MID(C357,5,1)</f>
        <v>W</v>
      </c>
      <c r="F357" s="3"/>
      <c r="G357" s="3"/>
      <c r="H357" s="3"/>
      <c r="I357" s="3"/>
      <c r="J357" s="3"/>
      <c r="K357" s="3"/>
      <c r="L357" s="1" t="str">
        <f>MID(C357,3,17)</f>
        <v>AMWP-115E41R-B7C3</v>
      </c>
      <c r="M357" s="1" t="str">
        <f>VLOOKUP(L357,'[1]Plate Infor'!$B:$C,2,FALSE)</f>
        <v>W-UNPL-YG8079P-L650-02-7S00</v>
      </c>
      <c r="N357" s="1" t="str">
        <f>VLOOKUP(MID(M357,8,4),'[1]Tipe Plate'!$C:$D,2,FALSE)</f>
        <v>Grid Casting</v>
      </c>
      <c r="O357" s="4">
        <f>VLOOKUP(L357,'[1]Plate Infor'!$B:$D,3,FALSE)*D357</f>
        <v>6048</v>
      </c>
      <c r="P357" s="4">
        <f>IFERROR(VLOOKUP(IF(MID(M357,3,1)="F","W-UNPL-"&amp;RIGHT(M357,20),M357),'[1]Data Pule'!$C:$E,3,FALSE),0)*O357</f>
        <v>955.58400000000006</v>
      </c>
      <c r="Q357" s="1" t="str">
        <f>VLOOKUP(L357,'[1]Plate Infor'!$B:$E,4,FALSE)</f>
        <v>W-UNPL-YG85NXX-T3A0-02-7S00</v>
      </c>
      <c r="R357" s="1" t="str">
        <f>VLOOKUP(MID(Q357,8,4),'[1]Tipe Plate'!$C:$D,2,FALSE)</f>
        <v>Grid Casting</v>
      </c>
      <c r="S357" s="4">
        <f>VLOOKUP(L357,'[1]Plate Infor'!$B:$F,5,FALSE)*D357</f>
        <v>6804</v>
      </c>
      <c r="T357" s="4">
        <f>IFERROR(VLOOKUP(IF(MID(Q357,3,1)="F","W-UNPL-"&amp;RIGHT(Q357,20),Q357),'[1]Data Pule'!$C:$E,3,FALSE),0)*S357</f>
        <v>889.28279999999984</v>
      </c>
    </row>
    <row r="358" spans="3:20" x14ac:dyDescent="0.35">
      <c r="C358" s="1" t="s">
        <v>321</v>
      </c>
      <c r="D358">
        <v>42</v>
      </c>
      <c r="E358" s="3" t="str">
        <f>MID(C358,5,1)</f>
        <v>W</v>
      </c>
      <c r="F358" s="3"/>
      <c r="G358" s="3"/>
      <c r="H358" s="3"/>
      <c r="I358" s="3"/>
      <c r="J358" s="3"/>
      <c r="K358" s="3"/>
      <c r="L358" s="1" t="str">
        <f>MID(C358,3,17)</f>
        <v>AMWP-115E41L-B7C3</v>
      </c>
      <c r="M358" s="1" t="str">
        <f>VLOOKUP(L358,'[1]Plate Infor'!$B:$C,2,FALSE)</f>
        <v>W-UNPL-YG8079P-L650-02-7S00</v>
      </c>
      <c r="N358" s="1" t="str">
        <f>VLOOKUP(MID(M358,8,4),'[1]Tipe Plate'!$C:$D,2,FALSE)</f>
        <v>Grid Casting</v>
      </c>
      <c r="O358" s="4">
        <f>VLOOKUP(L358,'[1]Plate Infor'!$B:$D,3,FALSE)*D358</f>
        <v>1008</v>
      </c>
      <c r="P358" s="4">
        <f>IFERROR(VLOOKUP(IF(MID(M358,3,1)="F","W-UNPL-"&amp;RIGHT(M358,20),M358),'[1]Data Pule'!$C:$E,3,FALSE),0)*O358</f>
        <v>159.26400000000001</v>
      </c>
      <c r="Q358" s="1" t="str">
        <f>VLOOKUP(L358,'[1]Plate Infor'!$B:$E,4,FALSE)</f>
        <v>W-UNPL-YG85NXX-T3A0-02-7S00</v>
      </c>
      <c r="R358" s="1" t="str">
        <f>VLOOKUP(MID(Q358,8,4),'[1]Tipe Plate'!$C:$D,2,FALSE)</f>
        <v>Grid Casting</v>
      </c>
      <c r="S358" s="4">
        <f>VLOOKUP(L358,'[1]Plate Infor'!$B:$F,5,FALSE)*D358</f>
        <v>1134</v>
      </c>
      <c r="T358" s="4">
        <f>IFERROR(VLOOKUP(IF(MID(Q358,3,1)="F","W-UNPL-"&amp;RIGHT(Q358,20),Q358),'[1]Data Pule'!$C:$E,3,FALSE),0)*S358</f>
        <v>148.21379999999999</v>
      </c>
    </row>
    <row r="359" spans="3:20" x14ac:dyDescent="0.35">
      <c r="C359" s="1" t="s">
        <v>322</v>
      </c>
      <c r="D359">
        <v>288</v>
      </c>
      <c r="E359" s="3" t="str">
        <f>MID(C359,5,1)</f>
        <v>W</v>
      </c>
      <c r="F359" s="3"/>
      <c r="G359" s="3"/>
      <c r="H359" s="3"/>
      <c r="I359" s="3"/>
      <c r="J359" s="3"/>
      <c r="K359" s="3"/>
      <c r="L359" s="1" t="str">
        <f>MID(C359,3,17)</f>
        <v>AMWP-135F51X-C1C3</v>
      </c>
      <c r="M359" s="1" t="str">
        <f>VLOOKUP(L359,'[1]Plate Infor'!$B:$C,2,FALSE)</f>
        <v>W-UNPL-YG8079P-L650-02-7S00</v>
      </c>
      <c r="N359" s="1" t="str">
        <f>VLOOKUP(MID(M359,8,4),'[1]Tipe Plate'!$C:$D,2,FALSE)</f>
        <v>Grid Casting</v>
      </c>
      <c r="O359" s="4">
        <f>VLOOKUP(L359,'[1]Plate Infor'!$B:$D,3,FALSE)*D359</f>
        <v>8640</v>
      </c>
      <c r="P359" s="4">
        <f>IFERROR(VLOOKUP(IF(MID(M359,3,1)="F","W-UNPL-"&amp;RIGHT(M359,20),M359),'[1]Data Pule'!$C:$E,3,FALSE),0)*O359</f>
        <v>1365.1200000000001</v>
      </c>
      <c r="Q359" s="1" t="str">
        <f>VLOOKUP(L359,'[1]Plate Infor'!$B:$E,4,FALSE)</f>
        <v>W-UNPL-YG85NXX-T3A0-02-7S00</v>
      </c>
      <c r="R359" s="1" t="str">
        <f>VLOOKUP(MID(Q359,8,4),'[1]Tipe Plate'!$C:$D,2,FALSE)</f>
        <v>Grid Casting</v>
      </c>
      <c r="S359" s="4">
        <f>VLOOKUP(L359,'[1]Plate Infor'!$B:$F,5,FALSE)*D359</f>
        <v>9504</v>
      </c>
      <c r="T359" s="4">
        <f>IFERROR(VLOOKUP(IF(MID(Q359,3,1)="F","W-UNPL-"&amp;RIGHT(Q359,20),Q359),'[1]Data Pule'!$C:$E,3,FALSE),0)*S359</f>
        <v>1242.1727999999998</v>
      </c>
    </row>
    <row r="360" spans="3:20" x14ac:dyDescent="0.35">
      <c r="C360" s="1" t="s">
        <v>323</v>
      </c>
      <c r="D360">
        <v>150</v>
      </c>
      <c r="E360" s="3" t="str">
        <f>MID(C360,5,1)</f>
        <v>W</v>
      </c>
      <c r="F360" s="3"/>
      <c r="G360" s="3"/>
      <c r="H360" s="3"/>
      <c r="I360" s="3"/>
      <c r="J360" s="3"/>
      <c r="K360" s="3"/>
      <c r="L360" s="1" t="str">
        <f>MID(C360,3,17)</f>
        <v>AMWP-170G51X-C7C3</v>
      </c>
      <c r="M360" s="1" t="str">
        <f>VLOOKUP(L360,'[1]Plate Infor'!$B:$C,2,FALSE)</f>
        <v>W-UNPL-YG82PXX-L650-02-7S00</v>
      </c>
      <c r="N360" s="1" t="str">
        <f>VLOOKUP(MID(M360,8,4),'[1]Tipe Plate'!$C:$D,2,FALSE)</f>
        <v>Grid Casting</v>
      </c>
      <c r="O360" s="4">
        <f>VLOOKUP(L360,'[1]Plate Infor'!$B:$D,3,FALSE)*D360</f>
        <v>6300</v>
      </c>
      <c r="P360" s="4">
        <f>IFERROR(VLOOKUP(IF(MID(M360,3,1)="F","W-UNPL-"&amp;RIGHT(M360,20),M360),'[1]Data Pule'!$C:$E,3,FALSE),0)*O360</f>
        <v>866.24999999999989</v>
      </c>
      <c r="Q360" s="1" t="str">
        <f>VLOOKUP(L360,'[1]Plate Infor'!$B:$E,4,FALSE)</f>
        <v>W-UNPL-YG85NXX-T3A0-02-7S00</v>
      </c>
      <c r="R360" s="1" t="str">
        <f>VLOOKUP(MID(Q360,8,4),'[1]Tipe Plate'!$C:$D,2,FALSE)</f>
        <v>Grid Casting</v>
      </c>
      <c r="S360" s="4">
        <f>VLOOKUP(L360,'[1]Plate Infor'!$B:$F,5,FALSE)*D360</f>
        <v>5850</v>
      </c>
      <c r="T360" s="4">
        <f>IFERROR(VLOOKUP(IF(MID(Q360,3,1)="F","W-UNPL-"&amp;RIGHT(Q360,20),Q360),'[1]Data Pule'!$C:$E,3,FALSE),0)*S360</f>
        <v>764.59499999999991</v>
      </c>
    </row>
    <row r="361" spans="3:20" x14ac:dyDescent="0.35">
      <c r="C361" s="1" t="s">
        <v>324</v>
      </c>
      <c r="D361">
        <v>48</v>
      </c>
      <c r="E361" s="3" t="str">
        <f>MID(C361,5,1)</f>
        <v>W</v>
      </c>
      <c r="F361" s="3"/>
      <c r="G361" s="3"/>
      <c r="H361" s="3"/>
      <c r="I361" s="3"/>
      <c r="J361" s="3"/>
      <c r="K361" s="3"/>
      <c r="L361" s="1" t="str">
        <f>MID(C361,3,17)</f>
        <v>AMWP-210H52X-D7C3</v>
      </c>
      <c r="M361" s="1" t="str">
        <f>VLOOKUP(L361,'[1]Plate Infor'!$B:$C,2,FALSE)</f>
        <v>W-UNPL-YG82PXX-L650-02-7S00</v>
      </c>
      <c r="N361" s="1" t="str">
        <f>VLOOKUP(MID(M361,8,4),'[1]Tipe Plate'!$C:$D,2,FALSE)</f>
        <v>Grid Casting</v>
      </c>
      <c r="O361" s="4">
        <f>VLOOKUP(L361,'[1]Plate Infor'!$B:$D,3,FALSE)*D361</f>
        <v>2736</v>
      </c>
      <c r="P361" s="4">
        <f>IFERROR(VLOOKUP(IF(MID(M361,3,1)="F","W-UNPL-"&amp;RIGHT(M361,20),M361),'[1]Data Pule'!$C:$E,3,FALSE),0)*O361</f>
        <v>376.19999999999993</v>
      </c>
      <c r="Q361" s="1" t="str">
        <f>VLOOKUP(L361,'[1]Plate Infor'!$B:$E,4,FALSE)</f>
        <v>W-UNPL-YG85NXX-T3A0-02-7S00</v>
      </c>
      <c r="R361" s="1" t="str">
        <f>VLOOKUP(MID(Q361,8,4),'[1]Tipe Plate'!$C:$D,2,FALSE)</f>
        <v>Grid Casting</v>
      </c>
      <c r="S361" s="4">
        <f>VLOOKUP(L361,'[1]Plate Infor'!$B:$F,5,FALSE)*D361</f>
        <v>2592</v>
      </c>
      <c r="T361" s="4">
        <f>IFERROR(VLOOKUP(IF(MID(Q361,3,1)="F","W-UNPL-"&amp;RIGHT(Q361,20),Q361),'[1]Data Pule'!$C:$E,3,FALSE),0)*S361</f>
        <v>338.77439999999996</v>
      </c>
    </row>
    <row r="362" spans="3:20" x14ac:dyDescent="0.35">
      <c r="C362" s="1" t="s">
        <v>299</v>
      </c>
      <c r="D362">
        <v>30</v>
      </c>
      <c r="E362" s="3" t="str">
        <f>MID(C362,5,1)</f>
        <v>U</v>
      </c>
      <c r="F362" s="3"/>
      <c r="G362" s="3"/>
      <c r="H362" s="3"/>
      <c r="I362" s="3"/>
      <c r="J362" s="3"/>
      <c r="K362" s="3"/>
      <c r="L362" s="1" t="str">
        <f>MID(C362,3,17)</f>
        <v>ACUP-145G51X-C3C5</v>
      </c>
      <c r="M362" s="1" t="str">
        <f>VLOOKUP(L362,'[1]Plate Infor'!$B:$C,2,FALSE)</f>
        <v>W-UNPL-CG82PXX-L870-02-7S00</v>
      </c>
      <c r="N362" s="1" t="str">
        <f>VLOOKUP(MID(M362,8,4),'[1]Tipe Plate'!$C:$D,2,FALSE)</f>
        <v>Grid Casting</v>
      </c>
      <c r="O362" s="4">
        <f>VLOOKUP(L362,'[1]Plate Infor'!$B:$D,3,FALSE)*D362</f>
        <v>990</v>
      </c>
      <c r="P362" s="4">
        <f>IFERROR(VLOOKUP(IF(MID(M362,3,1)="F","W-UNPL-"&amp;RIGHT(M362,20),M362),'[1]Data Pule'!$C:$E,3,FALSE),0)*O362</f>
        <v>127.21499999999997</v>
      </c>
      <c r="Q362" s="1" t="str">
        <f>VLOOKUP(L362,'[1]Plate Infor'!$B:$E,4,FALSE)</f>
        <v>W-UNPL-CG87NXX-T3L0-02-7S00</v>
      </c>
      <c r="R362" s="1" t="str">
        <f>VLOOKUP(MID(Q362,8,4),'[1]Tipe Plate'!$C:$D,2,FALSE)</f>
        <v>Grid Casting</v>
      </c>
      <c r="S362" s="4">
        <f>VLOOKUP(L362,'[1]Plate Infor'!$B:$F,5,FALSE)*D362</f>
        <v>1080</v>
      </c>
      <c r="T362" s="4">
        <f>IFERROR(VLOOKUP(IF(MID(Q362,3,1)="F","W-UNPL-"&amp;RIGHT(Q362,20),Q362),'[1]Data Pule'!$C:$E,3,FALSE),0)*S362</f>
        <v>124.2</v>
      </c>
    </row>
    <row r="363" spans="3:20" x14ac:dyDescent="0.35">
      <c r="C363" s="1" t="s">
        <v>300</v>
      </c>
      <c r="D363">
        <v>30</v>
      </c>
      <c r="E363" s="3" t="str">
        <f>MID(C363,5,1)</f>
        <v>U</v>
      </c>
      <c r="F363" s="3"/>
      <c r="G363" s="3"/>
      <c r="H363" s="3"/>
      <c r="I363" s="3"/>
      <c r="J363" s="3"/>
      <c r="K363" s="3"/>
      <c r="L363" s="1" t="str">
        <f>MID(C363,3,17)</f>
        <v>ACUP-145G51X-C7C3</v>
      </c>
      <c r="M363" s="1" t="str">
        <f>VLOOKUP(L363,'[1]Plate Infor'!$B:$C,2,FALSE)</f>
        <v>W-UNPL-CG82PXX-L870-02-7S00</v>
      </c>
      <c r="N363" s="1" t="str">
        <f>VLOOKUP(MID(M363,8,4),'[1]Tipe Plate'!$C:$D,2,FALSE)</f>
        <v>Grid Casting</v>
      </c>
      <c r="O363" s="4">
        <f>VLOOKUP(L363,'[1]Plate Infor'!$B:$D,3,FALSE)*D363</f>
        <v>1170</v>
      </c>
      <c r="P363" s="4">
        <f>IFERROR(VLOOKUP(IF(MID(M363,3,1)="F","W-UNPL-"&amp;RIGHT(M363,20),M363),'[1]Data Pule'!$C:$E,3,FALSE),0)*O363</f>
        <v>150.34499999999997</v>
      </c>
      <c r="Q363" s="1" t="str">
        <f>VLOOKUP(L363,'[1]Plate Infor'!$B:$E,4,FALSE)</f>
        <v>W-UNPL-CG87NXX-T3L0-02-7S00</v>
      </c>
      <c r="R363" s="1" t="str">
        <f>VLOOKUP(MID(Q363,8,4),'[1]Tipe Plate'!$C:$D,2,FALSE)</f>
        <v>Grid Casting</v>
      </c>
      <c r="S363" s="4">
        <f>VLOOKUP(L363,'[1]Plate Infor'!$B:$F,5,FALSE)*D363</f>
        <v>1260</v>
      </c>
      <c r="T363" s="4">
        <f>IFERROR(VLOOKUP(IF(MID(Q363,3,1)="F","W-UNPL-"&amp;RIGHT(Q363,20),Q363),'[1]Data Pule'!$C:$E,3,FALSE),0)*S363</f>
        <v>144.9</v>
      </c>
    </row>
    <row r="364" spans="3:20" x14ac:dyDescent="0.35">
      <c r="C364" s="1" t="s">
        <v>303</v>
      </c>
      <c r="D364">
        <v>135</v>
      </c>
      <c r="E364" s="3" t="str">
        <f>MID(C364,5,1)</f>
        <v>U</v>
      </c>
      <c r="F364" s="3"/>
      <c r="G364" s="3"/>
      <c r="H364" s="3"/>
      <c r="I364" s="3"/>
      <c r="J364" s="3"/>
      <c r="K364" s="3"/>
      <c r="L364" s="1" t="str">
        <f>MID(C364,3,17)</f>
        <v>AMUP-36B20LX-A9P4</v>
      </c>
      <c r="M364" s="1" t="str">
        <f>VLOOKUP(L364,'[1]Plate Infor'!$B:$C,2,FALSE)</f>
        <v>W-UNPL-WM84PXX-L65F-00-7S00</v>
      </c>
      <c r="N364" s="1" t="str">
        <f>VLOOKUP(MID(M364,8,4),'[1]Tipe Plate'!$C:$D,2,FALSE)</f>
        <v>Grid Casting</v>
      </c>
      <c r="O364" s="4">
        <f>VLOOKUP(L364,'[1]Plate Infor'!$B:$D,3,FALSE)*D364</f>
        <v>1620</v>
      </c>
      <c r="P364" s="4">
        <f>IFERROR(VLOOKUP(IF(MID(M364,3,1)="F","W-UNPL-"&amp;RIGHT(M364,20),M364),'[1]Data Pule'!$C:$E,3,FALSE),0)*O364</f>
        <v>184.518</v>
      </c>
      <c r="Q364" s="1" t="str">
        <f>VLOOKUP(L364,'[1]Plate Infor'!$B:$E,4,FALSE)</f>
        <v>W-UNPL-WM85NXX-T3AF-00-7S00</v>
      </c>
      <c r="R364" s="1" t="str">
        <f>VLOOKUP(MID(Q364,8,4),'[1]Tipe Plate'!$C:$D,2,FALSE)</f>
        <v>Grid Punching</v>
      </c>
      <c r="S364" s="4">
        <f>VLOOKUP(L364,'[1]Plate Infor'!$B:$F,5,FALSE)*D364</f>
        <v>2025</v>
      </c>
      <c r="T364" s="4">
        <f>IFERROR(VLOOKUP(IF(MID(Q364,3,1)="F","W-UNPL-"&amp;RIGHT(Q364,20),Q364),'[1]Data Pule'!$C:$E,3,FALSE),0)*S364</f>
        <v>215.25750000000002</v>
      </c>
    </row>
    <row r="365" spans="3:20" x14ac:dyDescent="0.35">
      <c r="C365" s="1" t="s">
        <v>307</v>
      </c>
      <c r="D365">
        <v>96</v>
      </c>
      <c r="E365" s="3" t="str">
        <f>MID(C365,5,1)</f>
        <v>U</v>
      </c>
      <c r="F365" s="3"/>
      <c r="G365" s="3"/>
      <c r="H365" s="3"/>
      <c r="I365" s="3"/>
      <c r="J365" s="3"/>
      <c r="K365" s="3"/>
      <c r="L365" s="1" t="str">
        <f>MID(C365,3,17)</f>
        <v>AVUP-65D26LX-B0A4</v>
      </c>
      <c r="M365" s="1" t="str">
        <f>VLOOKUP(L365,'[1]Plate Infor'!$B:$C,2,FALSE)</f>
        <v>W-UNPL-CG85EPX-L870-02-7C00</v>
      </c>
      <c r="N365" s="1" t="str">
        <f>VLOOKUP(MID(M365,8,4),'[1]Tipe Plate'!$C:$D,2,FALSE)</f>
        <v>Grid Casting</v>
      </c>
      <c r="O365" s="4">
        <f>VLOOKUP(L365,'[1]Plate Infor'!$B:$D,3,FALSE)*D365</f>
        <v>1440</v>
      </c>
      <c r="P365" s="4">
        <f>IFERROR(VLOOKUP(IF(MID(M365,3,1)="F","W-UNPL-"&amp;RIGHT(M365,20),M365),'[1]Data Pule'!$C:$E,3,FALSE),0)*O365</f>
        <v>175.96800000000002</v>
      </c>
      <c r="Q365" s="1" t="str">
        <f>VLOOKUP(L365,'[1]Plate Infor'!$B:$E,4,FALSE)</f>
        <v>W-UNPL-WG87NXX-T3AF-00-7C00</v>
      </c>
      <c r="R365" s="1" t="str">
        <f>VLOOKUP(MID(Q365,8,4),'[1]Tipe Plate'!$C:$D,2,FALSE)</f>
        <v>Grid Punching</v>
      </c>
      <c r="S365" s="4">
        <f>VLOOKUP(L365,'[1]Plate Infor'!$B:$F,5,FALSE)*D365</f>
        <v>1440</v>
      </c>
      <c r="T365" s="4">
        <f>IFERROR(VLOOKUP(IF(MID(Q365,3,1)="F","W-UNPL-"&amp;RIGHT(Q365,20),Q365),'[1]Data Pule'!$C:$E,3,FALSE),0)*S365</f>
        <v>188.20799999999997</v>
      </c>
    </row>
    <row r="366" spans="3:20" x14ac:dyDescent="0.35">
      <c r="C366" s="1" t="s">
        <v>325</v>
      </c>
      <c r="D366">
        <v>104</v>
      </c>
      <c r="E366" s="3" t="str">
        <f>MID(C366,5,1)</f>
        <v>U</v>
      </c>
      <c r="F366" s="3"/>
      <c r="G366" s="3"/>
      <c r="H366" s="3"/>
      <c r="I366" s="3"/>
      <c r="J366" s="3"/>
      <c r="K366" s="3"/>
      <c r="L366" s="1" t="str">
        <f>MID(C366,3,17)</f>
        <v>AMUP-55559LX-B0C3</v>
      </c>
      <c r="M366" s="1" t="str">
        <f>VLOOKUP(L366,'[1]Plate Infor'!$B:$C,2,FALSE)</f>
        <v>W-UNPL-YG82HDP-L650-02-7S00</v>
      </c>
      <c r="N366" s="1" t="str">
        <f>VLOOKUP(MID(M366,8,4),'[1]Tipe Plate'!$C:$D,2,FALSE)</f>
        <v>Grid Casting</v>
      </c>
      <c r="O366" s="4">
        <f>VLOOKUP(L366,'[1]Plate Infor'!$B:$D,3,FALSE)*D366</f>
        <v>1560</v>
      </c>
      <c r="P366" s="4">
        <f>IFERROR(VLOOKUP(IF(MID(M366,3,1)="F","W-UNPL-"&amp;RIGHT(M366,20),M366),'[1]Data Pule'!$C:$E,3,FALSE),0)*O366</f>
        <v>214.49999999999997</v>
      </c>
      <c r="Q366" s="1" t="str">
        <f>VLOOKUP(L366,'[1]Plate Infor'!$B:$E,4,FALSE)</f>
        <v>W-UNPL-YG85NXX-T3A0-02-7S00</v>
      </c>
      <c r="R366" s="1" t="str">
        <f>VLOOKUP(MID(Q366,8,4),'[1]Tipe Plate'!$C:$D,2,FALSE)</f>
        <v>Grid Casting</v>
      </c>
      <c r="S366" s="4">
        <f>VLOOKUP(L366,'[1]Plate Infor'!$B:$F,5,FALSE)*D366</f>
        <v>1560</v>
      </c>
      <c r="T366" s="4">
        <f>IFERROR(VLOOKUP(IF(MID(Q366,3,1)="F","W-UNPL-"&amp;RIGHT(Q366,20),Q366),'[1]Data Pule'!$C:$E,3,FALSE),0)*S366</f>
        <v>203.89199999999997</v>
      </c>
    </row>
    <row r="367" spans="3:20" x14ac:dyDescent="0.35">
      <c r="C367" s="1" t="s">
        <v>326</v>
      </c>
      <c r="D367">
        <v>60</v>
      </c>
      <c r="E367" s="3" t="str">
        <f>MID(C367,5,1)</f>
        <v>U</v>
      </c>
      <c r="F367" s="3"/>
      <c r="G367" s="3"/>
      <c r="H367" s="3"/>
      <c r="I367" s="3"/>
      <c r="J367" s="3"/>
      <c r="K367" s="3"/>
      <c r="L367" s="1" t="str">
        <f>MID(C367,3,17)</f>
        <v>AMUP-60038LX-B8C3</v>
      </c>
      <c r="M367" s="1" t="str">
        <f>VLOOKUP(L367,'[1]Plate Infor'!$B:$C,2,FALSE)</f>
        <v>W-UNPL-YG79HDP-L650-02-7S00</v>
      </c>
      <c r="N367" s="1" t="str">
        <f>VLOOKUP(MID(M367,8,4),'[1]Tipe Plate'!$C:$D,2,FALSE)</f>
        <v>Grid Casting</v>
      </c>
      <c r="O367" s="4">
        <f>VLOOKUP(L367,'[1]Plate Infor'!$B:$D,3,FALSE)*D367</f>
        <v>1620</v>
      </c>
      <c r="P367" s="4">
        <f>IFERROR(VLOOKUP(IF(MID(M367,3,1)="F","W-UNPL-"&amp;RIGHT(M367,20),M367),'[1]Data Pule'!$C:$E,3,FALSE),0)*O367</f>
        <v>233.76599999999996</v>
      </c>
      <c r="Q367" s="1" t="str">
        <f>VLOOKUP(L367,'[1]Plate Infor'!$B:$E,4,FALSE)</f>
        <v>W-UNPL-YG85NXX-T3A0-02-7S00</v>
      </c>
      <c r="R367" s="1" t="str">
        <f>VLOOKUP(MID(Q367,8,4),'[1]Tipe Plate'!$C:$D,2,FALSE)</f>
        <v>Grid Casting</v>
      </c>
      <c r="S367" s="4">
        <f>VLOOKUP(L367,'[1]Plate Infor'!$B:$F,5,FALSE)*D367</f>
        <v>1620</v>
      </c>
      <c r="T367" s="4">
        <f>IFERROR(VLOOKUP(IF(MID(Q367,3,1)="F","W-UNPL-"&amp;RIGHT(Q367,20),Q367),'[1]Data Pule'!$C:$E,3,FALSE),0)*S367</f>
        <v>211.73399999999998</v>
      </c>
    </row>
    <row r="368" spans="3:20" x14ac:dyDescent="0.35">
      <c r="C368" s="1" t="s">
        <v>327</v>
      </c>
      <c r="D368">
        <v>84</v>
      </c>
      <c r="E368" s="3" t="str">
        <f>MID(C368,5,1)</f>
        <v>U</v>
      </c>
      <c r="F368" s="3"/>
      <c r="G368" s="3"/>
      <c r="H368" s="3"/>
      <c r="I368" s="3"/>
      <c r="J368" s="3"/>
      <c r="K368" s="3"/>
      <c r="L368" s="1" t="str">
        <f>MID(C368,3,17)</f>
        <v>AMUP-95D31RX-B3P4</v>
      </c>
      <c r="M368" s="1" t="str">
        <f>VLOOKUP(L368,'[1]Plate Infor'!$B:$C,2,FALSE)</f>
        <v>W-UNPL-WG83PXX-L65F-00-7C00</v>
      </c>
      <c r="N368" s="1" t="str">
        <f>VLOOKUP(MID(M368,8,4),'[1]Tipe Plate'!$C:$D,2,FALSE)</f>
        <v>Grid Punching</v>
      </c>
      <c r="O368" s="4">
        <f>VLOOKUP(L368,'[1]Plate Infor'!$B:$D,3,FALSE)*D368</f>
        <v>1512</v>
      </c>
      <c r="P368" s="4">
        <f>IFERROR(VLOOKUP(IF(MID(M368,3,1)="F","W-UNPL-"&amp;RIGHT(M368,20),M368),'[1]Data Pule'!$C:$E,3,FALSE),0)*O368</f>
        <v>255.98159999999996</v>
      </c>
      <c r="Q368" s="1" t="str">
        <f>VLOOKUP(L368,'[1]Plate Infor'!$B:$E,4,FALSE)</f>
        <v>W-UNPL-WG87NXX-T3AF-00-7C00</v>
      </c>
      <c r="R368" s="1" t="str">
        <f>VLOOKUP(MID(Q368,8,4),'[1]Tipe Plate'!$C:$D,2,FALSE)</f>
        <v>Grid Punching</v>
      </c>
      <c r="S368" s="4">
        <f>VLOOKUP(L368,'[1]Plate Infor'!$B:$F,5,FALSE)*D368</f>
        <v>1764</v>
      </c>
      <c r="T368" s="4">
        <f>IFERROR(VLOOKUP(IF(MID(Q368,3,1)="F","W-UNPL-"&amp;RIGHT(Q368,20),Q368),'[1]Data Pule'!$C:$E,3,FALSE),0)*S368</f>
        <v>230.55479999999997</v>
      </c>
    </row>
    <row r="369" spans="3:20" x14ac:dyDescent="0.35">
      <c r="C369" s="1" t="s">
        <v>308</v>
      </c>
      <c r="D369">
        <v>84</v>
      </c>
      <c r="E369" s="3" t="str">
        <f>MID(C369,5,1)</f>
        <v>U</v>
      </c>
      <c r="F369" s="3"/>
      <c r="G369" s="3"/>
      <c r="H369" s="3"/>
      <c r="I369" s="3"/>
      <c r="J369" s="3"/>
      <c r="K369" s="3"/>
      <c r="L369" s="1" t="str">
        <f>MID(C369,3,17)</f>
        <v>AMUP-95D31LX-B3P4</v>
      </c>
      <c r="M369" s="1" t="str">
        <f>VLOOKUP(L369,'[1]Plate Infor'!$B:$C,2,FALSE)</f>
        <v>W-UNPL-WG83PXX-L65F-00-7C00</v>
      </c>
      <c r="N369" s="1" t="str">
        <f>VLOOKUP(MID(M369,8,4),'[1]Tipe Plate'!$C:$D,2,FALSE)</f>
        <v>Grid Punching</v>
      </c>
      <c r="O369" s="4">
        <f>VLOOKUP(L369,'[1]Plate Infor'!$B:$D,3,FALSE)*D369</f>
        <v>1512</v>
      </c>
      <c r="P369" s="4">
        <f>IFERROR(VLOOKUP(IF(MID(M369,3,1)="F","W-UNPL-"&amp;RIGHT(M369,20),M369),'[1]Data Pule'!$C:$E,3,FALSE),0)*O369</f>
        <v>255.98159999999996</v>
      </c>
      <c r="Q369" s="1" t="str">
        <f>VLOOKUP(L369,'[1]Plate Infor'!$B:$E,4,FALSE)</f>
        <v>W-UNPL-WG87NXX-T3AF-00-7C00</v>
      </c>
      <c r="R369" s="1" t="str">
        <f>VLOOKUP(MID(Q369,8,4),'[1]Tipe Plate'!$C:$D,2,FALSE)</f>
        <v>Grid Punching</v>
      </c>
      <c r="S369" s="4">
        <f>VLOOKUP(L369,'[1]Plate Infor'!$B:$F,5,FALSE)*D369</f>
        <v>1764</v>
      </c>
      <c r="T369" s="4">
        <f>IFERROR(VLOOKUP(IF(MID(Q369,3,1)="F","W-UNPL-"&amp;RIGHT(Q369,20),Q369),'[1]Data Pule'!$C:$E,3,FALSE),0)*S369</f>
        <v>230.55479999999997</v>
      </c>
    </row>
    <row r="370" spans="3:20" x14ac:dyDescent="0.35">
      <c r="C370" s="1" t="s">
        <v>328</v>
      </c>
      <c r="D370">
        <v>108</v>
      </c>
      <c r="E370" s="3" t="str">
        <f>MID(C370,5,1)</f>
        <v>U</v>
      </c>
      <c r="F370" s="3"/>
      <c r="G370" s="3"/>
      <c r="H370" s="3"/>
      <c r="I370" s="3"/>
      <c r="J370" s="3"/>
      <c r="K370" s="3"/>
      <c r="L370" s="1" t="str">
        <f>MID(C370,3,17)</f>
        <v>AMUP-135F51X-C1C3</v>
      </c>
      <c r="M370" s="1" t="str">
        <f>VLOOKUP(L370,'[1]Plate Infor'!$B:$C,2,FALSE)</f>
        <v>W-UNPL-YG8079P-L650-02-7S00</v>
      </c>
      <c r="N370" s="1" t="str">
        <f>VLOOKUP(MID(M370,8,4),'[1]Tipe Plate'!$C:$D,2,FALSE)</f>
        <v>Grid Casting</v>
      </c>
      <c r="O370" s="4">
        <f>VLOOKUP(L370,'[1]Plate Infor'!$B:$D,3,FALSE)*D370</f>
        <v>3240</v>
      </c>
      <c r="P370" s="4">
        <f>IFERROR(VLOOKUP(IF(MID(M370,3,1)="F","W-UNPL-"&amp;RIGHT(M370,20),M370),'[1]Data Pule'!$C:$E,3,FALSE),0)*O370</f>
        <v>511.92</v>
      </c>
      <c r="Q370" s="1" t="str">
        <f>VLOOKUP(L370,'[1]Plate Infor'!$B:$E,4,FALSE)</f>
        <v>W-UNPL-YG85NXX-T3A0-02-7S00</v>
      </c>
      <c r="R370" s="1" t="str">
        <f>VLOOKUP(MID(Q370,8,4),'[1]Tipe Plate'!$C:$D,2,FALSE)</f>
        <v>Grid Casting</v>
      </c>
      <c r="S370" s="4">
        <f>VLOOKUP(L370,'[1]Plate Infor'!$B:$F,5,FALSE)*D370</f>
        <v>3564</v>
      </c>
      <c r="T370" s="4">
        <f>IFERROR(VLOOKUP(IF(MID(Q370,3,1)="F","W-UNPL-"&amp;RIGHT(Q370,20),Q370),'[1]Data Pule'!$C:$E,3,FALSE),0)*S370</f>
        <v>465.81479999999993</v>
      </c>
    </row>
    <row r="371" spans="3:20" x14ac:dyDescent="0.35">
      <c r="C371" s="1" t="s">
        <v>329</v>
      </c>
      <c r="D371">
        <v>84</v>
      </c>
      <c r="E371" s="3" t="str">
        <f>MID(C371,5,1)</f>
        <v>U</v>
      </c>
      <c r="F371" s="3"/>
      <c r="G371" s="3"/>
      <c r="H371" s="3"/>
      <c r="I371" s="3"/>
      <c r="J371" s="3"/>
      <c r="K371" s="3"/>
      <c r="L371" s="1" t="str">
        <f>MID(C371,3,17)</f>
        <v>AMUP-125D31L-B8P3</v>
      </c>
      <c r="M371" s="1" t="str">
        <f>VLOOKUP(L371,'[1]Plate Infor'!$B:$C,2,FALSE)</f>
        <v>W-UNPL-WG83PXX-L65F-00-7C00</v>
      </c>
      <c r="N371" s="1" t="str">
        <f>VLOOKUP(MID(M371,8,4),'[1]Tipe Plate'!$C:$D,2,FALSE)</f>
        <v>Grid Punching</v>
      </c>
      <c r="O371" s="4">
        <f>VLOOKUP(L371,'[1]Plate Infor'!$B:$D,3,FALSE)*D371</f>
        <v>2268</v>
      </c>
      <c r="P371" s="4">
        <f>IFERROR(VLOOKUP(IF(MID(M371,3,1)="F","W-UNPL-"&amp;RIGHT(M371,20),M371),'[1]Data Pule'!$C:$E,3,FALSE),0)*O371</f>
        <v>383.97239999999994</v>
      </c>
      <c r="Q371" s="1" t="str">
        <f>VLOOKUP(L371,'[1]Plate Infor'!$B:$E,4,FALSE)</f>
        <v>W-UNPL-WG87NXX-T3AF-00-7C00</v>
      </c>
      <c r="R371" s="1" t="str">
        <f>VLOOKUP(MID(Q371,8,4),'[1]Tipe Plate'!$C:$D,2,FALSE)</f>
        <v>Grid Punching</v>
      </c>
      <c r="S371" s="4">
        <f>VLOOKUP(L371,'[1]Plate Infor'!$B:$F,5,FALSE)*D371</f>
        <v>2268</v>
      </c>
      <c r="T371" s="4">
        <f>IFERROR(VLOOKUP(IF(MID(Q371,3,1)="F","W-UNPL-"&amp;RIGHT(Q371,20),Q371),'[1]Data Pule'!$C:$E,3,FALSE),0)*S371</f>
        <v>296.42759999999998</v>
      </c>
    </row>
    <row r="372" spans="3:20" x14ac:dyDescent="0.35">
      <c r="C372" s="1" t="s">
        <v>330</v>
      </c>
      <c r="D372">
        <v>108</v>
      </c>
      <c r="E372" s="3" t="str">
        <f>MID(C372,5,1)</f>
        <v>U</v>
      </c>
      <c r="F372" s="3"/>
      <c r="G372" s="3"/>
      <c r="H372" s="3"/>
      <c r="I372" s="3"/>
      <c r="J372" s="3"/>
      <c r="K372" s="3"/>
      <c r="L372" s="1" t="str">
        <f>MID(C372,3,17)</f>
        <v>AVUP-46B24RS-B0A4</v>
      </c>
      <c r="M372" s="1" t="str">
        <f>VLOOKUP(L372,'[1]Plate Infor'!$B:$C,2,FALSE)</f>
        <v>W-UNPL-CM84APX-L870-02-7S00</v>
      </c>
      <c r="N372" s="1" t="str">
        <f>VLOOKUP(MID(M372,8,4),'[1]Tipe Plate'!$C:$D,2,FALSE)</f>
        <v>Grid Casting</v>
      </c>
      <c r="O372" s="4">
        <f>VLOOKUP(L372,'[1]Plate Infor'!$B:$D,3,FALSE)*D372</f>
        <v>1620</v>
      </c>
      <c r="P372" s="4">
        <f>IFERROR(VLOOKUP(IF(MID(M372,3,1)="F","W-UNPL-"&amp;RIGHT(M372,20),M372),'[1]Data Pule'!$C:$E,3,FALSE),0)*O372</f>
        <v>145.31399999999999</v>
      </c>
      <c r="Q372" s="1" t="str">
        <f>VLOOKUP(L372,'[1]Plate Infor'!$B:$E,4,FALSE)</f>
        <v>W-UNPL-WM85NXX-T3AF-00-7S00</v>
      </c>
      <c r="R372" s="1" t="str">
        <f>VLOOKUP(MID(Q372,8,4),'[1]Tipe Plate'!$C:$D,2,FALSE)</f>
        <v>Grid Punching</v>
      </c>
      <c r="S372" s="4">
        <f>VLOOKUP(L372,'[1]Plate Infor'!$B:$F,5,FALSE)*D372</f>
        <v>1620</v>
      </c>
      <c r="T372" s="4">
        <f>IFERROR(VLOOKUP(IF(MID(Q372,3,1)="F","W-UNPL-"&amp;RIGHT(Q372,20),Q372),'[1]Data Pule'!$C:$E,3,FALSE),0)*S372</f>
        <v>172.20600000000002</v>
      </c>
    </row>
    <row r="373" spans="3:20" x14ac:dyDescent="0.35">
      <c r="C373" s="1" t="s">
        <v>331</v>
      </c>
      <c r="D373">
        <v>112</v>
      </c>
      <c r="E373" s="3" t="str">
        <f>MID(C373,5,1)</f>
        <v>U</v>
      </c>
      <c r="F373" s="3"/>
      <c r="G373" s="3"/>
      <c r="H373" s="3"/>
      <c r="I373" s="3"/>
      <c r="J373" s="3"/>
      <c r="K373" s="3"/>
      <c r="L373" s="1" t="str">
        <f>MID(C373,3,17)</f>
        <v>AMUP-65D23LX-B0P3</v>
      </c>
      <c r="M373" s="1" t="str">
        <f>VLOOKUP(L373,'[1]Plate Infor'!$B:$C,2,FALSE)</f>
        <v>W-UNPL-WG83PXX-L65F-00-7C00</v>
      </c>
      <c r="N373" s="1" t="str">
        <f>VLOOKUP(MID(M373,8,4),'[1]Tipe Plate'!$C:$D,2,FALSE)</f>
        <v>Grid Punching</v>
      </c>
      <c r="O373" s="4">
        <f>VLOOKUP(L373,'[1]Plate Infor'!$B:$D,3,FALSE)*D373</f>
        <v>1680</v>
      </c>
      <c r="P373" s="4">
        <f>IFERROR(VLOOKUP(IF(MID(M373,3,1)="F","W-UNPL-"&amp;RIGHT(M373,20),M373),'[1]Data Pule'!$C:$E,3,FALSE),0)*O373</f>
        <v>284.42399999999998</v>
      </c>
      <c r="Q373" s="1" t="str">
        <f>VLOOKUP(L373,'[1]Plate Infor'!$B:$E,4,FALSE)</f>
        <v>W-UNPL-WG87NXX-T3AF-00-7C00</v>
      </c>
      <c r="R373" s="1" t="str">
        <f>VLOOKUP(MID(Q373,8,4),'[1]Tipe Plate'!$C:$D,2,FALSE)</f>
        <v>Grid Punching</v>
      </c>
      <c r="S373" s="4">
        <f>VLOOKUP(L373,'[1]Plate Infor'!$B:$F,5,FALSE)*D373</f>
        <v>1680</v>
      </c>
      <c r="T373" s="4">
        <f>IFERROR(VLOOKUP(IF(MID(Q373,3,1)="F","W-UNPL-"&amp;RIGHT(Q373,20),Q373),'[1]Data Pule'!$C:$E,3,FALSE),0)*S373</f>
        <v>219.57599999999996</v>
      </c>
    </row>
    <row r="374" spans="3:20" x14ac:dyDescent="0.35">
      <c r="C374" s="1" t="s">
        <v>332</v>
      </c>
      <c r="D374">
        <v>84</v>
      </c>
      <c r="E374" s="3" t="str">
        <f>MID(C374,5,1)</f>
        <v>U</v>
      </c>
      <c r="F374" s="3"/>
      <c r="G374" s="3"/>
      <c r="H374" s="3"/>
      <c r="I374" s="3"/>
      <c r="J374" s="3"/>
      <c r="K374" s="3"/>
      <c r="L374" s="1" t="str">
        <f>MID(C374,3,17)</f>
        <v>AMUP-56638LX-B2C3</v>
      </c>
      <c r="M374" s="1" t="str">
        <f>VLOOKUP(L374,'[1]Plate Infor'!$B:$C,2,FALSE)</f>
        <v>W-UNPL-YG82HDP-L650-02-7S00</v>
      </c>
      <c r="N374" s="1" t="str">
        <f>VLOOKUP(MID(M374,8,4),'[1]Tipe Plate'!$C:$D,2,FALSE)</f>
        <v>Grid Casting</v>
      </c>
      <c r="O374" s="4">
        <f>VLOOKUP(L374,'[1]Plate Infor'!$B:$D,3,FALSE)*D374</f>
        <v>1512</v>
      </c>
      <c r="P374" s="4">
        <f>IFERROR(VLOOKUP(IF(MID(M374,3,1)="F","W-UNPL-"&amp;RIGHT(M374,20),M374),'[1]Data Pule'!$C:$E,3,FALSE),0)*O374</f>
        <v>207.89999999999998</v>
      </c>
      <c r="Q374" s="1" t="str">
        <f>VLOOKUP(L374,'[1]Plate Infor'!$B:$E,4,FALSE)</f>
        <v>W-UNPL-YG85NXX-T3A0-02-7S00</v>
      </c>
      <c r="R374" s="1" t="str">
        <f>VLOOKUP(MID(Q374,8,4),'[1]Tipe Plate'!$C:$D,2,FALSE)</f>
        <v>Grid Casting</v>
      </c>
      <c r="S374" s="4">
        <f>VLOOKUP(L374,'[1]Plate Infor'!$B:$F,5,FALSE)*D374</f>
        <v>1512</v>
      </c>
      <c r="T374" s="4">
        <f>IFERROR(VLOOKUP(IF(MID(Q374,3,1)="F","W-UNPL-"&amp;RIGHT(Q374,20),Q374),'[1]Data Pule'!$C:$E,3,FALSE),0)*S374</f>
        <v>197.61839999999998</v>
      </c>
    </row>
    <row r="375" spans="3:20" x14ac:dyDescent="0.35">
      <c r="C375" s="1" t="s">
        <v>333</v>
      </c>
      <c r="D375">
        <v>56</v>
      </c>
      <c r="E375" s="3" t="str">
        <f>MID(C375,5,1)</f>
        <v>U</v>
      </c>
      <c r="F375" s="3"/>
      <c r="G375" s="3"/>
      <c r="H375" s="3"/>
      <c r="I375" s="3"/>
      <c r="J375" s="3"/>
      <c r="K375" s="3"/>
      <c r="L375" s="1" t="str">
        <f>MID(C375,3,17)</f>
        <v>AMUP-115E41R-B7C3</v>
      </c>
      <c r="M375" s="1" t="str">
        <f>VLOOKUP(L375,'[1]Plate Infor'!$B:$C,2,FALSE)</f>
        <v>W-UNPL-YG8079P-L650-02-7S00</v>
      </c>
      <c r="N375" s="1" t="str">
        <f>VLOOKUP(MID(M375,8,4),'[1]Tipe Plate'!$C:$D,2,FALSE)</f>
        <v>Grid Casting</v>
      </c>
      <c r="O375" s="4">
        <f>VLOOKUP(L375,'[1]Plate Infor'!$B:$D,3,FALSE)*D375</f>
        <v>1344</v>
      </c>
      <c r="P375" s="4">
        <f>IFERROR(VLOOKUP(IF(MID(M375,3,1)="F","W-UNPL-"&amp;RIGHT(M375,20),M375),'[1]Data Pule'!$C:$E,3,FALSE),0)*O375</f>
        <v>212.352</v>
      </c>
      <c r="Q375" s="1" t="str">
        <f>VLOOKUP(L375,'[1]Plate Infor'!$B:$E,4,FALSE)</f>
        <v>W-UNPL-YG85NXX-T3A0-02-7S00</v>
      </c>
      <c r="R375" s="1" t="str">
        <f>VLOOKUP(MID(Q375,8,4),'[1]Tipe Plate'!$C:$D,2,FALSE)</f>
        <v>Grid Casting</v>
      </c>
      <c r="S375" s="4">
        <f>VLOOKUP(L375,'[1]Plate Infor'!$B:$F,5,FALSE)*D375</f>
        <v>1512</v>
      </c>
      <c r="T375" s="4">
        <f>IFERROR(VLOOKUP(IF(MID(Q375,3,1)="F","W-UNPL-"&amp;RIGHT(Q375,20),Q375),'[1]Data Pule'!$C:$E,3,FALSE),0)*S375</f>
        <v>197.61839999999998</v>
      </c>
    </row>
    <row r="376" spans="3:20" x14ac:dyDescent="0.35">
      <c r="C376" s="1" t="s">
        <v>334</v>
      </c>
      <c r="D376">
        <v>108</v>
      </c>
      <c r="E376" s="3" t="str">
        <f>MID(C376,5,1)</f>
        <v>U</v>
      </c>
      <c r="F376" s="3"/>
      <c r="G376" s="3"/>
      <c r="H376" s="3"/>
      <c r="I376" s="3"/>
      <c r="J376" s="3"/>
      <c r="K376" s="3"/>
      <c r="L376" s="1" t="str">
        <f>MID(C376,3,17)</f>
        <v>AMUP-135F51X-C1C3</v>
      </c>
      <c r="M376" s="1" t="str">
        <f>VLOOKUP(L376,'[1]Plate Infor'!$B:$C,2,FALSE)</f>
        <v>W-UNPL-YG8079P-L650-02-7S00</v>
      </c>
      <c r="N376" s="1" t="str">
        <f>VLOOKUP(MID(M376,8,4),'[1]Tipe Plate'!$C:$D,2,FALSE)</f>
        <v>Grid Casting</v>
      </c>
      <c r="O376" s="4">
        <f>VLOOKUP(L376,'[1]Plate Infor'!$B:$D,3,FALSE)*D376</f>
        <v>3240</v>
      </c>
      <c r="P376" s="4">
        <f>IFERROR(VLOOKUP(IF(MID(M376,3,1)="F","W-UNPL-"&amp;RIGHT(M376,20),M376),'[1]Data Pule'!$C:$E,3,FALSE),0)*O376</f>
        <v>511.92</v>
      </c>
      <c r="Q376" s="1" t="str">
        <f>VLOOKUP(L376,'[1]Plate Infor'!$B:$E,4,FALSE)</f>
        <v>W-UNPL-YG85NXX-T3A0-02-7S00</v>
      </c>
      <c r="R376" s="1" t="str">
        <f>VLOOKUP(MID(Q376,8,4),'[1]Tipe Plate'!$C:$D,2,FALSE)</f>
        <v>Grid Casting</v>
      </c>
      <c r="S376" s="4">
        <f>VLOOKUP(L376,'[1]Plate Infor'!$B:$F,5,FALSE)*D376</f>
        <v>3564</v>
      </c>
      <c r="T376" s="4">
        <f>IFERROR(VLOOKUP(IF(MID(Q376,3,1)="F","W-UNPL-"&amp;RIGHT(Q376,20),Q376),'[1]Data Pule'!$C:$E,3,FALSE),0)*S376</f>
        <v>465.81479999999993</v>
      </c>
    </row>
    <row r="377" spans="3:20" x14ac:dyDescent="0.35">
      <c r="C377" s="1" t="s">
        <v>203</v>
      </c>
      <c r="D377">
        <v>180</v>
      </c>
      <c r="E377" s="3" t="str">
        <f>MID(C377,5,1)</f>
        <v>U</v>
      </c>
      <c r="F377" s="3"/>
      <c r="G377" s="3"/>
      <c r="H377" s="3"/>
      <c r="I377" s="3"/>
      <c r="J377" s="3"/>
      <c r="K377" s="3"/>
      <c r="L377" s="1" t="str">
        <f>MID(C377,3,17)</f>
        <v>ACUP-36B20LX-A7C5</v>
      </c>
      <c r="M377" s="1" t="str">
        <f>VLOOKUP(L377,'[1]Plate Infor'!$B:$C,2,FALSE)</f>
        <v>W-UNPL-CM84APX-L870-02-7S00</v>
      </c>
      <c r="N377" s="1" t="str">
        <f>VLOOKUP(MID(M377,8,4),'[1]Tipe Plate'!$C:$D,2,FALSE)</f>
        <v>Grid Casting</v>
      </c>
      <c r="O377" s="4">
        <f>VLOOKUP(L377,'[1]Plate Infor'!$B:$D,3,FALSE)*D377</f>
        <v>1620</v>
      </c>
      <c r="P377" s="4">
        <f>IFERROR(VLOOKUP(IF(MID(M377,3,1)="F","W-UNPL-"&amp;RIGHT(M377,20),M377),'[1]Data Pule'!$C:$E,3,FALSE),0)*O377</f>
        <v>145.31399999999999</v>
      </c>
      <c r="Q377" s="1" t="str">
        <f>VLOOKUP(L377,'[1]Plate Infor'!$B:$E,4,FALSE)</f>
        <v>W-UNPL-CM8786N-T3L0-02-7S00</v>
      </c>
      <c r="R377" s="1" t="str">
        <f>VLOOKUP(MID(Q377,8,4),'[1]Tipe Plate'!$C:$D,2,FALSE)</f>
        <v>Grid Casting</v>
      </c>
      <c r="S377" s="4">
        <f>VLOOKUP(L377,'[1]Plate Infor'!$B:$F,5,FALSE)*D377</f>
        <v>2160</v>
      </c>
      <c r="T377" s="4">
        <f>IFERROR(VLOOKUP(IF(MID(Q377,3,1)="F","W-UNPL-"&amp;RIGHT(Q377,20),Q377),'[1]Data Pule'!$C:$E,3,FALSE),0)*S377</f>
        <v>203.68800000000002</v>
      </c>
    </row>
    <row r="378" spans="3:20" x14ac:dyDescent="0.35">
      <c r="C378" s="1" t="s">
        <v>204</v>
      </c>
      <c r="D378">
        <v>144</v>
      </c>
      <c r="E378" s="3" t="str">
        <f>MID(C378,5,1)</f>
        <v>U</v>
      </c>
      <c r="F378" s="3"/>
      <c r="G378" s="3"/>
      <c r="H378" s="3"/>
      <c r="I378" s="3"/>
      <c r="J378" s="3"/>
      <c r="K378" s="3"/>
      <c r="L378" s="1" t="str">
        <f>MID(C378,3,17)</f>
        <v>ACUP-46B24RS-A9C5</v>
      </c>
      <c r="M378" s="1" t="str">
        <f>VLOOKUP(L378,'[1]Plate Infor'!$B:$C,2,FALSE)</f>
        <v>W-UNPL-CM84APX-L870-02-7S00</v>
      </c>
      <c r="N378" s="1" t="str">
        <f>VLOOKUP(MID(M378,8,4),'[1]Tipe Plate'!$C:$D,2,FALSE)</f>
        <v>Grid Casting</v>
      </c>
      <c r="O378" s="4">
        <f>VLOOKUP(L378,'[1]Plate Infor'!$B:$D,3,FALSE)*D378</f>
        <v>1728</v>
      </c>
      <c r="P378" s="4">
        <f>IFERROR(VLOOKUP(IF(MID(M378,3,1)="F","W-UNPL-"&amp;RIGHT(M378,20),M378),'[1]Data Pule'!$C:$E,3,FALSE),0)*O378</f>
        <v>155.0016</v>
      </c>
      <c r="Q378" s="1" t="str">
        <f>VLOOKUP(L378,'[1]Plate Infor'!$B:$E,4,FALSE)</f>
        <v>W-UNPL-CM8786N-T3L0-02-7S00</v>
      </c>
      <c r="R378" s="1" t="str">
        <f>VLOOKUP(MID(Q378,8,4),'[1]Tipe Plate'!$C:$D,2,FALSE)</f>
        <v>Grid Casting</v>
      </c>
      <c r="S378" s="4">
        <f>VLOOKUP(L378,'[1]Plate Infor'!$B:$F,5,FALSE)*D378</f>
        <v>2160</v>
      </c>
      <c r="T378" s="4">
        <f>IFERROR(VLOOKUP(IF(MID(Q378,3,1)="F","W-UNPL-"&amp;RIGHT(Q378,20),Q378),'[1]Data Pule'!$C:$E,3,FALSE),0)*S378</f>
        <v>203.68800000000002</v>
      </c>
    </row>
    <row r="379" spans="3:20" x14ac:dyDescent="0.35">
      <c r="C379" s="1" t="s">
        <v>205</v>
      </c>
      <c r="D379">
        <v>96</v>
      </c>
      <c r="E379" s="3" t="str">
        <f>MID(C379,5,1)</f>
        <v>U</v>
      </c>
      <c r="F379" s="3"/>
      <c r="G379" s="3"/>
      <c r="H379" s="3"/>
      <c r="I379" s="3"/>
      <c r="J379" s="3"/>
      <c r="K379" s="3"/>
      <c r="L379" s="1" t="str">
        <f>MID(C379,3,17)</f>
        <v>ACUP-65D26RX-B1C4</v>
      </c>
      <c r="M379" s="1" t="str">
        <f>VLOOKUP(L379,'[1]Plate Infor'!$B:$C,2,FALSE)</f>
        <v>W-UNPL-CG82PXX-L870-02-7S00</v>
      </c>
      <c r="N379" s="1" t="str">
        <f>VLOOKUP(MID(M379,8,4),'[1]Tipe Plate'!$C:$D,2,FALSE)</f>
        <v>Grid Casting</v>
      </c>
      <c r="O379" s="4">
        <f>VLOOKUP(L379,'[1]Plate Infor'!$B:$D,3,FALSE)*D379</f>
        <v>1440</v>
      </c>
      <c r="P379" s="4">
        <f>IFERROR(VLOOKUP(IF(MID(M379,3,1)="F","W-UNPL-"&amp;RIGHT(M379,20),M379),'[1]Data Pule'!$C:$E,3,FALSE),0)*O379</f>
        <v>185.03999999999996</v>
      </c>
      <c r="Q379" s="1" t="str">
        <f>VLOOKUP(L379,'[1]Plate Infor'!$B:$E,4,FALSE)</f>
        <v>W-UNPL-CG87NXX-T3L0-02-7S00</v>
      </c>
      <c r="R379" s="1" t="str">
        <f>VLOOKUP(MID(Q379,8,4),'[1]Tipe Plate'!$C:$D,2,FALSE)</f>
        <v>Grid Casting</v>
      </c>
      <c r="S379" s="4">
        <f>VLOOKUP(L379,'[1]Plate Infor'!$B:$F,5,FALSE)*D379</f>
        <v>1728</v>
      </c>
      <c r="T379" s="4">
        <f>IFERROR(VLOOKUP(IF(MID(Q379,3,1)="F","W-UNPL-"&amp;RIGHT(Q379,20),Q379),'[1]Data Pule'!$C:$E,3,FALSE),0)*S379</f>
        <v>198.72</v>
      </c>
    </row>
    <row r="380" spans="3:20" x14ac:dyDescent="0.35">
      <c r="C380" s="1" t="s">
        <v>335</v>
      </c>
      <c r="D380">
        <v>96</v>
      </c>
      <c r="E380" s="3" t="str">
        <f>MID(C380,5,1)</f>
        <v>U</v>
      </c>
      <c r="F380" s="3"/>
      <c r="G380" s="3"/>
      <c r="H380" s="3"/>
      <c r="I380" s="3"/>
      <c r="J380" s="3"/>
      <c r="K380" s="3"/>
      <c r="L380" s="1" t="str">
        <f>MID(C380,3,17)</f>
        <v>ACUP-65D26LX-B1C4</v>
      </c>
      <c r="M380" s="1" t="str">
        <f>VLOOKUP(L380,'[1]Plate Infor'!$B:$C,2,FALSE)</f>
        <v>W-UNPL-CG82PXX-L870-02-7S00</v>
      </c>
      <c r="N380" s="1" t="str">
        <f>VLOOKUP(MID(M380,8,4),'[1]Tipe Plate'!$C:$D,2,FALSE)</f>
        <v>Grid Casting</v>
      </c>
      <c r="O380" s="4">
        <f>VLOOKUP(L380,'[1]Plate Infor'!$B:$D,3,FALSE)*D380</f>
        <v>1440</v>
      </c>
      <c r="P380" s="4">
        <f>IFERROR(VLOOKUP(IF(MID(M380,3,1)="F","W-UNPL-"&amp;RIGHT(M380,20),M380),'[1]Data Pule'!$C:$E,3,FALSE),0)*O380</f>
        <v>185.03999999999996</v>
      </c>
      <c r="Q380" s="1" t="str">
        <f>VLOOKUP(L380,'[1]Plate Infor'!$B:$E,4,FALSE)</f>
        <v>W-UNPL-CG87NXX-T3L0-02-7S00</v>
      </c>
      <c r="R380" s="1" t="str">
        <f>VLOOKUP(MID(Q380,8,4),'[1]Tipe Plate'!$C:$D,2,FALSE)</f>
        <v>Grid Casting</v>
      </c>
      <c r="S380" s="4">
        <f>VLOOKUP(L380,'[1]Plate Infor'!$B:$F,5,FALSE)*D380</f>
        <v>1728</v>
      </c>
      <c r="T380" s="4">
        <f>IFERROR(VLOOKUP(IF(MID(Q380,3,1)="F","W-UNPL-"&amp;RIGHT(Q380,20),Q380),'[1]Data Pule'!$C:$E,3,FALSE),0)*S380</f>
        <v>198.72</v>
      </c>
    </row>
    <row r="381" spans="3:20" x14ac:dyDescent="0.35">
      <c r="C381" s="1" t="s">
        <v>206</v>
      </c>
      <c r="D381">
        <v>84</v>
      </c>
      <c r="E381" s="3" t="str">
        <f>MID(C381,5,1)</f>
        <v>U</v>
      </c>
      <c r="F381" s="3"/>
      <c r="G381" s="3"/>
      <c r="H381" s="3"/>
      <c r="I381" s="3"/>
      <c r="J381" s="3"/>
      <c r="K381" s="3"/>
      <c r="L381" s="1" t="str">
        <f>MID(C381,3,17)</f>
        <v>ACUP-95D31RX-B3C5</v>
      </c>
      <c r="M381" s="1" t="str">
        <f>VLOOKUP(L381,'[1]Plate Infor'!$B:$C,2,FALSE)</f>
        <v>W-UNPL-CG82PXX-L870-02-7S00</v>
      </c>
      <c r="N381" s="1" t="str">
        <f>VLOOKUP(MID(M381,8,4),'[1]Tipe Plate'!$C:$D,2,FALSE)</f>
        <v>Grid Casting</v>
      </c>
      <c r="O381" s="4">
        <f>VLOOKUP(L381,'[1]Plate Infor'!$B:$D,3,FALSE)*D381</f>
        <v>1512</v>
      </c>
      <c r="P381" s="4">
        <f>IFERROR(VLOOKUP(IF(MID(M381,3,1)="F","W-UNPL-"&amp;RIGHT(M381,20),M381),'[1]Data Pule'!$C:$E,3,FALSE),0)*O381</f>
        <v>194.29199999999997</v>
      </c>
      <c r="Q381" s="1" t="str">
        <f>VLOOKUP(L381,'[1]Plate Infor'!$B:$E,4,FALSE)</f>
        <v>W-UNPL-CG87NXX-T3L0-02-7S00</v>
      </c>
      <c r="R381" s="1" t="str">
        <f>VLOOKUP(MID(Q381,8,4),'[1]Tipe Plate'!$C:$D,2,FALSE)</f>
        <v>Grid Casting</v>
      </c>
      <c r="S381" s="4">
        <f>VLOOKUP(L381,'[1]Plate Infor'!$B:$F,5,FALSE)*D381</f>
        <v>1764</v>
      </c>
      <c r="T381" s="4">
        <f>IFERROR(VLOOKUP(IF(MID(Q381,3,1)="F","W-UNPL-"&amp;RIGHT(Q381,20),Q381),'[1]Data Pule'!$C:$E,3,FALSE),0)*S381</f>
        <v>202.86</v>
      </c>
    </row>
    <row r="382" spans="3:20" x14ac:dyDescent="0.35">
      <c r="C382" s="1" t="s">
        <v>207</v>
      </c>
      <c r="D382">
        <v>84</v>
      </c>
      <c r="E382" s="3" t="str">
        <f>MID(C382,5,1)</f>
        <v>U</v>
      </c>
      <c r="F382" s="3"/>
      <c r="G382" s="3"/>
      <c r="H382" s="3"/>
      <c r="I382" s="3"/>
      <c r="J382" s="3"/>
      <c r="K382" s="3"/>
      <c r="L382" s="1" t="str">
        <f>MID(C382,3,17)</f>
        <v>ACUP-95D31LX-B3C5</v>
      </c>
      <c r="M382" s="1" t="str">
        <f>VLOOKUP(L382,'[1]Plate Infor'!$B:$C,2,FALSE)</f>
        <v>W-UNPL-CG82PXX-L870-02-7S00</v>
      </c>
      <c r="N382" s="1" t="str">
        <f>VLOOKUP(MID(M382,8,4),'[1]Tipe Plate'!$C:$D,2,FALSE)</f>
        <v>Grid Casting</v>
      </c>
      <c r="O382" s="4">
        <f>VLOOKUP(L382,'[1]Plate Infor'!$B:$D,3,FALSE)*D382</f>
        <v>1512</v>
      </c>
      <c r="P382" s="4">
        <f>IFERROR(VLOOKUP(IF(MID(M382,3,1)="F","W-UNPL-"&amp;RIGHT(M382,20),M382),'[1]Data Pule'!$C:$E,3,FALSE),0)*O382</f>
        <v>194.29199999999997</v>
      </c>
      <c r="Q382" s="1" t="str">
        <f>VLOOKUP(L382,'[1]Plate Infor'!$B:$E,4,FALSE)</f>
        <v>W-UNPL-CG87NXX-T3L0-02-7S00</v>
      </c>
      <c r="R382" s="1" t="str">
        <f>VLOOKUP(MID(Q382,8,4),'[1]Tipe Plate'!$C:$D,2,FALSE)</f>
        <v>Grid Casting</v>
      </c>
      <c r="S382" s="4">
        <f>VLOOKUP(L382,'[1]Plate Infor'!$B:$F,5,FALSE)*D382</f>
        <v>1764</v>
      </c>
      <c r="T382" s="4">
        <f>IFERROR(VLOOKUP(IF(MID(Q382,3,1)="F","W-UNPL-"&amp;RIGHT(Q382,20),Q382),'[1]Data Pule'!$C:$E,3,FALSE),0)*S382</f>
        <v>202.86</v>
      </c>
    </row>
    <row r="383" spans="3:20" x14ac:dyDescent="0.35">
      <c r="C383" s="1" t="s">
        <v>208</v>
      </c>
      <c r="D383">
        <v>64</v>
      </c>
      <c r="E383" s="3" t="str">
        <f>MID(C383,5,1)</f>
        <v>U</v>
      </c>
      <c r="F383" s="3"/>
      <c r="G383" s="3"/>
      <c r="H383" s="3"/>
      <c r="I383" s="3"/>
      <c r="J383" s="3"/>
      <c r="K383" s="3"/>
      <c r="L383" s="1" t="str">
        <f>MID(C383,3,17)</f>
        <v>ACUP-95E41RX-B5C4</v>
      </c>
      <c r="M383" s="1" t="str">
        <f>VLOOKUP(L383,'[1]Plate Infor'!$B:$C,2,FALSE)</f>
        <v>W-UNPL-CG80PXX-L870-02-7S00</v>
      </c>
      <c r="N383" s="1" t="str">
        <f>VLOOKUP(MID(M383,8,4),'[1]Tipe Plate'!$C:$D,2,FALSE)</f>
        <v>Grid Casting</v>
      </c>
      <c r="O383" s="4">
        <f>VLOOKUP(L383,'[1]Plate Infor'!$B:$D,3,FALSE)*D383</f>
        <v>1344</v>
      </c>
      <c r="P383" s="4">
        <f>IFERROR(VLOOKUP(IF(MID(M383,3,1)="F","W-UNPL-"&amp;RIGHT(M383,20),M383),'[1]Data Pule'!$C:$E,3,FALSE),0)*O383</f>
        <v>203.07839999999999</v>
      </c>
      <c r="Q383" s="1" t="str">
        <f>VLOOKUP(L383,'[1]Plate Infor'!$B:$E,4,FALSE)</f>
        <v>W-UNPL-CG87NXX-T3L0-02-7S00</v>
      </c>
      <c r="R383" s="1" t="str">
        <f>VLOOKUP(MID(Q383,8,4),'[1]Tipe Plate'!$C:$D,2,FALSE)</f>
        <v>Grid Casting</v>
      </c>
      <c r="S383" s="4">
        <f>VLOOKUP(L383,'[1]Plate Infor'!$B:$F,5,FALSE)*D383</f>
        <v>1536</v>
      </c>
      <c r="T383" s="4">
        <f>IFERROR(VLOOKUP(IF(MID(Q383,3,1)="F","W-UNPL-"&amp;RIGHT(Q383,20),Q383),'[1]Data Pule'!$C:$E,3,FALSE),0)*S383</f>
        <v>176.64000000000001</v>
      </c>
    </row>
    <row r="384" spans="3:20" x14ac:dyDescent="0.35">
      <c r="C384" s="1" t="s">
        <v>209</v>
      </c>
      <c r="D384">
        <v>36</v>
      </c>
      <c r="E384" s="3" t="str">
        <f>MID(C384,5,1)</f>
        <v>U</v>
      </c>
      <c r="F384" s="3"/>
      <c r="G384" s="3"/>
      <c r="H384" s="3"/>
      <c r="I384" s="3"/>
      <c r="J384" s="3"/>
      <c r="K384" s="3"/>
      <c r="L384" s="1" t="str">
        <f>MID(C384,3,17)</f>
        <v>ACUP-115F51X-B9C4</v>
      </c>
      <c r="M384" s="1" t="str">
        <f>VLOOKUP(L384,'[1]Plate Infor'!$B:$C,2,FALSE)</f>
        <v>W-UNPL-CG82PXX-L870-02-7S00</v>
      </c>
      <c r="N384" s="1" t="str">
        <f>VLOOKUP(MID(M384,8,4),'[1]Tipe Plate'!$C:$D,2,FALSE)</f>
        <v>Grid Casting</v>
      </c>
      <c r="O384" s="4">
        <f>VLOOKUP(L384,'[1]Plate Infor'!$B:$D,3,FALSE)*D384</f>
        <v>972</v>
      </c>
      <c r="P384" s="4">
        <f>IFERROR(VLOOKUP(IF(MID(M384,3,1)="F","W-UNPL-"&amp;RIGHT(M384,20),M384),'[1]Data Pule'!$C:$E,3,FALSE),0)*O384</f>
        <v>124.90199999999997</v>
      </c>
      <c r="Q384" s="1" t="str">
        <f>VLOOKUP(L384,'[1]Plate Infor'!$B:$E,4,FALSE)</f>
        <v>W-UNPL-CG87NXX-T3L0-02-7S00</v>
      </c>
      <c r="R384" s="1" t="str">
        <f>VLOOKUP(MID(Q384,8,4),'[1]Tipe Plate'!$C:$D,2,FALSE)</f>
        <v>Grid Casting</v>
      </c>
      <c r="S384" s="4">
        <f>VLOOKUP(L384,'[1]Plate Infor'!$B:$F,5,FALSE)*D384</f>
        <v>1080</v>
      </c>
      <c r="T384" s="4">
        <f>IFERROR(VLOOKUP(IF(MID(Q384,3,1)="F","W-UNPL-"&amp;RIGHT(Q384,20),Q384),'[1]Data Pule'!$C:$E,3,FALSE),0)*S384</f>
        <v>124.2</v>
      </c>
    </row>
    <row r="385" spans="3:20" x14ac:dyDescent="0.35">
      <c r="C385" s="1" t="s">
        <v>210</v>
      </c>
      <c r="D385">
        <v>30</v>
      </c>
      <c r="E385" s="3" t="str">
        <f>MID(C385,5,1)</f>
        <v>U</v>
      </c>
      <c r="F385" s="3"/>
      <c r="G385" s="3"/>
      <c r="H385" s="3"/>
      <c r="I385" s="3"/>
      <c r="J385" s="3"/>
      <c r="K385" s="3"/>
      <c r="L385" s="1" t="str">
        <f>MID(C385,3,17)</f>
        <v>ACUP-145G51X-C3C5</v>
      </c>
      <c r="M385" s="1" t="str">
        <f>VLOOKUP(L385,'[1]Plate Infor'!$B:$C,2,FALSE)</f>
        <v>W-UNPL-CG82PXX-L870-02-7S00</v>
      </c>
      <c r="N385" s="1" t="str">
        <f>VLOOKUP(MID(M385,8,4),'[1]Tipe Plate'!$C:$D,2,FALSE)</f>
        <v>Grid Casting</v>
      </c>
      <c r="O385" s="4">
        <f>VLOOKUP(L385,'[1]Plate Infor'!$B:$D,3,FALSE)*D385</f>
        <v>990</v>
      </c>
      <c r="P385" s="4">
        <f>IFERROR(VLOOKUP(IF(MID(M385,3,1)="F","W-UNPL-"&amp;RIGHT(M385,20),M385),'[1]Data Pule'!$C:$E,3,FALSE),0)*O385</f>
        <v>127.21499999999997</v>
      </c>
      <c r="Q385" s="1" t="str">
        <f>VLOOKUP(L385,'[1]Plate Infor'!$B:$E,4,FALSE)</f>
        <v>W-UNPL-CG87NXX-T3L0-02-7S00</v>
      </c>
      <c r="R385" s="1" t="str">
        <f>VLOOKUP(MID(Q385,8,4),'[1]Tipe Plate'!$C:$D,2,FALSE)</f>
        <v>Grid Casting</v>
      </c>
      <c r="S385" s="4">
        <f>VLOOKUP(L385,'[1]Plate Infor'!$B:$F,5,FALSE)*D385</f>
        <v>1080</v>
      </c>
      <c r="T385" s="4">
        <f>IFERROR(VLOOKUP(IF(MID(Q385,3,1)="F","W-UNPL-"&amp;RIGHT(Q385,20),Q385),'[1]Data Pule'!$C:$E,3,FALSE),0)*S385</f>
        <v>124.2</v>
      </c>
    </row>
    <row r="386" spans="3:20" x14ac:dyDescent="0.35">
      <c r="C386" s="1" t="s">
        <v>336</v>
      </c>
      <c r="D386">
        <v>180</v>
      </c>
      <c r="E386" s="3" t="str">
        <f>MID(C386,5,1)</f>
        <v>U</v>
      </c>
      <c r="F386" s="3"/>
      <c r="G386" s="3"/>
      <c r="H386" s="3"/>
      <c r="I386" s="3"/>
      <c r="J386" s="3"/>
      <c r="K386" s="3"/>
      <c r="L386" s="1" t="str">
        <f>MID(C386,3,17)</f>
        <v>ACUP-36B20LX-A7C5</v>
      </c>
      <c r="M386" s="1" t="str">
        <f>VLOOKUP(L386,'[1]Plate Infor'!$B:$C,2,FALSE)</f>
        <v>W-UNPL-CM84APX-L870-02-7S00</v>
      </c>
      <c r="N386" s="1" t="str">
        <f>VLOOKUP(MID(M386,8,4),'[1]Tipe Plate'!$C:$D,2,FALSE)</f>
        <v>Grid Casting</v>
      </c>
      <c r="O386" s="4">
        <f>VLOOKUP(L386,'[1]Plate Infor'!$B:$D,3,FALSE)*D386</f>
        <v>1620</v>
      </c>
      <c r="P386" s="4">
        <f>IFERROR(VLOOKUP(IF(MID(M386,3,1)="F","W-UNPL-"&amp;RIGHT(M386,20),M386),'[1]Data Pule'!$C:$E,3,FALSE),0)*O386</f>
        <v>145.31399999999999</v>
      </c>
      <c r="Q386" s="1" t="str">
        <f>VLOOKUP(L386,'[1]Plate Infor'!$B:$E,4,FALSE)</f>
        <v>W-UNPL-CM8786N-T3L0-02-7S00</v>
      </c>
      <c r="R386" s="1" t="str">
        <f>VLOOKUP(MID(Q386,8,4),'[1]Tipe Plate'!$C:$D,2,FALSE)</f>
        <v>Grid Casting</v>
      </c>
      <c r="S386" s="4">
        <f>VLOOKUP(L386,'[1]Plate Infor'!$B:$F,5,FALSE)*D386</f>
        <v>2160</v>
      </c>
      <c r="T386" s="4">
        <f>IFERROR(VLOOKUP(IF(MID(Q386,3,1)="F","W-UNPL-"&amp;RIGHT(Q386,20),Q386),'[1]Data Pule'!$C:$E,3,FALSE),0)*S386</f>
        <v>203.68800000000002</v>
      </c>
    </row>
    <row r="387" spans="3:20" x14ac:dyDescent="0.35">
      <c r="C387" s="1" t="s">
        <v>337</v>
      </c>
      <c r="D387">
        <v>144</v>
      </c>
      <c r="E387" s="3" t="str">
        <f>MID(C387,5,1)</f>
        <v>U</v>
      </c>
      <c r="F387" s="3"/>
      <c r="G387" s="3"/>
      <c r="H387" s="3"/>
      <c r="I387" s="3"/>
      <c r="J387" s="3"/>
      <c r="K387" s="3"/>
      <c r="L387" s="1" t="str">
        <f>MID(C387,3,17)</f>
        <v>ACUP-46B24RS-A9C5</v>
      </c>
      <c r="M387" s="1" t="str">
        <f>VLOOKUP(L387,'[1]Plate Infor'!$B:$C,2,FALSE)</f>
        <v>W-UNPL-CM84APX-L870-02-7S00</v>
      </c>
      <c r="N387" s="1" t="str">
        <f>VLOOKUP(MID(M387,8,4),'[1]Tipe Plate'!$C:$D,2,FALSE)</f>
        <v>Grid Casting</v>
      </c>
      <c r="O387" s="4">
        <f>VLOOKUP(L387,'[1]Plate Infor'!$B:$D,3,FALSE)*D387</f>
        <v>1728</v>
      </c>
      <c r="P387" s="4">
        <f>IFERROR(VLOOKUP(IF(MID(M387,3,1)="F","W-UNPL-"&amp;RIGHT(M387,20),M387),'[1]Data Pule'!$C:$E,3,FALSE),0)*O387</f>
        <v>155.0016</v>
      </c>
      <c r="Q387" s="1" t="str">
        <f>VLOOKUP(L387,'[1]Plate Infor'!$B:$E,4,FALSE)</f>
        <v>W-UNPL-CM8786N-T3L0-02-7S00</v>
      </c>
      <c r="R387" s="1" t="str">
        <f>VLOOKUP(MID(Q387,8,4),'[1]Tipe Plate'!$C:$D,2,FALSE)</f>
        <v>Grid Casting</v>
      </c>
      <c r="S387" s="4">
        <f>VLOOKUP(L387,'[1]Plate Infor'!$B:$F,5,FALSE)*D387</f>
        <v>2160</v>
      </c>
      <c r="T387" s="4">
        <f>IFERROR(VLOOKUP(IF(MID(Q387,3,1)="F","W-UNPL-"&amp;RIGHT(Q387,20),Q387),'[1]Data Pule'!$C:$E,3,FALSE),0)*S387</f>
        <v>203.68800000000002</v>
      </c>
    </row>
    <row r="388" spans="3:20" x14ac:dyDescent="0.35">
      <c r="C388" s="1" t="s">
        <v>221</v>
      </c>
      <c r="D388">
        <v>144</v>
      </c>
      <c r="E388" s="3" t="str">
        <f>MID(C388,5,1)</f>
        <v>U</v>
      </c>
      <c r="F388" s="3"/>
      <c r="G388" s="3"/>
      <c r="H388" s="3"/>
      <c r="I388" s="3"/>
      <c r="J388" s="3"/>
      <c r="K388" s="3"/>
      <c r="L388" s="1" t="str">
        <f>MID(C388,3,17)</f>
        <v>ACUP-46B24LS-A9C5</v>
      </c>
      <c r="M388" s="1" t="str">
        <f>VLOOKUP(L388,'[1]Plate Infor'!$B:$C,2,FALSE)</f>
        <v>W-UNPL-CM84APX-L870-02-7S00</v>
      </c>
      <c r="N388" s="1" t="str">
        <f>VLOOKUP(MID(M388,8,4),'[1]Tipe Plate'!$C:$D,2,FALSE)</f>
        <v>Grid Casting</v>
      </c>
      <c r="O388" s="4">
        <f>VLOOKUP(L388,'[1]Plate Infor'!$B:$D,3,FALSE)*D388</f>
        <v>1728</v>
      </c>
      <c r="P388" s="4">
        <f>IFERROR(VLOOKUP(IF(MID(M388,3,1)="F","W-UNPL-"&amp;RIGHT(M388,20),M388),'[1]Data Pule'!$C:$E,3,FALSE),0)*O388</f>
        <v>155.0016</v>
      </c>
      <c r="Q388" s="1" t="str">
        <f>VLOOKUP(L388,'[1]Plate Infor'!$B:$E,4,FALSE)</f>
        <v>W-UNPL-CM8786N-T3L0-02-7S00</v>
      </c>
      <c r="R388" s="1" t="str">
        <f>VLOOKUP(MID(Q388,8,4),'[1]Tipe Plate'!$C:$D,2,FALSE)</f>
        <v>Grid Casting</v>
      </c>
      <c r="S388" s="4">
        <f>VLOOKUP(L388,'[1]Plate Infor'!$B:$F,5,FALSE)*D388</f>
        <v>2160</v>
      </c>
      <c r="T388" s="4">
        <f>IFERROR(VLOOKUP(IF(MID(Q388,3,1)="F","W-UNPL-"&amp;RIGHT(Q388,20),Q388),'[1]Data Pule'!$C:$E,3,FALSE),0)*S388</f>
        <v>203.68800000000002</v>
      </c>
    </row>
    <row r="389" spans="3:20" x14ac:dyDescent="0.35">
      <c r="C389" s="1" t="s">
        <v>224</v>
      </c>
      <c r="D389">
        <v>84</v>
      </c>
      <c r="E389" s="3" t="str">
        <f>MID(C389,5,1)</f>
        <v>U</v>
      </c>
      <c r="F389" s="3"/>
      <c r="G389" s="3"/>
      <c r="H389" s="3"/>
      <c r="I389" s="3"/>
      <c r="J389" s="3"/>
      <c r="K389" s="3"/>
      <c r="L389" s="1" t="str">
        <f>MID(C389,3,17)</f>
        <v>ACUP-95D31RX-B3C5</v>
      </c>
      <c r="M389" s="1" t="str">
        <f>VLOOKUP(L389,'[1]Plate Infor'!$B:$C,2,FALSE)</f>
        <v>W-UNPL-CG82PXX-L870-02-7S00</v>
      </c>
      <c r="N389" s="1" t="str">
        <f>VLOOKUP(MID(M389,8,4),'[1]Tipe Plate'!$C:$D,2,FALSE)</f>
        <v>Grid Casting</v>
      </c>
      <c r="O389" s="4">
        <f>VLOOKUP(L389,'[1]Plate Infor'!$B:$D,3,FALSE)*D389</f>
        <v>1512</v>
      </c>
      <c r="P389" s="4">
        <f>IFERROR(VLOOKUP(IF(MID(M389,3,1)="F","W-UNPL-"&amp;RIGHT(M389,20),M389),'[1]Data Pule'!$C:$E,3,FALSE),0)*O389</f>
        <v>194.29199999999997</v>
      </c>
      <c r="Q389" s="1" t="str">
        <f>VLOOKUP(L389,'[1]Plate Infor'!$B:$E,4,FALSE)</f>
        <v>W-UNPL-CG87NXX-T3L0-02-7S00</v>
      </c>
      <c r="R389" s="1" t="str">
        <f>VLOOKUP(MID(Q389,8,4),'[1]Tipe Plate'!$C:$D,2,FALSE)</f>
        <v>Grid Casting</v>
      </c>
      <c r="S389" s="4">
        <f>VLOOKUP(L389,'[1]Plate Infor'!$B:$F,5,FALSE)*D389</f>
        <v>1764</v>
      </c>
      <c r="T389" s="4">
        <f>IFERROR(VLOOKUP(IF(MID(Q389,3,1)="F","W-UNPL-"&amp;RIGHT(Q389,20),Q389),'[1]Data Pule'!$C:$E,3,FALSE),0)*S389</f>
        <v>202.86</v>
      </c>
    </row>
    <row r="390" spans="3:20" x14ac:dyDescent="0.35">
      <c r="C390" s="1" t="s">
        <v>226</v>
      </c>
      <c r="D390">
        <v>36</v>
      </c>
      <c r="E390" s="3" t="str">
        <f>MID(C390,5,1)</f>
        <v>U</v>
      </c>
      <c r="F390" s="3"/>
      <c r="G390" s="3"/>
      <c r="H390" s="3"/>
      <c r="I390" s="3"/>
      <c r="J390" s="3"/>
      <c r="K390" s="3"/>
      <c r="L390" s="1" t="str">
        <f>MID(C390,3,17)</f>
        <v>ACUP-115F51X-B9C4</v>
      </c>
      <c r="M390" s="1" t="str">
        <f>VLOOKUP(L390,'[1]Plate Infor'!$B:$C,2,FALSE)</f>
        <v>W-UNPL-CG82PXX-L870-02-7S00</v>
      </c>
      <c r="N390" s="1" t="str">
        <f>VLOOKUP(MID(M390,8,4),'[1]Tipe Plate'!$C:$D,2,FALSE)</f>
        <v>Grid Casting</v>
      </c>
      <c r="O390" s="4">
        <f>VLOOKUP(L390,'[1]Plate Infor'!$B:$D,3,FALSE)*D390</f>
        <v>972</v>
      </c>
      <c r="P390" s="4">
        <f>IFERROR(VLOOKUP(IF(MID(M390,3,1)="F","W-UNPL-"&amp;RIGHT(M390,20),M390),'[1]Data Pule'!$C:$E,3,FALSE),0)*O390</f>
        <v>124.90199999999997</v>
      </c>
      <c r="Q390" s="1" t="str">
        <f>VLOOKUP(L390,'[1]Plate Infor'!$B:$E,4,FALSE)</f>
        <v>W-UNPL-CG87NXX-T3L0-02-7S00</v>
      </c>
      <c r="R390" s="1" t="str">
        <f>VLOOKUP(MID(Q390,8,4),'[1]Tipe Plate'!$C:$D,2,FALSE)</f>
        <v>Grid Casting</v>
      </c>
      <c r="S390" s="4">
        <f>VLOOKUP(L390,'[1]Plate Infor'!$B:$F,5,FALSE)*D390</f>
        <v>1080</v>
      </c>
      <c r="T390" s="4">
        <f>IFERROR(VLOOKUP(IF(MID(Q390,3,1)="F","W-UNPL-"&amp;RIGHT(Q390,20),Q390),'[1]Data Pule'!$C:$E,3,FALSE),0)*S390</f>
        <v>124.2</v>
      </c>
    </row>
    <row r="391" spans="3:20" x14ac:dyDescent="0.35">
      <c r="C391" s="1" t="s">
        <v>227</v>
      </c>
      <c r="D391">
        <v>30</v>
      </c>
      <c r="E391" s="3" t="str">
        <f>MID(C391,5,1)</f>
        <v>U</v>
      </c>
      <c r="F391" s="3"/>
      <c r="G391" s="3"/>
      <c r="H391" s="3"/>
      <c r="I391" s="3"/>
      <c r="J391" s="3"/>
      <c r="K391" s="3"/>
      <c r="L391" s="1" t="str">
        <f>MID(C391,3,17)</f>
        <v>ACUP-145G51X-C3C5</v>
      </c>
      <c r="M391" s="1" t="str">
        <f>VLOOKUP(L391,'[1]Plate Infor'!$B:$C,2,FALSE)</f>
        <v>W-UNPL-CG82PXX-L870-02-7S00</v>
      </c>
      <c r="N391" s="1" t="str">
        <f>VLOOKUP(MID(M391,8,4),'[1]Tipe Plate'!$C:$D,2,FALSE)</f>
        <v>Grid Casting</v>
      </c>
      <c r="O391" s="4">
        <f>VLOOKUP(L391,'[1]Plate Infor'!$B:$D,3,FALSE)*D391</f>
        <v>990</v>
      </c>
      <c r="P391" s="4">
        <f>IFERROR(VLOOKUP(IF(MID(M391,3,1)="F","W-UNPL-"&amp;RIGHT(M391,20),M391),'[1]Data Pule'!$C:$E,3,FALSE),0)*O391</f>
        <v>127.21499999999997</v>
      </c>
      <c r="Q391" s="1" t="str">
        <f>VLOOKUP(L391,'[1]Plate Infor'!$B:$E,4,FALSE)</f>
        <v>W-UNPL-CG87NXX-T3L0-02-7S00</v>
      </c>
      <c r="R391" s="1" t="str">
        <f>VLOOKUP(MID(Q391,8,4),'[1]Tipe Plate'!$C:$D,2,FALSE)</f>
        <v>Grid Casting</v>
      </c>
      <c r="S391" s="4">
        <f>VLOOKUP(L391,'[1]Plate Infor'!$B:$F,5,FALSE)*D391</f>
        <v>1080</v>
      </c>
      <c r="T391" s="4">
        <f>IFERROR(VLOOKUP(IF(MID(Q391,3,1)="F","W-UNPL-"&amp;RIGHT(Q391,20),Q391),'[1]Data Pule'!$C:$E,3,FALSE),0)*S391</f>
        <v>124.2</v>
      </c>
    </row>
    <row r="392" spans="3:20" x14ac:dyDescent="0.35">
      <c r="C392" s="1" t="s">
        <v>272</v>
      </c>
      <c r="D392">
        <v>72</v>
      </c>
      <c r="E392" s="3" t="str">
        <f>MID(C392,5,1)</f>
        <v>U</v>
      </c>
      <c r="F392" s="3"/>
      <c r="G392" s="3"/>
      <c r="H392" s="3"/>
      <c r="I392" s="3"/>
      <c r="J392" s="3"/>
      <c r="K392" s="3"/>
      <c r="L392" s="1" t="str">
        <f>MID(C392,3,17)</f>
        <v>ACUP-115F51X-B9C4</v>
      </c>
      <c r="M392" s="1" t="str">
        <f>VLOOKUP(L392,'[1]Plate Infor'!$B:$C,2,FALSE)</f>
        <v>W-UNPL-CG82PXX-L870-02-7S00</v>
      </c>
      <c r="N392" s="1" t="str">
        <f>VLOOKUP(MID(M392,8,4),'[1]Tipe Plate'!$C:$D,2,FALSE)</f>
        <v>Grid Casting</v>
      </c>
      <c r="O392" s="4">
        <f>VLOOKUP(L392,'[1]Plate Infor'!$B:$D,3,FALSE)*D392</f>
        <v>1944</v>
      </c>
      <c r="P392" s="4">
        <f>IFERROR(VLOOKUP(IF(MID(M392,3,1)="F","W-UNPL-"&amp;RIGHT(M392,20),M392),'[1]Data Pule'!$C:$E,3,FALSE),0)*O392</f>
        <v>249.80399999999995</v>
      </c>
      <c r="Q392" s="1" t="str">
        <f>VLOOKUP(L392,'[1]Plate Infor'!$B:$E,4,FALSE)</f>
        <v>W-UNPL-CG87NXX-T3L0-02-7S00</v>
      </c>
      <c r="R392" s="1" t="str">
        <f>VLOOKUP(MID(Q392,8,4),'[1]Tipe Plate'!$C:$D,2,FALSE)</f>
        <v>Grid Casting</v>
      </c>
      <c r="S392" s="4">
        <f>VLOOKUP(L392,'[1]Plate Infor'!$B:$F,5,FALSE)*D392</f>
        <v>2160</v>
      </c>
      <c r="T392" s="4">
        <f>IFERROR(VLOOKUP(IF(MID(Q392,3,1)="F","W-UNPL-"&amp;RIGHT(Q392,20),Q392),'[1]Data Pule'!$C:$E,3,FALSE),0)*S392</f>
        <v>248.4</v>
      </c>
    </row>
    <row r="393" spans="3:20" x14ac:dyDescent="0.35">
      <c r="C393" s="1" t="s">
        <v>273</v>
      </c>
      <c r="D393">
        <v>30</v>
      </c>
      <c r="E393" s="3" t="str">
        <f>MID(C393,5,1)</f>
        <v>U</v>
      </c>
      <c r="F393" s="3"/>
      <c r="G393" s="3"/>
      <c r="H393" s="3"/>
      <c r="I393" s="3"/>
      <c r="J393" s="3"/>
      <c r="K393" s="3"/>
      <c r="L393" s="1" t="str">
        <f>MID(C393,3,17)</f>
        <v>ACUP-145G51X-C3C5</v>
      </c>
      <c r="M393" s="1" t="str">
        <f>VLOOKUP(L393,'[1]Plate Infor'!$B:$C,2,FALSE)</f>
        <v>W-UNPL-CG82PXX-L870-02-7S00</v>
      </c>
      <c r="N393" s="1" t="str">
        <f>VLOOKUP(MID(M393,8,4),'[1]Tipe Plate'!$C:$D,2,FALSE)</f>
        <v>Grid Casting</v>
      </c>
      <c r="O393" s="4">
        <f>VLOOKUP(L393,'[1]Plate Infor'!$B:$D,3,FALSE)*D393</f>
        <v>990</v>
      </c>
      <c r="P393" s="4">
        <f>IFERROR(VLOOKUP(IF(MID(M393,3,1)="F","W-UNPL-"&amp;RIGHT(M393,20),M393),'[1]Data Pule'!$C:$E,3,FALSE),0)*O393</f>
        <v>127.21499999999997</v>
      </c>
      <c r="Q393" s="1" t="str">
        <f>VLOOKUP(L393,'[1]Plate Infor'!$B:$E,4,FALSE)</f>
        <v>W-UNPL-CG87NXX-T3L0-02-7S00</v>
      </c>
      <c r="R393" s="1" t="str">
        <f>VLOOKUP(MID(Q393,8,4),'[1]Tipe Plate'!$C:$D,2,FALSE)</f>
        <v>Grid Casting</v>
      </c>
      <c r="S393" s="4">
        <f>VLOOKUP(L393,'[1]Plate Infor'!$B:$F,5,FALSE)*D393</f>
        <v>1080</v>
      </c>
      <c r="T393" s="4">
        <f>IFERROR(VLOOKUP(IF(MID(Q393,3,1)="F","W-UNPL-"&amp;RIGHT(Q393,20),Q393),'[1]Data Pule'!$C:$E,3,FALSE),0)*S393</f>
        <v>124.2</v>
      </c>
    </row>
    <row r="394" spans="3:20" x14ac:dyDescent="0.35">
      <c r="C394" s="1" t="s">
        <v>338</v>
      </c>
      <c r="D394">
        <v>72</v>
      </c>
      <c r="E394" s="3" t="str">
        <f>MID(C394,5,1)</f>
        <v>U</v>
      </c>
      <c r="F394" s="3"/>
      <c r="G394" s="3"/>
      <c r="H394" s="3"/>
      <c r="I394" s="3"/>
      <c r="J394" s="3"/>
      <c r="K394" s="3"/>
      <c r="L394" s="1" t="str">
        <f>MID(C394,3,17)</f>
        <v>ACUP-55D23LX-B0C3</v>
      </c>
      <c r="M394" s="1" t="str">
        <f>VLOOKUP(L394,'[1]Plate Infor'!$B:$C,2,FALSE)</f>
        <v>W-UNPL-CG80PXX-L870-02-7S00</v>
      </c>
      <c r="N394" s="1" t="str">
        <f>VLOOKUP(MID(M394,8,4),'[1]Tipe Plate'!$C:$D,2,FALSE)</f>
        <v>Grid Casting</v>
      </c>
      <c r="O394" s="4">
        <f>VLOOKUP(L394,'[1]Plate Infor'!$B:$D,3,FALSE)*D394</f>
        <v>1080</v>
      </c>
      <c r="P394" s="4">
        <f>IFERROR(VLOOKUP(IF(MID(M394,3,1)="F","W-UNPL-"&amp;RIGHT(M394,20),M394),'[1]Data Pule'!$C:$E,3,FALSE),0)*O394</f>
        <v>163.18799999999999</v>
      </c>
      <c r="Q394" s="1" t="str">
        <f>VLOOKUP(L394,'[1]Plate Infor'!$B:$E,4,FALSE)</f>
        <v>W-UNPL-CG85NXX-T3L0-02-7S00</v>
      </c>
      <c r="R394" s="1" t="str">
        <f>VLOOKUP(MID(Q394,8,4),'[1]Tipe Plate'!$C:$D,2,FALSE)</f>
        <v>Grid Casting</v>
      </c>
      <c r="S394" s="4">
        <f>VLOOKUP(L394,'[1]Plate Infor'!$B:$F,5,FALSE)*D394</f>
        <v>1080</v>
      </c>
      <c r="T394" s="4">
        <f>IFERROR(VLOOKUP(IF(MID(Q394,3,1)="F","W-UNPL-"&amp;RIGHT(Q394,20),Q394),'[1]Data Pule'!$C:$E,3,FALSE),0)*S394</f>
        <v>141.15599999999998</v>
      </c>
    </row>
    <row r="395" spans="3:20" x14ac:dyDescent="0.35">
      <c r="C395" s="1" t="s">
        <v>339</v>
      </c>
      <c r="D395">
        <v>78</v>
      </c>
      <c r="E395" s="3" t="str">
        <f>MID(C395,5,1)</f>
        <v>U</v>
      </c>
      <c r="F395" s="3"/>
      <c r="G395" s="3"/>
      <c r="H395" s="3"/>
      <c r="I395" s="3"/>
      <c r="J395" s="3"/>
      <c r="K395" s="3"/>
      <c r="L395" s="1" t="str">
        <f>MID(C395,3,17)</f>
        <v>ACUP-55565RX-B1C3</v>
      </c>
      <c r="M395" s="1" t="str">
        <f>VLOOKUP(L395,'[1]Plate Infor'!$B:$C,2,FALSE)</f>
        <v>W-UNPL-CG82PXX-L870-02-7S00</v>
      </c>
      <c r="N395" s="1" t="str">
        <f>VLOOKUP(MID(M395,8,4),'[1]Tipe Plate'!$C:$D,2,FALSE)</f>
        <v>Grid Casting</v>
      </c>
      <c r="O395" s="4">
        <f>VLOOKUP(L395,'[1]Plate Infor'!$B:$D,3,FALSE)*D395</f>
        <v>1170</v>
      </c>
      <c r="P395" s="4">
        <f>IFERROR(VLOOKUP(IF(MID(M395,3,1)="F","W-UNPL-"&amp;RIGHT(M395,20),M395),'[1]Data Pule'!$C:$E,3,FALSE),0)*O395</f>
        <v>150.34499999999997</v>
      </c>
      <c r="Q395" s="1" t="str">
        <f>VLOOKUP(L395,'[1]Plate Infor'!$B:$E,4,FALSE)</f>
        <v>W-UNPL-CG87NXX-T3L0-02-7S00</v>
      </c>
      <c r="R395" s="1" t="str">
        <f>VLOOKUP(MID(Q395,8,4),'[1]Tipe Plate'!$C:$D,2,FALSE)</f>
        <v>Grid Casting</v>
      </c>
      <c r="S395" s="4">
        <f>VLOOKUP(L395,'[1]Plate Infor'!$B:$F,5,FALSE)*D395</f>
        <v>1404</v>
      </c>
      <c r="T395" s="4">
        <f>IFERROR(VLOOKUP(IF(MID(Q395,3,1)="F","W-UNPL-"&amp;RIGHT(Q395,20),Q395),'[1]Data Pule'!$C:$E,3,FALSE),0)*S395</f>
        <v>161.46</v>
      </c>
    </row>
    <row r="396" spans="3:20" x14ac:dyDescent="0.35">
      <c r="C396" s="1" t="s">
        <v>340</v>
      </c>
      <c r="D396">
        <v>96</v>
      </c>
      <c r="E396" s="3" t="str">
        <f>MID(C396,5,1)</f>
        <v>U</v>
      </c>
      <c r="F396" s="3"/>
      <c r="G396" s="3"/>
      <c r="H396" s="3"/>
      <c r="I396" s="3"/>
      <c r="J396" s="3"/>
      <c r="K396" s="3"/>
      <c r="L396" s="1" t="str">
        <f>MID(C396,3,17)</f>
        <v>ACUP-65D26LX-B1C4</v>
      </c>
      <c r="M396" s="1" t="str">
        <f>VLOOKUP(L396,'[1]Plate Infor'!$B:$C,2,FALSE)</f>
        <v>W-UNPL-CG82PXX-L870-02-7S00</v>
      </c>
      <c r="N396" s="1" t="str">
        <f>VLOOKUP(MID(M396,8,4),'[1]Tipe Plate'!$C:$D,2,FALSE)</f>
        <v>Grid Casting</v>
      </c>
      <c r="O396" s="4">
        <f>VLOOKUP(L396,'[1]Plate Infor'!$B:$D,3,FALSE)*D396</f>
        <v>1440</v>
      </c>
      <c r="P396" s="4">
        <f>IFERROR(VLOOKUP(IF(MID(M396,3,1)="F","W-UNPL-"&amp;RIGHT(M396,20),M396),'[1]Data Pule'!$C:$E,3,FALSE),0)*O396</f>
        <v>185.03999999999996</v>
      </c>
      <c r="Q396" s="1" t="str">
        <f>VLOOKUP(L396,'[1]Plate Infor'!$B:$E,4,FALSE)</f>
        <v>W-UNPL-CG87NXX-T3L0-02-7S00</v>
      </c>
      <c r="R396" s="1" t="str">
        <f>VLOOKUP(MID(Q396,8,4),'[1]Tipe Plate'!$C:$D,2,FALSE)</f>
        <v>Grid Casting</v>
      </c>
      <c r="S396" s="4">
        <f>VLOOKUP(L396,'[1]Plate Infor'!$B:$F,5,FALSE)*D396</f>
        <v>1728</v>
      </c>
      <c r="T396" s="4">
        <f>IFERROR(VLOOKUP(IF(MID(Q396,3,1)="F","W-UNPL-"&amp;RIGHT(Q396,20),Q396),'[1]Data Pule'!$C:$E,3,FALSE),0)*S396</f>
        <v>198.72</v>
      </c>
    </row>
    <row r="397" spans="3:20" x14ac:dyDescent="0.35">
      <c r="C397" s="1" t="s">
        <v>295</v>
      </c>
      <c r="D397">
        <v>64</v>
      </c>
      <c r="E397" s="3" t="str">
        <f>MID(C397,5,1)</f>
        <v>U</v>
      </c>
      <c r="F397" s="3"/>
      <c r="G397" s="3"/>
      <c r="H397" s="3"/>
      <c r="I397" s="3"/>
      <c r="J397" s="3"/>
      <c r="K397" s="3"/>
      <c r="L397" s="1" t="str">
        <f>MID(C397,3,17)</f>
        <v>ACUP-95E41RX-B5C4</v>
      </c>
      <c r="M397" s="1" t="str">
        <f>VLOOKUP(L397,'[1]Plate Infor'!$B:$C,2,FALSE)</f>
        <v>W-UNPL-CG80PXX-L870-02-7S00</v>
      </c>
      <c r="N397" s="1" t="str">
        <f>VLOOKUP(MID(M397,8,4),'[1]Tipe Plate'!$C:$D,2,FALSE)</f>
        <v>Grid Casting</v>
      </c>
      <c r="O397" s="4">
        <f>VLOOKUP(L397,'[1]Plate Infor'!$B:$D,3,FALSE)*D397</f>
        <v>1344</v>
      </c>
      <c r="P397" s="4">
        <f>IFERROR(VLOOKUP(IF(MID(M397,3,1)="F","W-UNPL-"&amp;RIGHT(M397,20),M397),'[1]Data Pule'!$C:$E,3,FALSE),0)*O397</f>
        <v>203.07839999999999</v>
      </c>
      <c r="Q397" s="1" t="str">
        <f>VLOOKUP(L397,'[1]Plate Infor'!$B:$E,4,FALSE)</f>
        <v>W-UNPL-CG87NXX-T3L0-02-7S00</v>
      </c>
      <c r="R397" s="1" t="str">
        <f>VLOOKUP(MID(Q397,8,4),'[1]Tipe Plate'!$C:$D,2,FALSE)</f>
        <v>Grid Casting</v>
      </c>
      <c r="S397" s="4">
        <f>VLOOKUP(L397,'[1]Plate Infor'!$B:$F,5,FALSE)*D397</f>
        <v>1536</v>
      </c>
      <c r="T397" s="4">
        <f>IFERROR(VLOOKUP(IF(MID(Q397,3,1)="F","W-UNPL-"&amp;RIGHT(Q397,20),Q397),'[1]Data Pule'!$C:$E,3,FALSE),0)*S397</f>
        <v>176.64000000000001</v>
      </c>
    </row>
    <row r="398" spans="3:20" x14ac:dyDescent="0.35">
      <c r="C398" s="1" t="s">
        <v>296</v>
      </c>
      <c r="D398">
        <v>64</v>
      </c>
      <c r="E398" s="3" t="str">
        <f>MID(C398,5,1)</f>
        <v>U</v>
      </c>
      <c r="F398" s="3"/>
      <c r="G398" s="3"/>
      <c r="H398" s="3"/>
      <c r="I398" s="3"/>
      <c r="J398" s="3"/>
      <c r="K398" s="3"/>
      <c r="L398" s="1" t="str">
        <f>MID(C398,3,17)</f>
        <v>ACUP-95E41RX-B7C3</v>
      </c>
      <c r="M398" s="1" t="str">
        <f>VLOOKUP(L398,'[1]Plate Infor'!$B:$C,2,FALSE)</f>
        <v>W-UNPL-CG80PXX-L870-02-7S00</v>
      </c>
      <c r="N398" s="1" t="str">
        <f>VLOOKUP(MID(M398,8,4),'[1]Tipe Plate'!$C:$D,2,FALSE)</f>
        <v>Grid Casting</v>
      </c>
      <c r="O398" s="4">
        <f>VLOOKUP(L398,'[1]Plate Infor'!$B:$D,3,FALSE)*D398</f>
        <v>1536</v>
      </c>
      <c r="P398" s="4">
        <f>IFERROR(VLOOKUP(IF(MID(M398,3,1)="F","W-UNPL-"&amp;RIGHT(M398,20),M398),'[1]Data Pule'!$C:$E,3,FALSE),0)*O398</f>
        <v>232.08959999999996</v>
      </c>
      <c r="Q398" s="1" t="str">
        <f>VLOOKUP(L398,'[1]Plate Infor'!$B:$E,4,FALSE)</f>
        <v>W-UNPL-CG87NXX-T3L0-02-7S00</v>
      </c>
      <c r="R398" s="1" t="str">
        <f>VLOOKUP(MID(Q398,8,4),'[1]Tipe Plate'!$C:$D,2,FALSE)</f>
        <v>Grid Casting</v>
      </c>
      <c r="S398" s="4">
        <f>VLOOKUP(L398,'[1]Plate Infor'!$B:$F,5,FALSE)*D398</f>
        <v>1728</v>
      </c>
      <c r="T398" s="4">
        <f>IFERROR(VLOOKUP(IF(MID(Q398,3,1)="F","W-UNPL-"&amp;RIGHT(Q398,20),Q398),'[1]Data Pule'!$C:$E,3,FALSE),0)*S398</f>
        <v>198.72</v>
      </c>
    </row>
    <row r="399" spans="3:20" x14ac:dyDescent="0.35">
      <c r="C399" s="1" t="s">
        <v>297</v>
      </c>
      <c r="D399">
        <v>180</v>
      </c>
      <c r="E399" s="3" t="str">
        <f>MID(C399,5,1)</f>
        <v>U</v>
      </c>
      <c r="F399" s="3"/>
      <c r="G399" s="3"/>
      <c r="H399" s="3"/>
      <c r="I399" s="3"/>
      <c r="J399" s="3"/>
      <c r="K399" s="3"/>
      <c r="L399" s="1" t="str">
        <f>MID(C399,3,17)</f>
        <v>ACUP-115F51X-B9C4</v>
      </c>
      <c r="M399" s="1" t="str">
        <f>VLOOKUP(L399,'[1]Plate Infor'!$B:$C,2,FALSE)</f>
        <v>W-UNPL-CG82PXX-L870-02-7S00</v>
      </c>
      <c r="N399" s="1" t="str">
        <f>VLOOKUP(MID(M399,8,4),'[1]Tipe Plate'!$C:$D,2,FALSE)</f>
        <v>Grid Casting</v>
      </c>
      <c r="O399" s="4">
        <f>VLOOKUP(L399,'[1]Plate Infor'!$B:$D,3,FALSE)*D399</f>
        <v>4860</v>
      </c>
      <c r="P399" s="4">
        <f>IFERROR(VLOOKUP(IF(MID(M399,3,1)="F","W-UNPL-"&amp;RIGHT(M399,20),M399),'[1]Data Pule'!$C:$E,3,FALSE),0)*O399</f>
        <v>624.50999999999988</v>
      </c>
      <c r="Q399" s="1" t="str">
        <f>VLOOKUP(L399,'[1]Plate Infor'!$B:$E,4,FALSE)</f>
        <v>W-UNPL-CG87NXX-T3L0-02-7S00</v>
      </c>
      <c r="R399" s="1" t="str">
        <f>VLOOKUP(MID(Q399,8,4),'[1]Tipe Plate'!$C:$D,2,FALSE)</f>
        <v>Grid Casting</v>
      </c>
      <c r="S399" s="4">
        <f>VLOOKUP(L399,'[1]Plate Infor'!$B:$F,5,FALSE)*D399</f>
        <v>5400</v>
      </c>
      <c r="T399" s="4">
        <f>IFERROR(VLOOKUP(IF(MID(Q399,3,1)="F","W-UNPL-"&amp;RIGHT(Q399,20),Q399),'[1]Data Pule'!$C:$E,3,FALSE),0)*S399</f>
        <v>621</v>
      </c>
    </row>
    <row r="400" spans="3:20" x14ac:dyDescent="0.35">
      <c r="C400" s="1" t="s">
        <v>298</v>
      </c>
      <c r="D400">
        <v>72</v>
      </c>
      <c r="E400" s="3" t="str">
        <f>MID(C400,5,1)</f>
        <v>U</v>
      </c>
      <c r="F400" s="3"/>
      <c r="G400" s="3"/>
      <c r="H400" s="3"/>
      <c r="I400" s="3"/>
      <c r="J400" s="3"/>
      <c r="K400" s="3"/>
      <c r="L400" s="1" t="str">
        <f>MID(C400,3,17)</f>
        <v>ACUP-115F51X-C1C3</v>
      </c>
      <c r="M400" s="1" t="str">
        <f>VLOOKUP(L400,'[1]Plate Infor'!$B:$C,2,FALSE)</f>
        <v>W-UNPL-CG80PXX-L870-02-7S00</v>
      </c>
      <c r="N400" s="1" t="str">
        <f>VLOOKUP(MID(M400,8,4),'[1]Tipe Plate'!$C:$D,2,FALSE)</f>
        <v>Grid Casting</v>
      </c>
      <c r="O400" s="4">
        <f>VLOOKUP(L400,'[1]Plate Infor'!$B:$D,3,FALSE)*D400</f>
        <v>2160</v>
      </c>
      <c r="P400" s="4">
        <f>IFERROR(VLOOKUP(IF(MID(M400,3,1)="F","W-UNPL-"&amp;RIGHT(M400,20),M400),'[1]Data Pule'!$C:$E,3,FALSE),0)*O400</f>
        <v>326.37599999999998</v>
      </c>
      <c r="Q400" s="1" t="str">
        <f>VLOOKUP(L400,'[1]Plate Infor'!$B:$E,4,FALSE)</f>
        <v>W-UNPL-CG87NXX-T3L0-02-7S00</v>
      </c>
      <c r="R400" s="1" t="str">
        <f>VLOOKUP(MID(Q400,8,4),'[1]Tipe Plate'!$C:$D,2,FALSE)</f>
        <v>Grid Casting</v>
      </c>
      <c r="S400" s="4">
        <f>VLOOKUP(L400,'[1]Plate Infor'!$B:$F,5,FALSE)*D400</f>
        <v>2376</v>
      </c>
      <c r="T400" s="4">
        <f>IFERROR(VLOOKUP(IF(MID(Q400,3,1)="F","W-UNPL-"&amp;RIGHT(Q400,20),Q400),'[1]Data Pule'!$C:$E,3,FALSE),0)*S400</f>
        <v>273.24</v>
      </c>
    </row>
    <row r="401" spans="3:20" x14ac:dyDescent="0.35">
      <c r="C401" s="1" t="s">
        <v>299</v>
      </c>
      <c r="D401">
        <v>60</v>
      </c>
      <c r="E401" s="3" t="str">
        <f>MID(C401,5,1)</f>
        <v>U</v>
      </c>
      <c r="F401" s="3"/>
      <c r="G401" s="3"/>
      <c r="H401" s="3"/>
      <c r="I401" s="3"/>
      <c r="J401" s="3"/>
      <c r="K401" s="3"/>
      <c r="L401" s="1" t="str">
        <f>MID(C401,3,17)</f>
        <v>ACUP-145G51X-C3C5</v>
      </c>
      <c r="M401" s="1" t="str">
        <f>VLOOKUP(L401,'[1]Plate Infor'!$B:$C,2,FALSE)</f>
        <v>W-UNPL-CG82PXX-L870-02-7S00</v>
      </c>
      <c r="N401" s="1" t="str">
        <f>VLOOKUP(MID(M401,8,4),'[1]Tipe Plate'!$C:$D,2,FALSE)</f>
        <v>Grid Casting</v>
      </c>
      <c r="O401" s="4">
        <f>VLOOKUP(L401,'[1]Plate Infor'!$B:$D,3,FALSE)*D401</f>
        <v>1980</v>
      </c>
      <c r="P401" s="4">
        <f>IFERROR(VLOOKUP(IF(MID(M401,3,1)="F","W-UNPL-"&amp;RIGHT(M401,20),M401),'[1]Data Pule'!$C:$E,3,FALSE),0)*O401</f>
        <v>254.42999999999995</v>
      </c>
      <c r="Q401" s="1" t="str">
        <f>VLOOKUP(L401,'[1]Plate Infor'!$B:$E,4,FALSE)</f>
        <v>W-UNPL-CG87NXX-T3L0-02-7S00</v>
      </c>
      <c r="R401" s="1" t="str">
        <f>VLOOKUP(MID(Q401,8,4),'[1]Tipe Plate'!$C:$D,2,FALSE)</f>
        <v>Grid Casting</v>
      </c>
      <c r="S401" s="4">
        <f>VLOOKUP(L401,'[1]Plate Infor'!$B:$F,5,FALSE)*D401</f>
        <v>2160</v>
      </c>
      <c r="T401" s="4">
        <f>IFERROR(VLOOKUP(IF(MID(Q401,3,1)="F","W-UNPL-"&amp;RIGHT(Q401,20),Q401),'[1]Data Pule'!$C:$E,3,FALSE),0)*S401</f>
        <v>248.4</v>
      </c>
    </row>
    <row r="402" spans="3:20" x14ac:dyDescent="0.35">
      <c r="C402" s="1" t="s">
        <v>300</v>
      </c>
      <c r="D402">
        <v>60</v>
      </c>
      <c r="E402" s="3" t="str">
        <f>MID(C402,5,1)</f>
        <v>U</v>
      </c>
      <c r="F402" s="3"/>
      <c r="G402" s="3"/>
      <c r="H402" s="3"/>
      <c r="I402" s="3"/>
      <c r="J402" s="3"/>
      <c r="K402" s="3"/>
      <c r="L402" s="1" t="str">
        <f>MID(C402,3,17)</f>
        <v>ACUP-145G51X-C7C3</v>
      </c>
      <c r="M402" s="1" t="str">
        <f>VLOOKUP(L402,'[1]Plate Infor'!$B:$C,2,FALSE)</f>
        <v>W-UNPL-CG82PXX-L870-02-7S00</v>
      </c>
      <c r="N402" s="1" t="str">
        <f>VLOOKUP(MID(M402,8,4),'[1]Tipe Plate'!$C:$D,2,FALSE)</f>
        <v>Grid Casting</v>
      </c>
      <c r="O402" s="4">
        <f>VLOOKUP(L402,'[1]Plate Infor'!$B:$D,3,FALSE)*D402</f>
        <v>2340</v>
      </c>
      <c r="P402" s="4">
        <f>IFERROR(VLOOKUP(IF(MID(M402,3,1)="F","W-UNPL-"&amp;RIGHT(M402,20),M402),'[1]Data Pule'!$C:$E,3,FALSE),0)*O402</f>
        <v>300.68999999999994</v>
      </c>
      <c r="Q402" s="1" t="str">
        <f>VLOOKUP(L402,'[1]Plate Infor'!$B:$E,4,FALSE)</f>
        <v>W-UNPL-CG87NXX-T3L0-02-7S00</v>
      </c>
      <c r="R402" s="1" t="str">
        <f>VLOOKUP(MID(Q402,8,4),'[1]Tipe Plate'!$C:$D,2,FALSE)</f>
        <v>Grid Casting</v>
      </c>
      <c r="S402" s="4">
        <f>VLOOKUP(L402,'[1]Plate Infor'!$B:$F,5,FALSE)*D402</f>
        <v>2520</v>
      </c>
      <c r="T402" s="4">
        <f>IFERROR(VLOOKUP(IF(MID(Q402,3,1)="F","W-UNPL-"&amp;RIGHT(Q402,20),Q402),'[1]Data Pule'!$C:$E,3,FALSE),0)*S402</f>
        <v>289.8</v>
      </c>
    </row>
    <row r="403" spans="3:20" x14ac:dyDescent="0.35">
      <c r="C403" s="1" t="s">
        <v>341</v>
      </c>
      <c r="D403">
        <v>120</v>
      </c>
      <c r="E403" s="3" t="str">
        <f>MID(C403,5,1)</f>
        <v>U</v>
      </c>
      <c r="F403" s="3"/>
      <c r="G403" s="3"/>
      <c r="H403" s="3"/>
      <c r="I403" s="3"/>
      <c r="J403" s="3"/>
      <c r="K403" s="3"/>
      <c r="L403" s="1" t="str">
        <f>MID(C403,3,17)</f>
        <v>ACUP-190H52X-D7C3</v>
      </c>
      <c r="M403" s="1" t="str">
        <f>VLOOKUP(L403,'[1]Plate Infor'!$B:$C,2,FALSE)</f>
        <v>W-UNPL-CG82PXX-L870-02-7S00</v>
      </c>
      <c r="N403" s="1" t="str">
        <f>VLOOKUP(MID(M403,8,4),'[1]Tipe Plate'!$C:$D,2,FALSE)</f>
        <v>Grid Casting</v>
      </c>
      <c r="O403" s="4">
        <f>VLOOKUP(L403,'[1]Plate Infor'!$B:$D,3,FALSE)*D403</f>
        <v>6480</v>
      </c>
      <c r="P403" s="4">
        <f>IFERROR(VLOOKUP(IF(MID(M403,3,1)="F","W-UNPL-"&amp;RIGHT(M403,20),M403),'[1]Data Pule'!$C:$E,3,FALSE),0)*O403</f>
        <v>832.67999999999984</v>
      </c>
      <c r="Q403" s="1" t="str">
        <f>VLOOKUP(L403,'[1]Plate Infor'!$B:$E,4,FALSE)</f>
        <v>W-UNPL-CG87NXX-T3L0-02-7S00</v>
      </c>
      <c r="R403" s="1" t="str">
        <f>VLOOKUP(MID(Q403,8,4),'[1]Tipe Plate'!$C:$D,2,FALSE)</f>
        <v>Grid Casting</v>
      </c>
      <c r="S403" s="4">
        <f>VLOOKUP(L403,'[1]Plate Infor'!$B:$F,5,FALSE)*D403</f>
        <v>6840</v>
      </c>
      <c r="T403" s="4">
        <f>IFERROR(VLOOKUP(IF(MID(Q403,3,1)="F","W-UNPL-"&amp;RIGHT(Q403,20),Q403),'[1]Data Pule'!$C:$E,3,FALSE),0)*S403</f>
        <v>786.6</v>
      </c>
    </row>
    <row r="404" spans="3:20" x14ac:dyDescent="0.35">
      <c r="C404" s="1" t="s">
        <v>303</v>
      </c>
      <c r="D404">
        <v>135</v>
      </c>
      <c r="E404" s="3" t="str">
        <f>MID(C404,5,1)</f>
        <v>U</v>
      </c>
      <c r="F404" s="3"/>
      <c r="G404" s="3"/>
      <c r="H404" s="3"/>
      <c r="I404" s="3"/>
      <c r="J404" s="3"/>
      <c r="K404" s="3"/>
      <c r="L404" s="1" t="str">
        <f>MID(C404,3,17)</f>
        <v>AMUP-36B20LX-A9P4</v>
      </c>
      <c r="M404" s="1" t="str">
        <f>VLOOKUP(L404,'[1]Plate Infor'!$B:$C,2,FALSE)</f>
        <v>W-UNPL-WM84PXX-L65F-00-7S00</v>
      </c>
      <c r="N404" s="1" t="str">
        <f>VLOOKUP(MID(M404,8,4),'[1]Tipe Plate'!$C:$D,2,FALSE)</f>
        <v>Grid Casting</v>
      </c>
      <c r="O404" s="4">
        <f>VLOOKUP(L404,'[1]Plate Infor'!$B:$D,3,FALSE)*D404</f>
        <v>1620</v>
      </c>
      <c r="P404" s="4">
        <f>IFERROR(VLOOKUP(IF(MID(M404,3,1)="F","W-UNPL-"&amp;RIGHT(M404,20),M404),'[1]Data Pule'!$C:$E,3,FALSE),0)*O404</f>
        <v>184.518</v>
      </c>
      <c r="Q404" s="1" t="str">
        <f>VLOOKUP(L404,'[1]Plate Infor'!$B:$E,4,FALSE)</f>
        <v>W-UNPL-WM85NXX-T3AF-00-7S00</v>
      </c>
      <c r="R404" s="1" t="str">
        <f>VLOOKUP(MID(Q404,8,4),'[1]Tipe Plate'!$C:$D,2,FALSE)</f>
        <v>Grid Punching</v>
      </c>
      <c r="S404" s="4">
        <f>VLOOKUP(L404,'[1]Plate Infor'!$B:$F,5,FALSE)*D404</f>
        <v>2025</v>
      </c>
      <c r="T404" s="4">
        <f>IFERROR(VLOOKUP(IF(MID(Q404,3,1)="F","W-UNPL-"&amp;RIGHT(Q404,20),Q404),'[1]Data Pule'!$C:$E,3,FALSE),0)*S404</f>
        <v>215.25750000000002</v>
      </c>
    </row>
    <row r="405" spans="3:20" x14ac:dyDescent="0.35">
      <c r="C405" s="1" t="s">
        <v>304</v>
      </c>
      <c r="D405">
        <v>108</v>
      </c>
      <c r="E405" s="3" t="str">
        <f>MID(C405,5,1)</f>
        <v>U</v>
      </c>
      <c r="F405" s="3"/>
      <c r="G405" s="3"/>
      <c r="H405" s="3"/>
      <c r="I405" s="3"/>
      <c r="J405" s="3"/>
      <c r="K405" s="3"/>
      <c r="L405" s="1" t="str">
        <f>MID(C405,3,17)</f>
        <v>AVUP-46B24RS-B0A4</v>
      </c>
      <c r="M405" s="1" t="str">
        <f>VLOOKUP(L405,'[1]Plate Infor'!$B:$C,2,FALSE)</f>
        <v>W-UNPL-CM84APX-L870-02-7S00</v>
      </c>
      <c r="N405" s="1" t="str">
        <f>VLOOKUP(MID(M405,8,4),'[1]Tipe Plate'!$C:$D,2,FALSE)</f>
        <v>Grid Casting</v>
      </c>
      <c r="O405" s="4">
        <f>VLOOKUP(L405,'[1]Plate Infor'!$B:$D,3,FALSE)*D405</f>
        <v>1620</v>
      </c>
      <c r="P405" s="4">
        <f>IFERROR(VLOOKUP(IF(MID(M405,3,1)="F","W-UNPL-"&amp;RIGHT(M405,20),M405),'[1]Data Pule'!$C:$E,3,FALSE),0)*O405</f>
        <v>145.31399999999999</v>
      </c>
      <c r="Q405" s="1" t="str">
        <f>VLOOKUP(L405,'[1]Plate Infor'!$B:$E,4,FALSE)</f>
        <v>W-UNPL-WM85NXX-T3AF-00-7S00</v>
      </c>
      <c r="R405" s="1" t="str">
        <f>VLOOKUP(MID(Q405,8,4),'[1]Tipe Plate'!$C:$D,2,FALSE)</f>
        <v>Grid Punching</v>
      </c>
      <c r="S405" s="4">
        <f>VLOOKUP(L405,'[1]Plate Infor'!$B:$F,5,FALSE)*D405</f>
        <v>1620</v>
      </c>
      <c r="T405" s="4">
        <f>IFERROR(VLOOKUP(IF(MID(Q405,3,1)="F","W-UNPL-"&amp;RIGHT(Q405,20),Q405),'[1]Data Pule'!$C:$E,3,FALSE),0)*S405</f>
        <v>172.20600000000002</v>
      </c>
    </row>
    <row r="406" spans="3:20" x14ac:dyDescent="0.35">
      <c r="C406" s="1" t="s">
        <v>305</v>
      </c>
      <c r="D406">
        <v>108</v>
      </c>
      <c r="E406" s="3" t="str">
        <f>MID(C406,5,1)</f>
        <v>U</v>
      </c>
      <c r="F406" s="3"/>
      <c r="G406" s="3"/>
      <c r="H406" s="3"/>
      <c r="I406" s="3"/>
      <c r="J406" s="3"/>
      <c r="K406" s="3"/>
      <c r="L406" s="1" t="str">
        <f>MID(C406,3,17)</f>
        <v>AVUP-46B24LS-B0A4</v>
      </c>
      <c r="M406" s="1" t="str">
        <f>VLOOKUP(L406,'[1]Plate Infor'!$B:$C,2,FALSE)</f>
        <v>W-UNPL-CM84APX-L870-02-7S00</v>
      </c>
      <c r="N406" s="1" t="str">
        <f>VLOOKUP(MID(M406,8,4),'[1]Tipe Plate'!$C:$D,2,FALSE)</f>
        <v>Grid Casting</v>
      </c>
      <c r="O406" s="4">
        <f>VLOOKUP(L406,'[1]Plate Infor'!$B:$D,3,FALSE)*D406</f>
        <v>1620</v>
      </c>
      <c r="P406" s="4">
        <f>IFERROR(VLOOKUP(IF(MID(M406,3,1)="F","W-UNPL-"&amp;RIGHT(M406,20),M406),'[1]Data Pule'!$C:$E,3,FALSE),0)*O406</f>
        <v>145.31399999999999</v>
      </c>
      <c r="Q406" s="1" t="str">
        <f>VLOOKUP(L406,'[1]Plate Infor'!$B:$E,4,FALSE)</f>
        <v>W-UNPL-WM85NXX-T3AF-00-7S00</v>
      </c>
      <c r="R406" s="1" t="str">
        <f>VLOOKUP(MID(Q406,8,4),'[1]Tipe Plate'!$C:$D,2,FALSE)</f>
        <v>Grid Punching</v>
      </c>
      <c r="S406" s="4">
        <f>VLOOKUP(L406,'[1]Plate Infor'!$B:$F,5,FALSE)*D406</f>
        <v>1620</v>
      </c>
      <c r="T406" s="4">
        <f>IFERROR(VLOOKUP(IF(MID(Q406,3,1)="F","W-UNPL-"&amp;RIGHT(Q406,20),Q406),'[1]Data Pule'!$C:$E,3,FALSE),0)*S406</f>
        <v>172.20600000000002</v>
      </c>
    </row>
    <row r="407" spans="3:20" x14ac:dyDescent="0.35">
      <c r="C407" s="1" t="s">
        <v>307</v>
      </c>
      <c r="D407">
        <v>96</v>
      </c>
      <c r="E407" s="3" t="str">
        <f>MID(C407,5,1)</f>
        <v>U</v>
      </c>
      <c r="F407" s="3"/>
      <c r="G407" s="3"/>
      <c r="H407" s="3"/>
      <c r="I407" s="3"/>
      <c r="J407" s="3"/>
      <c r="K407" s="3"/>
      <c r="L407" s="1" t="str">
        <f>MID(C407,3,17)</f>
        <v>AVUP-65D26LX-B0A4</v>
      </c>
      <c r="M407" s="1" t="str">
        <f>VLOOKUP(L407,'[1]Plate Infor'!$B:$C,2,FALSE)</f>
        <v>W-UNPL-CG85EPX-L870-02-7C00</v>
      </c>
      <c r="N407" s="1" t="str">
        <f>VLOOKUP(MID(M407,8,4),'[1]Tipe Plate'!$C:$D,2,FALSE)</f>
        <v>Grid Casting</v>
      </c>
      <c r="O407" s="4">
        <f>VLOOKUP(L407,'[1]Plate Infor'!$B:$D,3,FALSE)*D407</f>
        <v>1440</v>
      </c>
      <c r="P407" s="4">
        <f>IFERROR(VLOOKUP(IF(MID(M407,3,1)="F","W-UNPL-"&amp;RIGHT(M407,20),M407),'[1]Data Pule'!$C:$E,3,FALSE),0)*O407</f>
        <v>175.96800000000002</v>
      </c>
      <c r="Q407" s="1" t="str">
        <f>VLOOKUP(L407,'[1]Plate Infor'!$B:$E,4,FALSE)</f>
        <v>W-UNPL-WG87NXX-T3AF-00-7C00</v>
      </c>
      <c r="R407" s="1" t="str">
        <f>VLOOKUP(MID(Q407,8,4),'[1]Tipe Plate'!$C:$D,2,FALSE)</f>
        <v>Grid Punching</v>
      </c>
      <c r="S407" s="4">
        <f>VLOOKUP(L407,'[1]Plate Infor'!$B:$F,5,FALSE)*D407</f>
        <v>1440</v>
      </c>
      <c r="T407" s="4">
        <f>IFERROR(VLOOKUP(IF(MID(Q407,3,1)="F","W-UNPL-"&amp;RIGHT(Q407,20),Q407),'[1]Data Pule'!$C:$E,3,FALSE),0)*S407</f>
        <v>188.20799999999997</v>
      </c>
    </row>
    <row r="408" spans="3:20" x14ac:dyDescent="0.35">
      <c r="C408" s="1" t="s">
        <v>342</v>
      </c>
      <c r="D408">
        <v>30</v>
      </c>
      <c r="E408" s="3" t="str">
        <f>MID(C408,5,1)</f>
        <v>U</v>
      </c>
      <c r="F408" s="3"/>
      <c r="G408" s="3"/>
      <c r="H408" s="3"/>
      <c r="I408" s="3"/>
      <c r="J408" s="3"/>
      <c r="K408" s="3"/>
      <c r="L408" s="1" t="str">
        <f>MID(C408,3,17)</f>
        <v>AMUP-145G51X-C5C4</v>
      </c>
      <c r="M408" s="1" t="str">
        <f>VLOOKUP(L408,'[1]Plate Infor'!$B:$C,2,FALSE)</f>
        <v>W-UNPL-YG82PXX-L650-02-7S00</v>
      </c>
      <c r="N408" s="1" t="str">
        <f>VLOOKUP(MID(M408,8,4),'[1]Tipe Plate'!$C:$D,2,FALSE)</f>
        <v>Grid Casting</v>
      </c>
      <c r="O408" s="4">
        <f>VLOOKUP(L408,'[1]Plate Infor'!$B:$D,3,FALSE)*D408</f>
        <v>1170</v>
      </c>
      <c r="P408" s="4">
        <f>IFERROR(VLOOKUP(IF(MID(M408,3,1)="F","W-UNPL-"&amp;RIGHT(M408,20),M408),'[1]Data Pule'!$C:$E,3,FALSE),0)*O408</f>
        <v>160.87499999999997</v>
      </c>
      <c r="Q408" s="1" t="str">
        <f>VLOOKUP(L408,'[1]Plate Infor'!$B:$E,4,FALSE)</f>
        <v>W-UNPL-YG85NXX-T3A0-02-7S00</v>
      </c>
      <c r="R408" s="1" t="str">
        <f>VLOOKUP(MID(Q408,8,4),'[1]Tipe Plate'!$C:$D,2,FALSE)</f>
        <v>Grid Casting</v>
      </c>
      <c r="S408" s="4">
        <f>VLOOKUP(L408,'[1]Plate Infor'!$B:$F,5,FALSE)*D408</f>
        <v>1080</v>
      </c>
      <c r="T408" s="4">
        <f>IFERROR(VLOOKUP(IF(MID(Q408,3,1)="F","W-UNPL-"&amp;RIGHT(Q408,20),Q408),'[1]Data Pule'!$C:$E,3,FALSE),0)*S408</f>
        <v>141.15599999999998</v>
      </c>
    </row>
    <row r="409" spans="3:20" x14ac:dyDescent="0.35">
      <c r="C409" s="1" t="s">
        <v>343</v>
      </c>
      <c r="D409">
        <v>144</v>
      </c>
      <c r="E409" s="3" t="str">
        <f>MID(C409,5,1)</f>
        <v>U</v>
      </c>
      <c r="F409" s="3"/>
      <c r="G409" s="3"/>
      <c r="H409" s="3"/>
      <c r="I409" s="3"/>
      <c r="J409" s="3"/>
      <c r="K409" s="3"/>
      <c r="L409" s="1" t="str">
        <f>MID(C409,3,17)</f>
        <v>ACUP-46B24RS-A9C5</v>
      </c>
      <c r="M409" s="1" t="str">
        <f>VLOOKUP(L409,'[1]Plate Infor'!$B:$C,2,FALSE)</f>
        <v>W-UNPL-CM84APX-L870-02-7S00</v>
      </c>
      <c r="N409" s="1" t="str">
        <f>VLOOKUP(MID(M409,8,4),'[1]Tipe Plate'!$C:$D,2,FALSE)</f>
        <v>Grid Casting</v>
      </c>
      <c r="O409" s="4">
        <f>VLOOKUP(L409,'[1]Plate Infor'!$B:$D,3,FALSE)*D409</f>
        <v>1728</v>
      </c>
      <c r="P409" s="4">
        <f>IFERROR(VLOOKUP(IF(MID(M409,3,1)="F","W-UNPL-"&amp;RIGHT(M409,20),M409),'[1]Data Pule'!$C:$E,3,FALSE),0)*O409</f>
        <v>155.0016</v>
      </c>
      <c r="Q409" s="1" t="str">
        <f>VLOOKUP(L409,'[1]Plate Infor'!$B:$E,4,FALSE)</f>
        <v>W-UNPL-CM8786N-T3L0-02-7S00</v>
      </c>
      <c r="R409" s="1" t="str">
        <f>VLOOKUP(MID(Q409,8,4),'[1]Tipe Plate'!$C:$D,2,FALSE)</f>
        <v>Grid Casting</v>
      </c>
      <c r="S409" s="4">
        <f>VLOOKUP(L409,'[1]Plate Infor'!$B:$F,5,FALSE)*D409</f>
        <v>2160</v>
      </c>
      <c r="T409" s="4">
        <f>IFERROR(VLOOKUP(IF(MID(Q409,3,1)="F","W-UNPL-"&amp;RIGHT(Q409,20),Q409),'[1]Data Pule'!$C:$E,3,FALSE),0)*S409</f>
        <v>203.68800000000002</v>
      </c>
    </row>
    <row r="410" spans="3:20" x14ac:dyDescent="0.35">
      <c r="C410" s="1" t="s">
        <v>344</v>
      </c>
      <c r="D410">
        <v>96</v>
      </c>
      <c r="E410" s="3" t="str">
        <f>MID(C410,5,1)</f>
        <v>U</v>
      </c>
      <c r="F410" s="3"/>
      <c r="G410" s="3"/>
      <c r="H410" s="3"/>
      <c r="I410" s="3"/>
      <c r="J410" s="3"/>
      <c r="K410" s="3"/>
      <c r="L410" s="1" t="str">
        <f>MID(C410,3,17)</f>
        <v>ACUP-65D26RX-B1C4</v>
      </c>
      <c r="M410" s="1" t="str">
        <f>VLOOKUP(L410,'[1]Plate Infor'!$B:$C,2,FALSE)</f>
        <v>W-UNPL-CG82PXX-L870-02-7S00</v>
      </c>
      <c r="N410" s="1" t="str">
        <f>VLOOKUP(MID(M410,8,4),'[1]Tipe Plate'!$C:$D,2,FALSE)</f>
        <v>Grid Casting</v>
      </c>
      <c r="O410" s="4">
        <f>VLOOKUP(L410,'[1]Plate Infor'!$B:$D,3,FALSE)*D410</f>
        <v>1440</v>
      </c>
      <c r="P410" s="4">
        <f>IFERROR(VLOOKUP(IF(MID(M410,3,1)="F","W-UNPL-"&amp;RIGHT(M410,20),M410),'[1]Data Pule'!$C:$E,3,FALSE),0)*O410</f>
        <v>185.03999999999996</v>
      </c>
      <c r="Q410" s="1" t="str">
        <f>VLOOKUP(L410,'[1]Plate Infor'!$B:$E,4,FALSE)</f>
        <v>W-UNPL-CG87NXX-T3L0-02-7S00</v>
      </c>
      <c r="R410" s="1" t="str">
        <f>VLOOKUP(MID(Q410,8,4),'[1]Tipe Plate'!$C:$D,2,FALSE)</f>
        <v>Grid Casting</v>
      </c>
      <c r="S410" s="4">
        <f>VLOOKUP(L410,'[1]Plate Infor'!$B:$F,5,FALSE)*D410</f>
        <v>1728</v>
      </c>
      <c r="T410" s="4">
        <f>IFERROR(VLOOKUP(IF(MID(Q410,3,1)="F","W-UNPL-"&amp;RIGHT(Q410,20),Q410),'[1]Data Pule'!$C:$E,3,FALSE),0)*S410</f>
        <v>198.72</v>
      </c>
    </row>
    <row r="411" spans="3:20" x14ac:dyDescent="0.35">
      <c r="C411" s="1" t="s">
        <v>345</v>
      </c>
      <c r="D411">
        <v>72</v>
      </c>
      <c r="E411" s="3" t="str">
        <f>MID(C411,5,1)</f>
        <v>U</v>
      </c>
      <c r="F411" s="3"/>
      <c r="G411" s="3"/>
      <c r="H411" s="3"/>
      <c r="I411" s="3"/>
      <c r="J411" s="3"/>
      <c r="K411" s="3"/>
      <c r="L411" s="1" t="str">
        <f>MID(C411,3,17)</f>
        <v>ACUP-115F51X-B9C4</v>
      </c>
      <c r="M411" s="1" t="str">
        <f>VLOOKUP(L411,'[1]Plate Infor'!$B:$C,2,FALSE)</f>
        <v>W-UNPL-CG82PXX-L870-02-7S00</v>
      </c>
      <c r="N411" s="1" t="str">
        <f>VLOOKUP(MID(M411,8,4),'[1]Tipe Plate'!$C:$D,2,FALSE)</f>
        <v>Grid Casting</v>
      </c>
      <c r="O411" s="4">
        <f>VLOOKUP(L411,'[1]Plate Infor'!$B:$D,3,FALSE)*D411</f>
        <v>1944</v>
      </c>
      <c r="P411" s="4">
        <f>IFERROR(VLOOKUP(IF(MID(M411,3,1)="F","W-UNPL-"&amp;RIGHT(M411,20),M411),'[1]Data Pule'!$C:$E,3,FALSE),0)*O411</f>
        <v>249.80399999999995</v>
      </c>
      <c r="Q411" s="1" t="str">
        <f>VLOOKUP(L411,'[1]Plate Infor'!$B:$E,4,FALSE)</f>
        <v>W-UNPL-CG87NXX-T3L0-02-7S00</v>
      </c>
      <c r="R411" s="1" t="str">
        <f>VLOOKUP(MID(Q411,8,4),'[1]Tipe Plate'!$C:$D,2,FALSE)</f>
        <v>Grid Casting</v>
      </c>
      <c r="S411" s="4">
        <f>VLOOKUP(L411,'[1]Plate Infor'!$B:$F,5,FALSE)*D411</f>
        <v>2160</v>
      </c>
      <c r="T411" s="4">
        <f>IFERROR(VLOOKUP(IF(MID(Q411,3,1)="F","W-UNPL-"&amp;RIGHT(Q411,20),Q411),'[1]Data Pule'!$C:$E,3,FALSE),0)*S411</f>
        <v>248.4</v>
      </c>
    </row>
    <row r="412" spans="3:20" x14ac:dyDescent="0.35">
      <c r="C412" s="1" t="s">
        <v>346</v>
      </c>
      <c r="D412">
        <v>36</v>
      </c>
      <c r="E412" s="3" t="str">
        <f>MID(C412,5,1)</f>
        <v>U</v>
      </c>
      <c r="F412" s="3"/>
      <c r="G412" s="3"/>
      <c r="H412" s="3"/>
      <c r="I412" s="3"/>
      <c r="J412" s="3"/>
      <c r="K412" s="3"/>
      <c r="L412" s="1" t="str">
        <f>MID(C412,3,17)</f>
        <v>ACUP-115F51X-C1C3</v>
      </c>
      <c r="M412" s="1" t="str">
        <f>VLOOKUP(L412,'[1]Plate Infor'!$B:$C,2,FALSE)</f>
        <v>W-UNPL-CG80PXX-L870-02-7S00</v>
      </c>
      <c r="N412" s="1" t="str">
        <f>VLOOKUP(MID(M412,8,4),'[1]Tipe Plate'!$C:$D,2,FALSE)</f>
        <v>Grid Casting</v>
      </c>
      <c r="O412" s="4">
        <f>VLOOKUP(L412,'[1]Plate Infor'!$B:$D,3,FALSE)*D412</f>
        <v>1080</v>
      </c>
      <c r="P412" s="4">
        <f>IFERROR(VLOOKUP(IF(MID(M412,3,1)="F","W-UNPL-"&amp;RIGHT(M412,20),M412),'[1]Data Pule'!$C:$E,3,FALSE),0)*O412</f>
        <v>163.18799999999999</v>
      </c>
      <c r="Q412" s="1" t="str">
        <f>VLOOKUP(L412,'[1]Plate Infor'!$B:$E,4,FALSE)</f>
        <v>W-UNPL-CG87NXX-T3L0-02-7S00</v>
      </c>
      <c r="R412" s="1" t="str">
        <f>VLOOKUP(MID(Q412,8,4),'[1]Tipe Plate'!$C:$D,2,FALSE)</f>
        <v>Grid Casting</v>
      </c>
      <c r="S412" s="4">
        <f>VLOOKUP(L412,'[1]Plate Infor'!$B:$F,5,FALSE)*D412</f>
        <v>1188</v>
      </c>
      <c r="T412" s="4">
        <f>IFERROR(VLOOKUP(IF(MID(Q412,3,1)="F","W-UNPL-"&amp;RIGHT(Q412,20),Q412),'[1]Data Pule'!$C:$E,3,FALSE),0)*S412</f>
        <v>136.62</v>
      </c>
    </row>
    <row r="413" spans="3:20" x14ac:dyDescent="0.35">
      <c r="C413" s="1" t="s">
        <v>347</v>
      </c>
      <c r="D413">
        <v>60</v>
      </c>
      <c r="E413" s="3" t="str">
        <f>MID(C413,5,1)</f>
        <v>U</v>
      </c>
      <c r="F413" s="3"/>
      <c r="G413" s="3"/>
      <c r="H413" s="3"/>
      <c r="I413" s="3"/>
      <c r="J413" s="3"/>
      <c r="K413" s="3"/>
      <c r="L413" s="1" t="str">
        <f>MID(C413,3,17)</f>
        <v>ACUP-145G51X-C3C5</v>
      </c>
      <c r="M413" s="1" t="str">
        <f>VLOOKUP(L413,'[1]Plate Infor'!$B:$C,2,FALSE)</f>
        <v>W-UNPL-CG82PXX-L870-02-7S00</v>
      </c>
      <c r="N413" s="1" t="str">
        <f>VLOOKUP(MID(M413,8,4),'[1]Tipe Plate'!$C:$D,2,FALSE)</f>
        <v>Grid Casting</v>
      </c>
      <c r="O413" s="4">
        <f>VLOOKUP(L413,'[1]Plate Infor'!$B:$D,3,FALSE)*D413</f>
        <v>1980</v>
      </c>
      <c r="P413" s="4">
        <f>IFERROR(VLOOKUP(IF(MID(M413,3,1)="F","W-UNPL-"&amp;RIGHT(M413,20),M413),'[1]Data Pule'!$C:$E,3,FALSE),0)*O413</f>
        <v>254.42999999999995</v>
      </c>
      <c r="Q413" s="1" t="str">
        <f>VLOOKUP(L413,'[1]Plate Infor'!$B:$E,4,FALSE)</f>
        <v>W-UNPL-CG87NXX-T3L0-02-7S00</v>
      </c>
      <c r="R413" s="1" t="str">
        <f>VLOOKUP(MID(Q413,8,4),'[1]Tipe Plate'!$C:$D,2,FALSE)</f>
        <v>Grid Casting</v>
      </c>
      <c r="S413" s="4">
        <f>VLOOKUP(L413,'[1]Plate Infor'!$B:$F,5,FALSE)*D413</f>
        <v>2160</v>
      </c>
      <c r="T413" s="4">
        <f>IFERROR(VLOOKUP(IF(MID(Q413,3,1)="F","W-UNPL-"&amp;RIGHT(Q413,20),Q413),'[1]Data Pule'!$C:$E,3,FALSE),0)*S413</f>
        <v>248.4</v>
      </c>
    </row>
    <row r="414" spans="3:20" x14ac:dyDescent="0.35">
      <c r="C414" s="1" t="s">
        <v>330</v>
      </c>
      <c r="D414">
        <v>108</v>
      </c>
      <c r="E414" s="3" t="str">
        <f>MID(C414,5,1)</f>
        <v>U</v>
      </c>
      <c r="F414" s="3"/>
      <c r="G414" s="3"/>
      <c r="H414" s="3"/>
      <c r="I414" s="3"/>
      <c r="J414" s="3"/>
      <c r="K414" s="3"/>
      <c r="L414" s="1" t="str">
        <f>MID(C414,3,17)</f>
        <v>AVUP-46B24RS-B0A4</v>
      </c>
      <c r="M414" s="1" t="str">
        <f>VLOOKUP(L414,'[1]Plate Infor'!$B:$C,2,FALSE)</f>
        <v>W-UNPL-CM84APX-L870-02-7S00</v>
      </c>
      <c r="N414" s="1" t="str">
        <f>VLOOKUP(MID(M414,8,4),'[1]Tipe Plate'!$C:$D,2,FALSE)</f>
        <v>Grid Casting</v>
      </c>
      <c r="O414" s="4">
        <f>VLOOKUP(L414,'[1]Plate Infor'!$B:$D,3,FALSE)*D414</f>
        <v>1620</v>
      </c>
      <c r="P414" s="4">
        <f>IFERROR(VLOOKUP(IF(MID(M414,3,1)="F","W-UNPL-"&amp;RIGHT(M414,20),M414),'[1]Data Pule'!$C:$E,3,FALSE),0)*O414</f>
        <v>145.31399999999999</v>
      </c>
      <c r="Q414" s="1" t="str">
        <f>VLOOKUP(L414,'[1]Plate Infor'!$B:$E,4,FALSE)</f>
        <v>W-UNPL-WM85NXX-T3AF-00-7S00</v>
      </c>
      <c r="R414" s="1" t="str">
        <f>VLOOKUP(MID(Q414,8,4),'[1]Tipe Plate'!$C:$D,2,FALSE)</f>
        <v>Grid Punching</v>
      </c>
      <c r="S414" s="4">
        <f>VLOOKUP(L414,'[1]Plate Infor'!$B:$F,5,FALSE)*D414</f>
        <v>1620</v>
      </c>
      <c r="T414" s="4">
        <f>IFERROR(VLOOKUP(IF(MID(Q414,3,1)="F","W-UNPL-"&amp;RIGHT(Q414,20),Q414),'[1]Data Pule'!$C:$E,3,FALSE),0)*S414</f>
        <v>172.20600000000002</v>
      </c>
    </row>
    <row r="415" spans="3:20" x14ac:dyDescent="0.35">
      <c r="C415" s="1" t="s">
        <v>348</v>
      </c>
      <c r="D415">
        <v>108</v>
      </c>
      <c r="E415" s="3" t="str">
        <f>MID(C415,5,1)</f>
        <v>U</v>
      </c>
      <c r="F415" s="3"/>
      <c r="G415" s="3"/>
      <c r="H415" s="3"/>
      <c r="I415" s="3"/>
      <c r="J415" s="3"/>
      <c r="K415" s="3"/>
      <c r="L415" s="1" t="str">
        <f>MID(C415,3,17)</f>
        <v>AVUP-46B24LS-B0A4</v>
      </c>
      <c r="M415" s="1" t="str">
        <f>VLOOKUP(L415,'[1]Plate Infor'!$B:$C,2,FALSE)</f>
        <v>W-UNPL-CM84APX-L870-02-7S00</v>
      </c>
      <c r="N415" s="1" t="str">
        <f>VLOOKUP(MID(M415,8,4),'[1]Tipe Plate'!$C:$D,2,FALSE)</f>
        <v>Grid Casting</v>
      </c>
      <c r="O415" s="4">
        <f>VLOOKUP(L415,'[1]Plate Infor'!$B:$D,3,FALSE)*D415</f>
        <v>1620</v>
      </c>
      <c r="P415" s="4">
        <f>IFERROR(VLOOKUP(IF(MID(M415,3,1)="F","W-UNPL-"&amp;RIGHT(M415,20),M415),'[1]Data Pule'!$C:$E,3,FALSE),0)*O415</f>
        <v>145.31399999999999</v>
      </c>
      <c r="Q415" s="1" t="str">
        <f>VLOOKUP(L415,'[1]Plate Infor'!$B:$E,4,FALSE)</f>
        <v>W-UNPL-WM85NXX-T3AF-00-7S00</v>
      </c>
      <c r="R415" s="1" t="str">
        <f>VLOOKUP(MID(Q415,8,4),'[1]Tipe Plate'!$C:$D,2,FALSE)</f>
        <v>Grid Punching</v>
      </c>
      <c r="S415" s="4">
        <f>VLOOKUP(L415,'[1]Plate Infor'!$B:$F,5,FALSE)*D415</f>
        <v>1620</v>
      </c>
      <c r="T415" s="4">
        <f>IFERROR(VLOOKUP(IF(MID(Q415,3,1)="F","W-UNPL-"&amp;RIGHT(Q415,20),Q415),'[1]Data Pule'!$C:$E,3,FALSE),0)*S415</f>
        <v>172.20600000000002</v>
      </c>
    </row>
    <row r="416" spans="3:20" x14ac:dyDescent="0.35">
      <c r="C416" s="1" t="s">
        <v>349</v>
      </c>
      <c r="D416">
        <v>96</v>
      </c>
      <c r="E416" s="3" t="str">
        <f>MID(C416,5,1)</f>
        <v>U</v>
      </c>
      <c r="F416" s="3"/>
      <c r="G416" s="3"/>
      <c r="H416" s="3"/>
      <c r="I416" s="3"/>
      <c r="J416" s="3"/>
      <c r="K416" s="3"/>
      <c r="L416" s="1" t="str">
        <f>MID(C416,3,17)</f>
        <v>AVUP-65D26RX-B0A4</v>
      </c>
      <c r="M416" s="1" t="str">
        <f>VLOOKUP(L416,'[1]Plate Infor'!$B:$C,2,FALSE)</f>
        <v>W-UNPL-CG85EPX-L870-02-7C00</v>
      </c>
      <c r="N416" s="1" t="str">
        <f>VLOOKUP(MID(M416,8,4),'[1]Tipe Plate'!$C:$D,2,FALSE)</f>
        <v>Grid Casting</v>
      </c>
      <c r="O416" s="4">
        <f>VLOOKUP(L416,'[1]Plate Infor'!$B:$D,3,FALSE)*D416</f>
        <v>1440</v>
      </c>
      <c r="P416" s="4">
        <f>IFERROR(VLOOKUP(IF(MID(M416,3,1)="F","W-UNPL-"&amp;RIGHT(M416,20),M416),'[1]Data Pule'!$C:$E,3,FALSE),0)*O416</f>
        <v>175.96800000000002</v>
      </c>
      <c r="Q416" s="1" t="str">
        <f>VLOOKUP(L416,'[1]Plate Infor'!$B:$E,4,FALSE)</f>
        <v>W-UNPL-WG87NXX-T3AF-00-7C00</v>
      </c>
      <c r="R416" s="1" t="str">
        <f>VLOOKUP(MID(Q416,8,4),'[1]Tipe Plate'!$C:$D,2,FALSE)</f>
        <v>Grid Punching</v>
      </c>
      <c r="S416" s="4">
        <f>VLOOKUP(L416,'[1]Plate Infor'!$B:$F,5,FALSE)*D416</f>
        <v>1440</v>
      </c>
      <c r="T416" s="4">
        <f>IFERROR(VLOOKUP(IF(MID(Q416,3,1)="F","W-UNPL-"&amp;RIGHT(Q416,20),Q416),'[1]Data Pule'!$C:$E,3,FALSE),0)*S416</f>
        <v>188.20799999999997</v>
      </c>
    </row>
    <row r="417" spans="3:20" x14ac:dyDescent="0.35">
      <c r="C417" s="1" t="s">
        <v>350</v>
      </c>
      <c r="D417">
        <v>104</v>
      </c>
      <c r="E417" s="3" t="str">
        <f>MID(C417,5,1)</f>
        <v>U</v>
      </c>
      <c r="F417" s="3"/>
      <c r="G417" s="3"/>
      <c r="H417" s="3"/>
      <c r="I417" s="3"/>
      <c r="J417" s="3"/>
      <c r="K417" s="3"/>
      <c r="L417" s="1" t="str">
        <f>MID(C417,3,17)</f>
        <v>AMUP-55565RX-B0C3</v>
      </c>
      <c r="M417" s="1" t="str">
        <f>VLOOKUP(L417,'[1]Plate Infor'!$B:$C,2,FALSE)</f>
        <v>W-UNPL-YG82HDP-L650-02-7S00</v>
      </c>
      <c r="N417" s="1" t="str">
        <f>VLOOKUP(MID(M417,8,4),'[1]Tipe Plate'!$C:$D,2,FALSE)</f>
        <v>Grid Casting</v>
      </c>
      <c r="O417" s="4">
        <f>VLOOKUP(L417,'[1]Plate Infor'!$B:$D,3,FALSE)*D417</f>
        <v>1560</v>
      </c>
      <c r="P417" s="4">
        <f>IFERROR(VLOOKUP(IF(MID(M417,3,1)="F","W-UNPL-"&amp;RIGHT(M417,20),M417),'[1]Data Pule'!$C:$E,3,FALSE),0)*O417</f>
        <v>214.49999999999997</v>
      </c>
      <c r="Q417" s="1" t="str">
        <f>VLOOKUP(L417,'[1]Plate Infor'!$B:$E,4,FALSE)</f>
        <v>W-UNPL-YG85NXX-T3A0-02-7S00</v>
      </c>
      <c r="R417" s="1" t="str">
        <f>VLOOKUP(MID(Q417,8,4),'[1]Tipe Plate'!$C:$D,2,FALSE)</f>
        <v>Grid Casting</v>
      </c>
      <c r="S417" s="4">
        <f>VLOOKUP(L417,'[1]Plate Infor'!$B:$F,5,FALSE)*D417</f>
        <v>1560</v>
      </c>
      <c r="T417" s="4">
        <f>IFERROR(VLOOKUP(IF(MID(Q417,3,1)="F","W-UNPL-"&amp;RIGHT(Q417,20),Q417),'[1]Data Pule'!$C:$E,3,FALSE),0)*S417</f>
        <v>203.89199999999997</v>
      </c>
    </row>
    <row r="418" spans="3:20" x14ac:dyDescent="0.35">
      <c r="C418" s="1" t="s">
        <v>351</v>
      </c>
      <c r="D418">
        <v>84</v>
      </c>
      <c r="E418" s="3" t="str">
        <f>MID(C418,5,1)</f>
        <v>U</v>
      </c>
      <c r="F418" s="3"/>
      <c r="G418" s="3"/>
      <c r="H418" s="3"/>
      <c r="I418" s="3"/>
      <c r="J418" s="3"/>
      <c r="K418" s="3"/>
      <c r="L418" s="1" t="str">
        <f>MID(C418,3,17)</f>
        <v>AMUP-95D31RX-B3P4</v>
      </c>
      <c r="M418" s="1" t="str">
        <f>VLOOKUP(L418,'[1]Plate Infor'!$B:$C,2,FALSE)</f>
        <v>W-UNPL-WG83PXX-L65F-00-7C00</v>
      </c>
      <c r="N418" s="1" t="str">
        <f>VLOOKUP(MID(M418,8,4),'[1]Tipe Plate'!$C:$D,2,FALSE)</f>
        <v>Grid Punching</v>
      </c>
      <c r="O418" s="4">
        <f>VLOOKUP(L418,'[1]Plate Infor'!$B:$D,3,FALSE)*D418</f>
        <v>1512</v>
      </c>
      <c r="P418" s="4">
        <f>IFERROR(VLOOKUP(IF(MID(M418,3,1)="F","W-UNPL-"&amp;RIGHT(M418,20),M418),'[1]Data Pule'!$C:$E,3,FALSE),0)*O418</f>
        <v>255.98159999999996</v>
      </c>
      <c r="Q418" s="1" t="str">
        <f>VLOOKUP(L418,'[1]Plate Infor'!$B:$E,4,FALSE)</f>
        <v>W-UNPL-WG87NXX-T3AF-00-7C00</v>
      </c>
      <c r="R418" s="1" t="str">
        <f>VLOOKUP(MID(Q418,8,4),'[1]Tipe Plate'!$C:$D,2,FALSE)</f>
        <v>Grid Punching</v>
      </c>
      <c r="S418" s="4">
        <f>VLOOKUP(L418,'[1]Plate Infor'!$B:$F,5,FALSE)*D418</f>
        <v>1764</v>
      </c>
      <c r="T418" s="4">
        <f>IFERROR(VLOOKUP(IF(MID(Q418,3,1)="F","W-UNPL-"&amp;RIGHT(Q418,20),Q418),'[1]Data Pule'!$C:$E,3,FALSE),0)*S418</f>
        <v>230.55479999999997</v>
      </c>
    </row>
    <row r="419" spans="3:20" x14ac:dyDescent="0.35">
      <c r="C419" s="1" t="s">
        <v>352</v>
      </c>
      <c r="D419">
        <v>84</v>
      </c>
      <c r="E419" s="3" t="str">
        <f>MID(C419,5,1)</f>
        <v>U</v>
      </c>
      <c r="F419" s="3"/>
      <c r="G419" s="3"/>
      <c r="H419" s="3"/>
      <c r="I419" s="3"/>
      <c r="J419" s="3"/>
      <c r="K419" s="3"/>
      <c r="L419" s="1" t="str">
        <f>MID(C419,3,17)</f>
        <v>AMUP-95D31LX-B3P4</v>
      </c>
      <c r="M419" s="1" t="str">
        <f>VLOOKUP(L419,'[1]Plate Infor'!$B:$C,2,FALSE)</f>
        <v>W-UNPL-WG83PXX-L65F-00-7C00</v>
      </c>
      <c r="N419" s="1" t="str">
        <f>VLOOKUP(MID(M419,8,4),'[1]Tipe Plate'!$C:$D,2,FALSE)</f>
        <v>Grid Punching</v>
      </c>
      <c r="O419" s="4">
        <f>VLOOKUP(L419,'[1]Plate Infor'!$B:$D,3,FALSE)*D419</f>
        <v>1512</v>
      </c>
      <c r="P419" s="4">
        <f>IFERROR(VLOOKUP(IF(MID(M419,3,1)="F","W-UNPL-"&amp;RIGHT(M419,20),M419),'[1]Data Pule'!$C:$E,3,FALSE),0)*O419</f>
        <v>255.98159999999996</v>
      </c>
      <c r="Q419" s="1" t="str">
        <f>VLOOKUP(L419,'[1]Plate Infor'!$B:$E,4,FALSE)</f>
        <v>W-UNPL-WG87NXX-T3AF-00-7C00</v>
      </c>
      <c r="R419" s="1" t="str">
        <f>VLOOKUP(MID(Q419,8,4),'[1]Tipe Plate'!$C:$D,2,FALSE)</f>
        <v>Grid Punching</v>
      </c>
      <c r="S419" s="4">
        <f>VLOOKUP(L419,'[1]Plate Infor'!$B:$F,5,FALSE)*D419</f>
        <v>1764</v>
      </c>
      <c r="T419" s="4">
        <f>IFERROR(VLOOKUP(IF(MID(Q419,3,1)="F","W-UNPL-"&amp;RIGHT(Q419,20),Q419),'[1]Data Pule'!$C:$E,3,FALSE),0)*S419</f>
        <v>230.55479999999997</v>
      </c>
    </row>
    <row r="420" spans="3:20" x14ac:dyDescent="0.35">
      <c r="C420" s="1" t="s">
        <v>301</v>
      </c>
      <c r="D420">
        <v>90</v>
      </c>
      <c r="E420" s="3" t="str">
        <f>MID(C420,5,1)</f>
        <v>U</v>
      </c>
      <c r="F420" s="3"/>
      <c r="G420" s="3"/>
      <c r="H420" s="3"/>
      <c r="I420" s="3"/>
      <c r="J420" s="3"/>
      <c r="K420" s="3"/>
      <c r="L420" s="1" t="str">
        <f>MID(C420,3,17)</f>
        <v>ACUP-65038LX-D1C3</v>
      </c>
      <c r="M420" s="1" t="str">
        <f>VLOOKUP(L420,'[1]Plate Infor'!$B:$C,2,FALSE)</f>
        <v>W-UNPL-CG80PXX-L870-02-7S00</v>
      </c>
      <c r="N420" s="1" t="str">
        <f>VLOOKUP(MID(M420,8,4),'[1]Tipe Plate'!$C:$D,2,FALSE)</f>
        <v>Grid Casting</v>
      </c>
      <c r="O420" s="4">
        <f>VLOOKUP(L420,'[1]Plate Infor'!$B:$D,3,FALSE)*D420</f>
        <v>4320</v>
      </c>
      <c r="P420" s="4">
        <f>IFERROR(VLOOKUP(IF(MID(M420,3,1)="F","W-UNPL-"&amp;RIGHT(M420,20),M420),'[1]Data Pule'!$C:$E,3,FALSE),0)*O420</f>
        <v>652.75199999999995</v>
      </c>
      <c r="Q420" s="1" t="str">
        <f>VLOOKUP(L420,'[1]Plate Infor'!$B:$E,4,FALSE)</f>
        <v>W-UNPL-CG85NXX-T3L0-02-7S00</v>
      </c>
      <c r="R420" s="1" t="str">
        <f>VLOOKUP(MID(Q420,8,4),'[1]Tipe Plate'!$C:$D,2,FALSE)</f>
        <v>Grid Casting</v>
      </c>
      <c r="S420" s="4">
        <f>VLOOKUP(L420,'[1]Plate Infor'!$B:$F,5,FALSE)*D420</f>
        <v>4050</v>
      </c>
      <c r="T420" s="4">
        <f>IFERROR(VLOOKUP(IF(MID(Q420,3,1)="F","W-UNPL-"&amp;RIGHT(Q420,20),Q420),'[1]Data Pule'!$C:$E,3,FALSE),0)*S420</f>
        <v>529.33499999999992</v>
      </c>
    </row>
    <row r="421" spans="3:20" x14ac:dyDescent="0.35">
      <c r="C421" s="1" t="s">
        <v>203</v>
      </c>
      <c r="D421">
        <v>180</v>
      </c>
      <c r="E421" s="3" t="str">
        <f>MID(C421,5,1)</f>
        <v>U</v>
      </c>
      <c r="F421" s="3"/>
      <c r="G421" s="3"/>
      <c r="H421" s="3"/>
      <c r="I421" s="3"/>
      <c r="J421" s="3"/>
      <c r="K421" s="3"/>
      <c r="L421" s="1" t="str">
        <f>MID(C421,3,17)</f>
        <v>ACUP-36B20LX-A7C5</v>
      </c>
      <c r="M421" s="1" t="str">
        <f>VLOOKUP(L421,'[1]Plate Infor'!$B:$C,2,FALSE)</f>
        <v>W-UNPL-CM84APX-L870-02-7S00</v>
      </c>
      <c r="N421" s="1" t="str">
        <f>VLOOKUP(MID(M421,8,4),'[1]Tipe Plate'!$C:$D,2,FALSE)</f>
        <v>Grid Casting</v>
      </c>
      <c r="O421" s="4">
        <f>VLOOKUP(L421,'[1]Plate Infor'!$B:$D,3,FALSE)*D421</f>
        <v>1620</v>
      </c>
      <c r="P421" s="4">
        <f>IFERROR(VLOOKUP(IF(MID(M421,3,1)="F","W-UNPL-"&amp;RIGHT(M421,20),M421),'[1]Data Pule'!$C:$E,3,FALSE),0)*O421</f>
        <v>145.31399999999999</v>
      </c>
      <c r="Q421" s="1" t="str">
        <f>VLOOKUP(L421,'[1]Plate Infor'!$B:$E,4,FALSE)</f>
        <v>W-UNPL-CM8786N-T3L0-02-7S00</v>
      </c>
      <c r="R421" s="1" t="str">
        <f>VLOOKUP(MID(Q421,8,4),'[1]Tipe Plate'!$C:$D,2,FALSE)</f>
        <v>Grid Casting</v>
      </c>
      <c r="S421" s="4">
        <f>VLOOKUP(L421,'[1]Plate Infor'!$B:$F,5,FALSE)*D421</f>
        <v>2160</v>
      </c>
      <c r="T421" s="4">
        <f>IFERROR(VLOOKUP(IF(MID(Q421,3,1)="F","W-UNPL-"&amp;RIGHT(Q421,20),Q421),'[1]Data Pule'!$C:$E,3,FALSE),0)*S421</f>
        <v>203.68800000000002</v>
      </c>
    </row>
    <row r="422" spans="3:20" x14ac:dyDescent="0.35">
      <c r="C422" s="1" t="s">
        <v>204</v>
      </c>
      <c r="D422">
        <v>144</v>
      </c>
      <c r="E422" s="3" t="str">
        <f>MID(C422,5,1)</f>
        <v>U</v>
      </c>
      <c r="F422" s="3"/>
      <c r="G422" s="3"/>
      <c r="H422" s="3"/>
      <c r="I422" s="3"/>
      <c r="J422" s="3"/>
      <c r="K422" s="3"/>
      <c r="L422" s="1" t="str">
        <f>MID(C422,3,17)</f>
        <v>ACUP-46B24RS-A9C5</v>
      </c>
      <c r="M422" s="1" t="str">
        <f>VLOOKUP(L422,'[1]Plate Infor'!$B:$C,2,FALSE)</f>
        <v>W-UNPL-CM84APX-L870-02-7S00</v>
      </c>
      <c r="N422" s="1" t="str">
        <f>VLOOKUP(MID(M422,8,4),'[1]Tipe Plate'!$C:$D,2,FALSE)</f>
        <v>Grid Casting</v>
      </c>
      <c r="O422" s="4">
        <f>VLOOKUP(L422,'[1]Plate Infor'!$B:$D,3,FALSE)*D422</f>
        <v>1728</v>
      </c>
      <c r="P422" s="4">
        <f>IFERROR(VLOOKUP(IF(MID(M422,3,1)="F","W-UNPL-"&amp;RIGHT(M422,20),M422),'[1]Data Pule'!$C:$E,3,FALSE),0)*O422</f>
        <v>155.0016</v>
      </c>
      <c r="Q422" s="1" t="str">
        <f>VLOOKUP(L422,'[1]Plate Infor'!$B:$E,4,FALSE)</f>
        <v>W-UNPL-CM8786N-T3L0-02-7S00</v>
      </c>
      <c r="R422" s="1" t="str">
        <f>VLOOKUP(MID(Q422,8,4),'[1]Tipe Plate'!$C:$D,2,FALSE)</f>
        <v>Grid Casting</v>
      </c>
      <c r="S422" s="4">
        <f>VLOOKUP(L422,'[1]Plate Infor'!$B:$F,5,FALSE)*D422</f>
        <v>2160</v>
      </c>
      <c r="T422" s="4">
        <f>IFERROR(VLOOKUP(IF(MID(Q422,3,1)="F","W-UNPL-"&amp;RIGHT(Q422,20),Q422),'[1]Data Pule'!$C:$E,3,FALSE),0)*S422</f>
        <v>203.68800000000002</v>
      </c>
    </row>
    <row r="423" spans="3:20" x14ac:dyDescent="0.35">
      <c r="C423" s="1" t="s">
        <v>209</v>
      </c>
      <c r="D423">
        <v>36</v>
      </c>
      <c r="E423" s="3" t="str">
        <f>MID(C423,5,1)</f>
        <v>U</v>
      </c>
      <c r="F423" s="3"/>
      <c r="G423" s="3"/>
      <c r="H423" s="3"/>
      <c r="I423" s="3"/>
      <c r="J423" s="3"/>
      <c r="K423" s="3"/>
      <c r="L423" s="1" t="str">
        <f>MID(C423,3,17)</f>
        <v>ACUP-115F51X-B9C4</v>
      </c>
      <c r="M423" s="1" t="str">
        <f>VLOOKUP(L423,'[1]Plate Infor'!$B:$C,2,FALSE)</f>
        <v>W-UNPL-CG82PXX-L870-02-7S00</v>
      </c>
      <c r="N423" s="1" t="str">
        <f>VLOOKUP(MID(M423,8,4),'[1]Tipe Plate'!$C:$D,2,FALSE)</f>
        <v>Grid Casting</v>
      </c>
      <c r="O423" s="4">
        <f>VLOOKUP(L423,'[1]Plate Infor'!$B:$D,3,FALSE)*D423</f>
        <v>972</v>
      </c>
      <c r="P423" s="4">
        <f>IFERROR(VLOOKUP(IF(MID(M423,3,1)="F","W-UNPL-"&amp;RIGHT(M423,20),M423),'[1]Data Pule'!$C:$E,3,FALSE),0)*O423</f>
        <v>124.90199999999997</v>
      </c>
      <c r="Q423" s="1" t="str">
        <f>VLOOKUP(L423,'[1]Plate Infor'!$B:$E,4,FALSE)</f>
        <v>W-UNPL-CG87NXX-T3L0-02-7S00</v>
      </c>
      <c r="R423" s="1" t="str">
        <f>VLOOKUP(MID(Q423,8,4),'[1]Tipe Plate'!$C:$D,2,FALSE)</f>
        <v>Grid Casting</v>
      </c>
      <c r="S423" s="4">
        <f>VLOOKUP(L423,'[1]Plate Infor'!$B:$F,5,FALSE)*D423</f>
        <v>1080</v>
      </c>
      <c r="T423" s="4">
        <f>IFERROR(VLOOKUP(IF(MID(Q423,3,1)="F","W-UNPL-"&amp;RIGHT(Q423,20),Q423),'[1]Data Pule'!$C:$E,3,FALSE),0)*S423</f>
        <v>124.2</v>
      </c>
    </row>
    <row r="424" spans="3:20" x14ac:dyDescent="0.35">
      <c r="C424" s="1" t="s">
        <v>210</v>
      </c>
      <c r="D424">
        <v>30</v>
      </c>
      <c r="E424" s="3" t="str">
        <f>MID(C424,5,1)</f>
        <v>U</v>
      </c>
      <c r="F424" s="3"/>
      <c r="G424" s="3"/>
      <c r="H424" s="3"/>
      <c r="I424" s="3"/>
      <c r="J424" s="3"/>
      <c r="K424" s="3"/>
      <c r="L424" s="1" t="str">
        <f>MID(C424,3,17)</f>
        <v>ACUP-145G51X-C3C5</v>
      </c>
      <c r="M424" s="1" t="str">
        <f>VLOOKUP(L424,'[1]Plate Infor'!$B:$C,2,FALSE)</f>
        <v>W-UNPL-CG82PXX-L870-02-7S00</v>
      </c>
      <c r="N424" s="1" t="str">
        <f>VLOOKUP(MID(M424,8,4),'[1]Tipe Plate'!$C:$D,2,FALSE)</f>
        <v>Grid Casting</v>
      </c>
      <c r="O424" s="4">
        <f>VLOOKUP(L424,'[1]Plate Infor'!$B:$D,3,FALSE)*D424</f>
        <v>990</v>
      </c>
      <c r="P424" s="4">
        <f>IFERROR(VLOOKUP(IF(MID(M424,3,1)="F","W-UNPL-"&amp;RIGHT(M424,20),M424),'[1]Data Pule'!$C:$E,3,FALSE),0)*O424</f>
        <v>127.21499999999997</v>
      </c>
      <c r="Q424" s="1" t="str">
        <f>VLOOKUP(L424,'[1]Plate Infor'!$B:$E,4,FALSE)</f>
        <v>W-UNPL-CG87NXX-T3L0-02-7S00</v>
      </c>
      <c r="R424" s="1" t="str">
        <f>VLOOKUP(MID(Q424,8,4),'[1]Tipe Plate'!$C:$D,2,FALSE)</f>
        <v>Grid Casting</v>
      </c>
      <c r="S424" s="4">
        <f>VLOOKUP(L424,'[1]Plate Infor'!$B:$F,5,FALSE)*D424</f>
        <v>1080</v>
      </c>
      <c r="T424" s="4">
        <f>IFERROR(VLOOKUP(IF(MID(Q424,3,1)="F","W-UNPL-"&amp;RIGHT(Q424,20),Q424),'[1]Data Pule'!$C:$E,3,FALSE),0)*S424</f>
        <v>124.2</v>
      </c>
    </row>
    <row r="425" spans="3:20" x14ac:dyDescent="0.35">
      <c r="C425" s="1" t="s">
        <v>336</v>
      </c>
      <c r="D425">
        <v>180</v>
      </c>
      <c r="E425" s="3" t="str">
        <f>MID(C425,5,1)</f>
        <v>U</v>
      </c>
      <c r="F425" s="3"/>
      <c r="G425" s="3"/>
      <c r="H425" s="3"/>
      <c r="I425" s="3"/>
      <c r="J425" s="3"/>
      <c r="K425" s="3"/>
      <c r="L425" s="1" t="str">
        <f>MID(C425,3,17)</f>
        <v>ACUP-36B20LX-A7C5</v>
      </c>
      <c r="M425" s="1" t="str">
        <f>VLOOKUP(L425,'[1]Plate Infor'!$B:$C,2,FALSE)</f>
        <v>W-UNPL-CM84APX-L870-02-7S00</v>
      </c>
      <c r="N425" s="1" t="str">
        <f>VLOOKUP(MID(M425,8,4),'[1]Tipe Plate'!$C:$D,2,FALSE)</f>
        <v>Grid Casting</v>
      </c>
      <c r="O425" s="4">
        <f>VLOOKUP(L425,'[1]Plate Infor'!$B:$D,3,FALSE)*D425</f>
        <v>1620</v>
      </c>
      <c r="P425" s="4">
        <f>IFERROR(VLOOKUP(IF(MID(M425,3,1)="F","W-UNPL-"&amp;RIGHT(M425,20),M425),'[1]Data Pule'!$C:$E,3,FALSE),0)*O425</f>
        <v>145.31399999999999</v>
      </c>
      <c r="Q425" s="1" t="str">
        <f>VLOOKUP(L425,'[1]Plate Infor'!$B:$E,4,FALSE)</f>
        <v>W-UNPL-CM8786N-T3L0-02-7S00</v>
      </c>
      <c r="R425" s="1" t="str">
        <f>VLOOKUP(MID(Q425,8,4),'[1]Tipe Plate'!$C:$D,2,FALSE)</f>
        <v>Grid Casting</v>
      </c>
      <c r="S425" s="4">
        <f>VLOOKUP(L425,'[1]Plate Infor'!$B:$F,5,FALSE)*D425</f>
        <v>2160</v>
      </c>
      <c r="T425" s="4">
        <f>IFERROR(VLOOKUP(IF(MID(Q425,3,1)="F","W-UNPL-"&amp;RIGHT(Q425,20),Q425),'[1]Data Pule'!$C:$E,3,FALSE),0)*S425</f>
        <v>203.68800000000002</v>
      </c>
    </row>
    <row r="426" spans="3:20" x14ac:dyDescent="0.35">
      <c r="C426" s="1" t="s">
        <v>337</v>
      </c>
      <c r="D426">
        <v>144</v>
      </c>
      <c r="E426" s="3" t="str">
        <f>MID(C426,5,1)</f>
        <v>U</v>
      </c>
      <c r="F426" s="3"/>
      <c r="G426" s="3"/>
      <c r="H426" s="3"/>
      <c r="I426" s="3"/>
      <c r="J426" s="3"/>
      <c r="K426" s="3"/>
      <c r="L426" s="1" t="str">
        <f>MID(C426,3,17)</f>
        <v>ACUP-46B24RS-A9C5</v>
      </c>
      <c r="M426" s="1" t="str">
        <f>VLOOKUP(L426,'[1]Plate Infor'!$B:$C,2,FALSE)</f>
        <v>W-UNPL-CM84APX-L870-02-7S00</v>
      </c>
      <c r="N426" s="1" t="str">
        <f>VLOOKUP(MID(M426,8,4),'[1]Tipe Plate'!$C:$D,2,FALSE)</f>
        <v>Grid Casting</v>
      </c>
      <c r="O426" s="4">
        <f>VLOOKUP(L426,'[1]Plate Infor'!$B:$D,3,FALSE)*D426</f>
        <v>1728</v>
      </c>
      <c r="P426" s="4">
        <f>IFERROR(VLOOKUP(IF(MID(M426,3,1)="F","W-UNPL-"&amp;RIGHT(M426,20),M426),'[1]Data Pule'!$C:$E,3,FALSE),0)*O426</f>
        <v>155.0016</v>
      </c>
      <c r="Q426" s="1" t="str">
        <f>VLOOKUP(L426,'[1]Plate Infor'!$B:$E,4,FALSE)</f>
        <v>W-UNPL-CM8786N-T3L0-02-7S00</v>
      </c>
      <c r="R426" s="1" t="str">
        <f>VLOOKUP(MID(Q426,8,4),'[1]Tipe Plate'!$C:$D,2,FALSE)</f>
        <v>Grid Casting</v>
      </c>
      <c r="S426" s="4">
        <f>VLOOKUP(L426,'[1]Plate Infor'!$B:$F,5,FALSE)*D426</f>
        <v>2160</v>
      </c>
      <c r="T426" s="4">
        <f>IFERROR(VLOOKUP(IF(MID(Q426,3,1)="F","W-UNPL-"&amp;RIGHT(Q426,20),Q426),'[1]Data Pule'!$C:$E,3,FALSE),0)*S426</f>
        <v>203.68800000000002</v>
      </c>
    </row>
    <row r="427" spans="3:20" x14ac:dyDescent="0.35">
      <c r="C427" s="1" t="s">
        <v>353</v>
      </c>
      <c r="D427">
        <v>144</v>
      </c>
      <c r="E427" s="3" t="str">
        <f>MID(C427,5,1)</f>
        <v>U</v>
      </c>
      <c r="F427" s="3"/>
      <c r="G427" s="3"/>
      <c r="H427" s="3"/>
      <c r="I427" s="3"/>
      <c r="J427" s="3"/>
      <c r="K427" s="3"/>
      <c r="L427" s="1" t="str">
        <f>MID(C427,3,17)</f>
        <v>ACUP-46B24LX-A9C5</v>
      </c>
      <c r="M427" s="1" t="str">
        <f>VLOOKUP(L427,'[1]Plate Infor'!$B:$C,2,FALSE)</f>
        <v>W-UNPL-CM84APX-L870-02-7S00</v>
      </c>
      <c r="N427" s="1" t="str">
        <f>VLOOKUP(MID(M427,8,4),'[1]Tipe Plate'!$C:$D,2,FALSE)</f>
        <v>Grid Casting</v>
      </c>
      <c r="O427" s="4">
        <f>VLOOKUP(L427,'[1]Plate Infor'!$B:$D,3,FALSE)*D427</f>
        <v>1728</v>
      </c>
      <c r="P427" s="4">
        <f>IFERROR(VLOOKUP(IF(MID(M427,3,1)="F","W-UNPL-"&amp;RIGHT(M427,20),M427),'[1]Data Pule'!$C:$E,3,FALSE),0)*O427</f>
        <v>155.0016</v>
      </c>
      <c r="Q427" s="1" t="str">
        <f>VLOOKUP(L427,'[1]Plate Infor'!$B:$E,4,FALSE)</f>
        <v>W-UNPL-CM8786N-T3L0-02-7S00</v>
      </c>
      <c r="R427" s="1" t="str">
        <f>VLOOKUP(MID(Q427,8,4),'[1]Tipe Plate'!$C:$D,2,FALSE)</f>
        <v>Grid Casting</v>
      </c>
      <c r="S427" s="4">
        <f>VLOOKUP(L427,'[1]Plate Infor'!$B:$F,5,FALSE)*D427</f>
        <v>2160</v>
      </c>
      <c r="T427" s="4">
        <f>IFERROR(VLOOKUP(IF(MID(Q427,3,1)="F","W-UNPL-"&amp;RIGHT(Q427,20),Q427),'[1]Data Pule'!$C:$E,3,FALSE),0)*S427</f>
        <v>203.68800000000002</v>
      </c>
    </row>
    <row r="428" spans="3:20" x14ac:dyDescent="0.35">
      <c r="C428" s="1" t="s">
        <v>222</v>
      </c>
      <c r="D428">
        <v>96</v>
      </c>
      <c r="E428" s="3" t="str">
        <f>MID(C428,5,1)</f>
        <v>U</v>
      </c>
      <c r="F428" s="3"/>
      <c r="G428" s="3"/>
      <c r="H428" s="3"/>
      <c r="I428" s="3"/>
      <c r="J428" s="3"/>
      <c r="K428" s="3"/>
      <c r="L428" s="1" t="str">
        <f>MID(C428,3,17)</f>
        <v>ACUP-65D26RX-B1C4</v>
      </c>
      <c r="M428" s="1" t="str">
        <f>VLOOKUP(L428,'[1]Plate Infor'!$B:$C,2,FALSE)</f>
        <v>W-UNPL-CG82PXX-L870-02-7S00</v>
      </c>
      <c r="N428" s="1" t="str">
        <f>VLOOKUP(MID(M428,8,4),'[1]Tipe Plate'!$C:$D,2,FALSE)</f>
        <v>Grid Casting</v>
      </c>
      <c r="O428" s="4">
        <f>VLOOKUP(L428,'[1]Plate Infor'!$B:$D,3,FALSE)*D428</f>
        <v>1440</v>
      </c>
      <c r="P428" s="4">
        <f>IFERROR(VLOOKUP(IF(MID(M428,3,1)="F","W-UNPL-"&amp;RIGHT(M428,20),M428),'[1]Data Pule'!$C:$E,3,FALSE),0)*O428</f>
        <v>185.03999999999996</v>
      </c>
      <c r="Q428" s="1" t="str">
        <f>VLOOKUP(L428,'[1]Plate Infor'!$B:$E,4,FALSE)</f>
        <v>W-UNPL-CG87NXX-T3L0-02-7S00</v>
      </c>
      <c r="R428" s="1" t="str">
        <f>VLOOKUP(MID(Q428,8,4),'[1]Tipe Plate'!$C:$D,2,FALSE)</f>
        <v>Grid Casting</v>
      </c>
      <c r="S428" s="4">
        <f>VLOOKUP(L428,'[1]Plate Infor'!$B:$F,5,FALSE)*D428</f>
        <v>1728</v>
      </c>
      <c r="T428" s="4">
        <f>IFERROR(VLOOKUP(IF(MID(Q428,3,1)="F","W-UNPL-"&amp;RIGHT(Q428,20),Q428),'[1]Data Pule'!$C:$E,3,FALSE),0)*S428</f>
        <v>198.72</v>
      </c>
    </row>
    <row r="429" spans="3:20" x14ac:dyDescent="0.35">
      <c r="C429" s="1" t="s">
        <v>223</v>
      </c>
      <c r="D429">
        <v>96</v>
      </c>
      <c r="E429" s="3" t="str">
        <f>MID(C429,5,1)</f>
        <v>U</v>
      </c>
      <c r="F429" s="3"/>
      <c r="G429" s="3"/>
      <c r="H429" s="3"/>
      <c r="I429" s="3"/>
      <c r="J429" s="3"/>
      <c r="K429" s="3"/>
      <c r="L429" s="1" t="str">
        <f>MID(C429,3,17)</f>
        <v>ACUP-65D26LX-B1C4</v>
      </c>
      <c r="M429" s="1" t="str">
        <f>VLOOKUP(L429,'[1]Plate Infor'!$B:$C,2,FALSE)</f>
        <v>W-UNPL-CG82PXX-L870-02-7S00</v>
      </c>
      <c r="N429" s="1" t="str">
        <f>VLOOKUP(MID(M429,8,4),'[1]Tipe Plate'!$C:$D,2,FALSE)</f>
        <v>Grid Casting</v>
      </c>
      <c r="O429" s="4">
        <f>VLOOKUP(L429,'[1]Plate Infor'!$B:$D,3,FALSE)*D429</f>
        <v>1440</v>
      </c>
      <c r="P429" s="4">
        <f>IFERROR(VLOOKUP(IF(MID(M429,3,1)="F","W-UNPL-"&amp;RIGHT(M429,20),M429),'[1]Data Pule'!$C:$E,3,FALSE),0)*O429</f>
        <v>185.03999999999996</v>
      </c>
      <c r="Q429" s="1" t="str">
        <f>VLOOKUP(L429,'[1]Plate Infor'!$B:$E,4,FALSE)</f>
        <v>W-UNPL-CG87NXX-T3L0-02-7S00</v>
      </c>
      <c r="R429" s="1" t="str">
        <f>VLOOKUP(MID(Q429,8,4),'[1]Tipe Plate'!$C:$D,2,FALSE)</f>
        <v>Grid Casting</v>
      </c>
      <c r="S429" s="4">
        <f>VLOOKUP(L429,'[1]Plate Infor'!$B:$F,5,FALSE)*D429</f>
        <v>1728</v>
      </c>
      <c r="T429" s="4">
        <f>IFERROR(VLOOKUP(IF(MID(Q429,3,1)="F","W-UNPL-"&amp;RIGHT(Q429,20),Q429),'[1]Data Pule'!$C:$E,3,FALSE),0)*S429</f>
        <v>198.72</v>
      </c>
    </row>
    <row r="430" spans="3:20" x14ac:dyDescent="0.35">
      <c r="C430" s="1" t="s">
        <v>224</v>
      </c>
      <c r="D430">
        <v>84</v>
      </c>
      <c r="E430" s="3" t="str">
        <f>MID(C430,5,1)</f>
        <v>U</v>
      </c>
      <c r="F430" s="3"/>
      <c r="G430" s="3"/>
      <c r="H430" s="3"/>
      <c r="I430" s="3"/>
      <c r="J430" s="3"/>
      <c r="K430" s="3"/>
      <c r="L430" s="1" t="str">
        <f>MID(C430,3,17)</f>
        <v>ACUP-95D31RX-B3C5</v>
      </c>
      <c r="M430" s="1" t="str">
        <f>VLOOKUP(L430,'[1]Plate Infor'!$B:$C,2,FALSE)</f>
        <v>W-UNPL-CG82PXX-L870-02-7S00</v>
      </c>
      <c r="N430" s="1" t="str">
        <f>VLOOKUP(MID(M430,8,4),'[1]Tipe Plate'!$C:$D,2,FALSE)</f>
        <v>Grid Casting</v>
      </c>
      <c r="O430" s="4">
        <f>VLOOKUP(L430,'[1]Plate Infor'!$B:$D,3,FALSE)*D430</f>
        <v>1512</v>
      </c>
      <c r="P430" s="4">
        <f>IFERROR(VLOOKUP(IF(MID(M430,3,1)="F","W-UNPL-"&amp;RIGHT(M430,20),M430),'[1]Data Pule'!$C:$E,3,FALSE),0)*O430</f>
        <v>194.29199999999997</v>
      </c>
      <c r="Q430" s="1" t="str">
        <f>VLOOKUP(L430,'[1]Plate Infor'!$B:$E,4,FALSE)</f>
        <v>W-UNPL-CG87NXX-T3L0-02-7S00</v>
      </c>
      <c r="R430" s="1" t="str">
        <f>VLOOKUP(MID(Q430,8,4),'[1]Tipe Plate'!$C:$D,2,FALSE)</f>
        <v>Grid Casting</v>
      </c>
      <c r="S430" s="4">
        <f>VLOOKUP(L430,'[1]Plate Infor'!$B:$F,5,FALSE)*D430</f>
        <v>1764</v>
      </c>
      <c r="T430" s="4">
        <f>IFERROR(VLOOKUP(IF(MID(Q430,3,1)="F","W-UNPL-"&amp;RIGHT(Q430,20),Q430),'[1]Data Pule'!$C:$E,3,FALSE),0)*S430</f>
        <v>202.86</v>
      </c>
    </row>
    <row r="431" spans="3:20" x14ac:dyDescent="0.35">
      <c r="C431" s="1" t="s">
        <v>225</v>
      </c>
      <c r="D431">
        <v>84</v>
      </c>
      <c r="E431" s="3" t="str">
        <f>MID(C431,5,1)</f>
        <v>U</v>
      </c>
      <c r="F431" s="3"/>
      <c r="G431" s="3"/>
      <c r="H431" s="3"/>
      <c r="I431" s="3"/>
      <c r="J431" s="3"/>
      <c r="K431" s="3"/>
      <c r="L431" s="1" t="str">
        <f>MID(C431,3,17)</f>
        <v>ACUP-95D31LX-B3C5</v>
      </c>
      <c r="M431" s="1" t="str">
        <f>VLOOKUP(L431,'[1]Plate Infor'!$B:$C,2,FALSE)</f>
        <v>W-UNPL-CG82PXX-L870-02-7S00</v>
      </c>
      <c r="N431" s="1" t="str">
        <f>VLOOKUP(MID(M431,8,4),'[1]Tipe Plate'!$C:$D,2,FALSE)</f>
        <v>Grid Casting</v>
      </c>
      <c r="O431" s="4">
        <f>VLOOKUP(L431,'[1]Plate Infor'!$B:$D,3,FALSE)*D431</f>
        <v>1512</v>
      </c>
      <c r="P431" s="4">
        <f>IFERROR(VLOOKUP(IF(MID(M431,3,1)="F","W-UNPL-"&amp;RIGHT(M431,20),M431),'[1]Data Pule'!$C:$E,3,FALSE),0)*O431</f>
        <v>194.29199999999997</v>
      </c>
      <c r="Q431" s="1" t="str">
        <f>VLOOKUP(L431,'[1]Plate Infor'!$B:$E,4,FALSE)</f>
        <v>W-UNPL-CG87NXX-T3L0-02-7S00</v>
      </c>
      <c r="R431" s="1" t="str">
        <f>VLOOKUP(MID(Q431,8,4),'[1]Tipe Plate'!$C:$D,2,FALSE)</f>
        <v>Grid Casting</v>
      </c>
      <c r="S431" s="4">
        <f>VLOOKUP(L431,'[1]Plate Infor'!$B:$F,5,FALSE)*D431</f>
        <v>1764</v>
      </c>
      <c r="T431" s="4">
        <f>IFERROR(VLOOKUP(IF(MID(Q431,3,1)="F","W-UNPL-"&amp;RIGHT(Q431,20),Q431),'[1]Data Pule'!$C:$E,3,FALSE),0)*S431</f>
        <v>202.86</v>
      </c>
    </row>
    <row r="432" spans="3:20" x14ac:dyDescent="0.35">
      <c r="C432" s="1" t="s">
        <v>255</v>
      </c>
      <c r="D432">
        <v>64</v>
      </c>
      <c r="E432" s="3" t="str">
        <f>MID(C432,5,1)</f>
        <v>U</v>
      </c>
      <c r="F432" s="3"/>
      <c r="G432" s="3"/>
      <c r="H432" s="3"/>
      <c r="I432" s="3"/>
      <c r="J432" s="3"/>
      <c r="K432" s="3"/>
      <c r="L432" s="1" t="str">
        <f>MID(C432,3,17)</f>
        <v>ACUP-95E41RX-B5C4</v>
      </c>
      <c r="M432" s="1" t="str">
        <f>VLOOKUP(L432,'[1]Plate Infor'!$B:$C,2,FALSE)</f>
        <v>W-UNPL-CG80PXX-L870-02-7S00</v>
      </c>
      <c r="N432" s="1" t="str">
        <f>VLOOKUP(MID(M432,8,4),'[1]Tipe Plate'!$C:$D,2,FALSE)</f>
        <v>Grid Casting</v>
      </c>
      <c r="O432" s="4">
        <f>VLOOKUP(L432,'[1]Plate Infor'!$B:$D,3,FALSE)*D432</f>
        <v>1344</v>
      </c>
      <c r="P432" s="4">
        <f>IFERROR(VLOOKUP(IF(MID(M432,3,1)="F","W-UNPL-"&amp;RIGHT(M432,20),M432),'[1]Data Pule'!$C:$E,3,FALSE),0)*O432</f>
        <v>203.07839999999999</v>
      </c>
      <c r="Q432" s="1" t="str">
        <f>VLOOKUP(L432,'[1]Plate Infor'!$B:$E,4,FALSE)</f>
        <v>W-UNPL-CG87NXX-T3L0-02-7S00</v>
      </c>
      <c r="R432" s="1" t="str">
        <f>VLOOKUP(MID(Q432,8,4),'[1]Tipe Plate'!$C:$D,2,FALSE)</f>
        <v>Grid Casting</v>
      </c>
      <c r="S432" s="4">
        <f>VLOOKUP(L432,'[1]Plate Infor'!$B:$F,5,FALSE)*D432</f>
        <v>1536</v>
      </c>
      <c r="T432" s="4">
        <f>IFERROR(VLOOKUP(IF(MID(Q432,3,1)="F","W-UNPL-"&amp;RIGHT(Q432,20),Q432),'[1]Data Pule'!$C:$E,3,FALSE),0)*S432</f>
        <v>176.64000000000001</v>
      </c>
    </row>
    <row r="433" spans="3:20" x14ac:dyDescent="0.35">
      <c r="C433" s="1" t="s">
        <v>226</v>
      </c>
      <c r="D433">
        <v>36</v>
      </c>
      <c r="E433" s="3" t="str">
        <f>MID(C433,5,1)</f>
        <v>U</v>
      </c>
      <c r="F433" s="3"/>
      <c r="G433" s="3"/>
      <c r="H433" s="3"/>
      <c r="I433" s="3"/>
      <c r="J433" s="3"/>
      <c r="K433" s="3"/>
      <c r="L433" s="1" t="str">
        <f>MID(C433,3,17)</f>
        <v>ACUP-115F51X-B9C4</v>
      </c>
      <c r="M433" s="1" t="str">
        <f>VLOOKUP(L433,'[1]Plate Infor'!$B:$C,2,FALSE)</f>
        <v>W-UNPL-CG82PXX-L870-02-7S00</v>
      </c>
      <c r="N433" s="1" t="str">
        <f>VLOOKUP(MID(M433,8,4),'[1]Tipe Plate'!$C:$D,2,FALSE)</f>
        <v>Grid Casting</v>
      </c>
      <c r="O433" s="4">
        <f>VLOOKUP(L433,'[1]Plate Infor'!$B:$D,3,FALSE)*D433</f>
        <v>972</v>
      </c>
      <c r="P433" s="4">
        <f>IFERROR(VLOOKUP(IF(MID(M433,3,1)="F","W-UNPL-"&amp;RIGHT(M433,20),M433),'[1]Data Pule'!$C:$E,3,FALSE),0)*O433</f>
        <v>124.90199999999997</v>
      </c>
      <c r="Q433" s="1" t="str">
        <f>VLOOKUP(L433,'[1]Plate Infor'!$B:$E,4,FALSE)</f>
        <v>W-UNPL-CG87NXX-T3L0-02-7S00</v>
      </c>
      <c r="R433" s="1" t="str">
        <f>VLOOKUP(MID(Q433,8,4),'[1]Tipe Plate'!$C:$D,2,FALSE)</f>
        <v>Grid Casting</v>
      </c>
      <c r="S433" s="4">
        <f>VLOOKUP(L433,'[1]Plate Infor'!$B:$F,5,FALSE)*D433</f>
        <v>1080</v>
      </c>
      <c r="T433" s="4">
        <f>IFERROR(VLOOKUP(IF(MID(Q433,3,1)="F","W-UNPL-"&amp;RIGHT(Q433,20),Q433),'[1]Data Pule'!$C:$E,3,FALSE),0)*S433</f>
        <v>124.2</v>
      </c>
    </row>
    <row r="434" spans="3:20" x14ac:dyDescent="0.35">
      <c r="C434" s="1" t="s">
        <v>227</v>
      </c>
      <c r="D434">
        <v>30</v>
      </c>
      <c r="E434" s="3" t="str">
        <f>MID(C434,5,1)</f>
        <v>U</v>
      </c>
      <c r="F434" s="3"/>
      <c r="G434" s="3"/>
      <c r="H434" s="3"/>
      <c r="I434" s="3"/>
      <c r="J434" s="3"/>
      <c r="K434" s="3"/>
      <c r="L434" s="1" t="str">
        <f>MID(C434,3,17)</f>
        <v>ACUP-145G51X-C3C5</v>
      </c>
      <c r="M434" s="1" t="str">
        <f>VLOOKUP(L434,'[1]Plate Infor'!$B:$C,2,FALSE)</f>
        <v>W-UNPL-CG82PXX-L870-02-7S00</v>
      </c>
      <c r="N434" s="1" t="str">
        <f>VLOOKUP(MID(M434,8,4),'[1]Tipe Plate'!$C:$D,2,FALSE)</f>
        <v>Grid Casting</v>
      </c>
      <c r="O434" s="4">
        <f>VLOOKUP(L434,'[1]Plate Infor'!$B:$D,3,FALSE)*D434</f>
        <v>990</v>
      </c>
      <c r="P434" s="4">
        <f>IFERROR(VLOOKUP(IF(MID(M434,3,1)="F","W-UNPL-"&amp;RIGHT(M434,20),M434),'[1]Data Pule'!$C:$E,3,FALSE),0)*O434</f>
        <v>127.21499999999997</v>
      </c>
      <c r="Q434" s="1" t="str">
        <f>VLOOKUP(L434,'[1]Plate Infor'!$B:$E,4,FALSE)</f>
        <v>W-UNPL-CG87NXX-T3L0-02-7S00</v>
      </c>
      <c r="R434" s="1" t="str">
        <f>VLOOKUP(MID(Q434,8,4),'[1]Tipe Plate'!$C:$D,2,FALSE)</f>
        <v>Grid Casting</v>
      </c>
      <c r="S434" s="4">
        <f>VLOOKUP(L434,'[1]Plate Infor'!$B:$F,5,FALSE)*D434</f>
        <v>1080</v>
      </c>
      <c r="T434" s="4">
        <f>IFERROR(VLOOKUP(IF(MID(Q434,3,1)="F","W-UNPL-"&amp;RIGHT(Q434,20),Q434),'[1]Data Pule'!$C:$E,3,FALSE),0)*S434</f>
        <v>124.2</v>
      </c>
    </row>
    <row r="435" spans="3:20" x14ac:dyDescent="0.35">
      <c r="C435" s="1" t="s">
        <v>354</v>
      </c>
      <c r="D435">
        <v>180</v>
      </c>
      <c r="E435" s="3" t="str">
        <f>MID(C435,5,1)</f>
        <v>U</v>
      </c>
      <c r="F435" s="3"/>
      <c r="G435" s="3"/>
      <c r="H435" s="3"/>
      <c r="I435" s="3"/>
      <c r="J435" s="3"/>
      <c r="K435" s="3"/>
      <c r="L435" s="1" t="str">
        <f>MID(C435,3,17)</f>
        <v>ACUP-36B20LX-A7C5</v>
      </c>
      <c r="M435" s="1" t="str">
        <f>VLOOKUP(L435,'[1]Plate Infor'!$B:$C,2,FALSE)</f>
        <v>W-UNPL-CM84APX-L870-02-7S00</v>
      </c>
      <c r="N435" s="1" t="str">
        <f>VLOOKUP(MID(M435,8,4),'[1]Tipe Plate'!$C:$D,2,FALSE)</f>
        <v>Grid Casting</v>
      </c>
      <c r="O435" s="4">
        <f>VLOOKUP(L435,'[1]Plate Infor'!$B:$D,3,FALSE)*D435</f>
        <v>1620</v>
      </c>
      <c r="P435" s="4">
        <f>IFERROR(VLOOKUP(IF(MID(M435,3,1)="F","W-UNPL-"&amp;RIGHT(M435,20),M435),'[1]Data Pule'!$C:$E,3,FALSE),0)*O435</f>
        <v>145.31399999999999</v>
      </c>
      <c r="Q435" s="1" t="str">
        <f>VLOOKUP(L435,'[1]Plate Infor'!$B:$E,4,FALSE)</f>
        <v>W-UNPL-CM8786N-T3L0-02-7S00</v>
      </c>
      <c r="R435" s="1" t="str">
        <f>VLOOKUP(MID(Q435,8,4),'[1]Tipe Plate'!$C:$D,2,FALSE)</f>
        <v>Grid Casting</v>
      </c>
      <c r="S435" s="4">
        <f>VLOOKUP(L435,'[1]Plate Infor'!$B:$F,5,FALSE)*D435</f>
        <v>2160</v>
      </c>
      <c r="T435" s="4">
        <f>IFERROR(VLOOKUP(IF(MID(Q435,3,1)="F","W-UNPL-"&amp;RIGHT(Q435,20),Q435),'[1]Data Pule'!$C:$E,3,FALSE),0)*S435</f>
        <v>203.68800000000002</v>
      </c>
    </row>
    <row r="436" spans="3:20" x14ac:dyDescent="0.35">
      <c r="C436" s="1" t="s">
        <v>267</v>
      </c>
      <c r="D436">
        <v>144</v>
      </c>
      <c r="E436" s="3" t="str">
        <f>MID(C436,5,1)</f>
        <v>U</v>
      </c>
      <c r="F436" s="3"/>
      <c r="G436" s="3"/>
      <c r="H436" s="3"/>
      <c r="I436" s="3"/>
      <c r="J436" s="3"/>
      <c r="K436" s="3"/>
      <c r="L436" s="1" t="str">
        <f>MID(C436,3,17)</f>
        <v>ACUP-46B24RS-A9C5</v>
      </c>
      <c r="M436" s="1" t="str">
        <f>VLOOKUP(L436,'[1]Plate Infor'!$B:$C,2,FALSE)</f>
        <v>W-UNPL-CM84APX-L870-02-7S00</v>
      </c>
      <c r="N436" s="1" t="str">
        <f>VLOOKUP(MID(M436,8,4),'[1]Tipe Plate'!$C:$D,2,FALSE)</f>
        <v>Grid Casting</v>
      </c>
      <c r="O436" s="4">
        <f>VLOOKUP(L436,'[1]Plate Infor'!$B:$D,3,FALSE)*D436</f>
        <v>1728</v>
      </c>
      <c r="P436" s="4">
        <f>IFERROR(VLOOKUP(IF(MID(M436,3,1)="F","W-UNPL-"&amp;RIGHT(M436,20),M436),'[1]Data Pule'!$C:$E,3,FALSE),0)*O436</f>
        <v>155.0016</v>
      </c>
      <c r="Q436" s="1" t="str">
        <f>VLOOKUP(L436,'[1]Plate Infor'!$B:$E,4,FALSE)</f>
        <v>W-UNPL-CM8786N-T3L0-02-7S00</v>
      </c>
      <c r="R436" s="1" t="str">
        <f>VLOOKUP(MID(Q436,8,4),'[1]Tipe Plate'!$C:$D,2,FALSE)</f>
        <v>Grid Casting</v>
      </c>
      <c r="S436" s="4">
        <f>VLOOKUP(L436,'[1]Plate Infor'!$B:$F,5,FALSE)*D436</f>
        <v>2160</v>
      </c>
      <c r="T436" s="4">
        <f>IFERROR(VLOOKUP(IF(MID(Q436,3,1)="F","W-UNPL-"&amp;RIGHT(Q436,20),Q436),'[1]Data Pule'!$C:$E,3,FALSE),0)*S436</f>
        <v>203.68800000000002</v>
      </c>
    </row>
    <row r="437" spans="3:20" x14ac:dyDescent="0.35">
      <c r="C437" s="1" t="s">
        <v>268</v>
      </c>
      <c r="D437">
        <v>144</v>
      </c>
      <c r="E437" s="3" t="str">
        <f>MID(C437,5,1)</f>
        <v>U</v>
      </c>
      <c r="F437" s="3"/>
      <c r="G437" s="3"/>
      <c r="H437" s="3"/>
      <c r="I437" s="3"/>
      <c r="J437" s="3"/>
      <c r="K437" s="3"/>
      <c r="L437" s="1" t="str">
        <f>MID(C437,3,17)</f>
        <v>ACUP-46B24LS-A9C5</v>
      </c>
      <c r="M437" s="1" t="str">
        <f>VLOOKUP(L437,'[1]Plate Infor'!$B:$C,2,FALSE)</f>
        <v>W-UNPL-CM84APX-L870-02-7S00</v>
      </c>
      <c r="N437" s="1" t="str">
        <f>VLOOKUP(MID(M437,8,4),'[1]Tipe Plate'!$C:$D,2,FALSE)</f>
        <v>Grid Casting</v>
      </c>
      <c r="O437" s="4">
        <f>VLOOKUP(L437,'[1]Plate Infor'!$B:$D,3,FALSE)*D437</f>
        <v>1728</v>
      </c>
      <c r="P437" s="4">
        <f>IFERROR(VLOOKUP(IF(MID(M437,3,1)="F","W-UNPL-"&amp;RIGHT(M437,20),M437),'[1]Data Pule'!$C:$E,3,FALSE),0)*O437</f>
        <v>155.0016</v>
      </c>
      <c r="Q437" s="1" t="str">
        <f>VLOOKUP(L437,'[1]Plate Infor'!$B:$E,4,FALSE)</f>
        <v>W-UNPL-CM8786N-T3L0-02-7S00</v>
      </c>
      <c r="R437" s="1" t="str">
        <f>VLOOKUP(MID(Q437,8,4),'[1]Tipe Plate'!$C:$D,2,FALSE)</f>
        <v>Grid Casting</v>
      </c>
      <c r="S437" s="4">
        <f>VLOOKUP(L437,'[1]Plate Infor'!$B:$F,5,FALSE)*D437</f>
        <v>2160</v>
      </c>
      <c r="T437" s="4">
        <f>IFERROR(VLOOKUP(IF(MID(Q437,3,1)="F","W-UNPL-"&amp;RIGHT(Q437,20),Q437),'[1]Data Pule'!$C:$E,3,FALSE),0)*S437</f>
        <v>203.68800000000002</v>
      </c>
    </row>
    <row r="438" spans="3:20" x14ac:dyDescent="0.35">
      <c r="C438" s="1" t="s">
        <v>272</v>
      </c>
      <c r="D438">
        <v>72</v>
      </c>
      <c r="E438" s="3" t="str">
        <f>MID(C438,5,1)</f>
        <v>U</v>
      </c>
      <c r="F438" s="3"/>
      <c r="G438" s="3"/>
      <c r="H438" s="3"/>
      <c r="I438" s="3"/>
      <c r="J438" s="3"/>
      <c r="K438" s="3"/>
      <c r="L438" s="1" t="str">
        <f>MID(C438,3,17)</f>
        <v>ACUP-115F51X-B9C4</v>
      </c>
      <c r="M438" s="1" t="str">
        <f>VLOOKUP(L438,'[1]Plate Infor'!$B:$C,2,FALSE)</f>
        <v>W-UNPL-CG82PXX-L870-02-7S00</v>
      </c>
      <c r="N438" s="1" t="str">
        <f>VLOOKUP(MID(M438,8,4),'[1]Tipe Plate'!$C:$D,2,FALSE)</f>
        <v>Grid Casting</v>
      </c>
      <c r="O438" s="4">
        <f>VLOOKUP(L438,'[1]Plate Infor'!$B:$D,3,FALSE)*D438</f>
        <v>1944</v>
      </c>
      <c r="P438" s="4">
        <f>IFERROR(VLOOKUP(IF(MID(M438,3,1)="F","W-UNPL-"&amp;RIGHT(M438,20),M438),'[1]Data Pule'!$C:$E,3,FALSE),0)*O438</f>
        <v>249.80399999999995</v>
      </c>
      <c r="Q438" s="1" t="str">
        <f>VLOOKUP(L438,'[1]Plate Infor'!$B:$E,4,FALSE)</f>
        <v>W-UNPL-CG87NXX-T3L0-02-7S00</v>
      </c>
      <c r="R438" s="1" t="str">
        <f>VLOOKUP(MID(Q438,8,4),'[1]Tipe Plate'!$C:$D,2,FALSE)</f>
        <v>Grid Casting</v>
      </c>
      <c r="S438" s="4">
        <f>VLOOKUP(L438,'[1]Plate Infor'!$B:$F,5,FALSE)*D438</f>
        <v>2160</v>
      </c>
      <c r="T438" s="4">
        <f>IFERROR(VLOOKUP(IF(MID(Q438,3,1)="F","W-UNPL-"&amp;RIGHT(Q438,20),Q438),'[1]Data Pule'!$C:$E,3,FALSE),0)*S438</f>
        <v>248.4</v>
      </c>
    </row>
    <row r="439" spans="3:20" x14ac:dyDescent="0.35">
      <c r="C439" s="1" t="s">
        <v>273</v>
      </c>
      <c r="D439">
        <v>30</v>
      </c>
      <c r="E439" s="3" t="str">
        <f>MID(C439,5,1)</f>
        <v>U</v>
      </c>
      <c r="F439" s="3"/>
      <c r="G439" s="3"/>
      <c r="H439" s="3"/>
      <c r="I439" s="3"/>
      <c r="J439" s="3"/>
      <c r="K439" s="3"/>
      <c r="L439" s="1" t="str">
        <f>MID(C439,3,17)</f>
        <v>ACUP-145G51X-C3C5</v>
      </c>
      <c r="M439" s="1" t="str">
        <f>VLOOKUP(L439,'[1]Plate Infor'!$B:$C,2,FALSE)</f>
        <v>W-UNPL-CG82PXX-L870-02-7S00</v>
      </c>
      <c r="N439" s="1" t="str">
        <f>VLOOKUP(MID(M439,8,4),'[1]Tipe Plate'!$C:$D,2,FALSE)</f>
        <v>Grid Casting</v>
      </c>
      <c r="O439" s="4">
        <f>VLOOKUP(L439,'[1]Plate Infor'!$B:$D,3,FALSE)*D439</f>
        <v>990</v>
      </c>
      <c r="P439" s="4">
        <f>IFERROR(VLOOKUP(IF(MID(M439,3,1)="F","W-UNPL-"&amp;RIGHT(M439,20),M439),'[1]Data Pule'!$C:$E,3,FALSE),0)*O439</f>
        <v>127.21499999999997</v>
      </c>
      <c r="Q439" s="1" t="str">
        <f>VLOOKUP(L439,'[1]Plate Infor'!$B:$E,4,FALSE)</f>
        <v>W-UNPL-CG87NXX-T3L0-02-7S00</v>
      </c>
      <c r="R439" s="1" t="str">
        <f>VLOOKUP(MID(Q439,8,4),'[1]Tipe Plate'!$C:$D,2,FALSE)</f>
        <v>Grid Casting</v>
      </c>
      <c r="S439" s="4">
        <f>VLOOKUP(L439,'[1]Plate Infor'!$B:$F,5,FALSE)*D439</f>
        <v>1080</v>
      </c>
      <c r="T439" s="4">
        <f>IFERROR(VLOOKUP(IF(MID(Q439,3,1)="F","W-UNPL-"&amp;RIGHT(Q439,20),Q439),'[1]Data Pule'!$C:$E,3,FALSE),0)*S439</f>
        <v>124.2</v>
      </c>
    </row>
    <row r="440" spans="3:20" x14ac:dyDescent="0.35">
      <c r="C440" s="1" t="s">
        <v>297</v>
      </c>
      <c r="D440">
        <v>36</v>
      </c>
      <c r="E440" s="3" t="str">
        <f>MID(C440,5,1)</f>
        <v>U</v>
      </c>
      <c r="F440" s="3"/>
      <c r="G440" s="3"/>
      <c r="H440" s="3"/>
      <c r="I440" s="3"/>
      <c r="J440" s="3"/>
      <c r="K440" s="3"/>
      <c r="L440" s="1" t="str">
        <f>MID(C440,3,17)</f>
        <v>ACUP-115F51X-B9C4</v>
      </c>
      <c r="M440" s="1" t="str">
        <f>VLOOKUP(L440,'[1]Plate Infor'!$B:$C,2,FALSE)</f>
        <v>W-UNPL-CG82PXX-L870-02-7S00</v>
      </c>
      <c r="N440" s="1" t="str">
        <f>VLOOKUP(MID(M440,8,4),'[1]Tipe Plate'!$C:$D,2,FALSE)</f>
        <v>Grid Casting</v>
      </c>
      <c r="O440" s="4">
        <f>VLOOKUP(L440,'[1]Plate Infor'!$B:$D,3,FALSE)*D440</f>
        <v>972</v>
      </c>
      <c r="P440" s="4">
        <f>IFERROR(VLOOKUP(IF(MID(M440,3,1)="F","W-UNPL-"&amp;RIGHT(M440,20),M440),'[1]Data Pule'!$C:$E,3,FALSE),0)*O440</f>
        <v>124.90199999999997</v>
      </c>
      <c r="Q440" s="1" t="str">
        <f>VLOOKUP(L440,'[1]Plate Infor'!$B:$E,4,FALSE)</f>
        <v>W-UNPL-CG87NXX-T3L0-02-7S00</v>
      </c>
      <c r="R440" s="1" t="str">
        <f>VLOOKUP(MID(Q440,8,4),'[1]Tipe Plate'!$C:$D,2,FALSE)</f>
        <v>Grid Casting</v>
      </c>
      <c r="S440" s="4">
        <f>VLOOKUP(L440,'[1]Plate Infor'!$B:$F,5,FALSE)*D440</f>
        <v>1080</v>
      </c>
      <c r="T440" s="4">
        <f>IFERROR(VLOOKUP(IF(MID(Q440,3,1)="F","W-UNPL-"&amp;RIGHT(Q440,20),Q440),'[1]Data Pule'!$C:$E,3,FALSE),0)*S440</f>
        <v>124.2</v>
      </c>
    </row>
    <row r="441" spans="3:20" x14ac:dyDescent="0.35">
      <c r="C441" s="1" t="s">
        <v>298</v>
      </c>
      <c r="D441">
        <v>36</v>
      </c>
      <c r="E441" s="3" t="str">
        <f>MID(C441,5,1)</f>
        <v>U</v>
      </c>
      <c r="F441" s="3"/>
      <c r="G441" s="3"/>
      <c r="H441" s="3"/>
      <c r="I441" s="3"/>
      <c r="J441" s="3"/>
      <c r="K441" s="3"/>
      <c r="L441" s="1" t="str">
        <f>MID(C441,3,17)</f>
        <v>ACUP-115F51X-C1C3</v>
      </c>
      <c r="M441" s="1" t="str">
        <f>VLOOKUP(L441,'[1]Plate Infor'!$B:$C,2,FALSE)</f>
        <v>W-UNPL-CG80PXX-L870-02-7S00</v>
      </c>
      <c r="N441" s="1" t="str">
        <f>VLOOKUP(MID(M441,8,4),'[1]Tipe Plate'!$C:$D,2,FALSE)</f>
        <v>Grid Casting</v>
      </c>
      <c r="O441" s="4">
        <f>VLOOKUP(L441,'[1]Plate Infor'!$B:$D,3,FALSE)*D441</f>
        <v>1080</v>
      </c>
      <c r="P441" s="4">
        <f>IFERROR(VLOOKUP(IF(MID(M441,3,1)="F","W-UNPL-"&amp;RIGHT(M441,20),M441),'[1]Data Pule'!$C:$E,3,FALSE),0)*O441</f>
        <v>163.18799999999999</v>
      </c>
      <c r="Q441" s="1" t="str">
        <f>VLOOKUP(L441,'[1]Plate Infor'!$B:$E,4,FALSE)</f>
        <v>W-UNPL-CG87NXX-T3L0-02-7S00</v>
      </c>
      <c r="R441" s="1" t="str">
        <f>VLOOKUP(MID(Q441,8,4),'[1]Tipe Plate'!$C:$D,2,FALSE)</f>
        <v>Grid Casting</v>
      </c>
      <c r="S441" s="4">
        <f>VLOOKUP(L441,'[1]Plate Infor'!$B:$F,5,FALSE)*D441</f>
        <v>1188</v>
      </c>
      <c r="T441" s="4">
        <f>IFERROR(VLOOKUP(IF(MID(Q441,3,1)="F","W-UNPL-"&amp;RIGHT(Q441,20),Q441),'[1]Data Pule'!$C:$E,3,FALSE),0)*S441</f>
        <v>136.62</v>
      </c>
    </row>
    <row r="442" spans="3:20" x14ac:dyDescent="0.35">
      <c r="C442" s="1" t="s">
        <v>299</v>
      </c>
      <c r="D442">
        <v>30</v>
      </c>
      <c r="E442" s="3" t="str">
        <f>MID(C442,5,1)</f>
        <v>U</v>
      </c>
      <c r="F442" s="3"/>
      <c r="G442" s="3"/>
      <c r="H442" s="3"/>
      <c r="I442" s="3"/>
      <c r="J442" s="3"/>
      <c r="K442" s="3"/>
      <c r="L442" s="1" t="str">
        <f>MID(C442,3,17)</f>
        <v>ACUP-145G51X-C3C5</v>
      </c>
      <c r="M442" s="1" t="str">
        <f>VLOOKUP(L442,'[1]Plate Infor'!$B:$C,2,FALSE)</f>
        <v>W-UNPL-CG82PXX-L870-02-7S00</v>
      </c>
      <c r="N442" s="1" t="str">
        <f>VLOOKUP(MID(M442,8,4),'[1]Tipe Plate'!$C:$D,2,FALSE)</f>
        <v>Grid Casting</v>
      </c>
      <c r="O442" s="4">
        <f>VLOOKUP(L442,'[1]Plate Infor'!$B:$D,3,FALSE)*D442</f>
        <v>990</v>
      </c>
      <c r="P442" s="4">
        <f>IFERROR(VLOOKUP(IF(MID(M442,3,1)="F","W-UNPL-"&amp;RIGHT(M442,20),M442),'[1]Data Pule'!$C:$E,3,FALSE),0)*O442</f>
        <v>127.21499999999997</v>
      </c>
      <c r="Q442" s="1" t="str">
        <f>VLOOKUP(L442,'[1]Plate Infor'!$B:$E,4,FALSE)</f>
        <v>W-UNPL-CG87NXX-T3L0-02-7S00</v>
      </c>
      <c r="R442" s="1" t="str">
        <f>VLOOKUP(MID(Q442,8,4),'[1]Tipe Plate'!$C:$D,2,FALSE)</f>
        <v>Grid Casting</v>
      </c>
      <c r="S442" s="4">
        <f>VLOOKUP(L442,'[1]Plate Infor'!$B:$F,5,FALSE)*D442</f>
        <v>1080</v>
      </c>
      <c r="T442" s="4">
        <f>IFERROR(VLOOKUP(IF(MID(Q442,3,1)="F","W-UNPL-"&amp;RIGHT(Q442,20),Q442),'[1]Data Pule'!$C:$E,3,FALSE),0)*S442</f>
        <v>124.2</v>
      </c>
    </row>
    <row r="443" spans="3:20" x14ac:dyDescent="0.35">
      <c r="C443" s="1" t="s">
        <v>300</v>
      </c>
      <c r="D443">
        <v>120</v>
      </c>
      <c r="E443" s="3" t="str">
        <f>MID(C443,5,1)</f>
        <v>U</v>
      </c>
      <c r="F443" s="3"/>
      <c r="G443" s="3"/>
      <c r="H443" s="3"/>
      <c r="I443" s="3"/>
      <c r="J443" s="3"/>
      <c r="K443" s="3"/>
      <c r="L443" s="1" t="str">
        <f>MID(C443,3,17)</f>
        <v>ACUP-145G51X-C7C3</v>
      </c>
      <c r="M443" s="1" t="str">
        <f>VLOOKUP(L443,'[1]Plate Infor'!$B:$C,2,FALSE)</f>
        <v>W-UNPL-CG82PXX-L870-02-7S00</v>
      </c>
      <c r="N443" s="1" t="str">
        <f>VLOOKUP(MID(M443,8,4),'[1]Tipe Plate'!$C:$D,2,FALSE)</f>
        <v>Grid Casting</v>
      </c>
      <c r="O443" s="4">
        <f>VLOOKUP(L443,'[1]Plate Infor'!$B:$D,3,FALSE)*D443</f>
        <v>4680</v>
      </c>
      <c r="P443" s="4">
        <f>IFERROR(VLOOKUP(IF(MID(M443,3,1)="F","W-UNPL-"&amp;RIGHT(M443,20),M443),'[1]Data Pule'!$C:$E,3,FALSE),0)*O443</f>
        <v>601.37999999999988</v>
      </c>
      <c r="Q443" s="1" t="str">
        <f>VLOOKUP(L443,'[1]Plate Infor'!$B:$E,4,FALSE)</f>
        <v>W-UNPL-CG87NXX-T3L0-02-7S00</v>
      </c>
      <c r="R443" s="1" t="str">
        <f>VLOOKUP(MID(Q443,8,4),'[1]Tipe Plate'!$C:$D,2,FALSE)</f>
        <v>Grid Casting</v>
      </c>
      <c r="S443" s="4">
        <f>VLOOKUP(L443,'[1]Plate Infor'!$B:$F,5,FALSE)*D443</f>
        <v>5040</v>
      </c>
      <c r="T443" s="4">
        <f>IFERROR(VLOOKUP(IF(MID(Q443,3,1)="F","W-UNPL-"&amp;RIGHT(Q443,20),Q443),'[1]Data Pule'!$C:$E,3,FALSE),0)*S443</f>
        <v>579.6</v>
      </c>
    </row>
    <row r="444" spans="3:20" x14ac:dyDescent="0.35">
      <c r="C444" s="1" t="s">
        <v>355</v>
      </c>
      <c r="D444">
        <v>120</v>
      </c>
      <c r="E444" s="3" t="str">
        <f>MID(C444,5,1)</f>
        <v>U</v>
      </c>
      <c r="F444" s="3"/>
      <c r="G444" s="3"/>
      <c r="H444" s="3"/>
      <c r="I444" s="3"/>
      <c r="J444" s="3"/>
      <c r="K444" s="3"/>
      <c r="L444" s="1" t="str">
        <f>MID(C444,3,17)</f>
        <v>ACUP-190H52X-D3C5</v>
      </c>
      <c r="M444" s="1" t="str">
        <f>VLOOKUP(L444,'[1]Plate Infor'!$B:$C,2,FALSE)</f>
        <v>W-UNPL-CG82PXX-L870-02-7S00</v>
      </c>
      <c r="N444" s="1" t="str">
        <f>VLOOKUP(MID(M444,8,4),'[1]Tipe Plate'!$C:$D,2,FALSE)</f>
        <v>Grid Casting</v>
      </c>
      <c r="O444" s="4">
        <f>VLOOKUP(L444,'[1]Plate Infor'!$B:$D,3,FALSE)*D444</f>
        <v>5760</v>
      </c>
      <c r="P444" s="4">
        <f>IFERROR(VLOOKUP(IF(MID(M444,3,1)="F","W-UNPL-"&amp;RIGHT(M444,20),M444),'[1]Data Pule'!$C:$E,3,FALSE),0)*O444</f>
        <v>740.15999999999985</v>
      </c>
      <c r="Q444" s="1" t="str">
        <f>VLOOKUP(L444,'[1]Plate Infor'!$B:$E,4,FALSE)</f>
        <v>W-UNPL-CG87NXX-T3L0-02-7S00</v>
      </c>
      <c r="R444" s="1" t="str">
        <f>VLOOKUP(MID(Q444,8,4),'[1]Tipe Plate'!$C:$D,2,FALSE)</f>
        <v>Grid Casting</v>
      </c>
      <c r="S444" s="4">
        <f>VLOOKUP(L444,'[1]Plate Infor'!$B:$F,5,FALSE)*D444</f>
        <v>6120</v>
      </c>
      <c r="T444" s="4">
        <f>IFERROR(VLOOKUP(IF(MID(Q444,3,1)="F","W-UNPL-"&amp;RIGHT(Q444,20),Q444),'[1]Data Pule'!$C:$E,3,FALSE),0)*S444</f>
        <v>703.80000000000007</v>
      </c>
    </row>
    <row r="445" spans="3:20" x14ac:dyDescent="0.35">
      <c r="C445" s="1" t="s">
        <v>303</v>
      </c>
      <c r="D445">
        <v>540</v>
      </c>
      <c r="E445" s="3" t="str">
        <f>MID(C445,5,1)</f>
        <v>U</v>
      </c>
      <c r="F445" s="3"/>
      <c r="G445" s="3"/>
      <c r="H445" s="3"/>
      <c r="I445" s="3"/>
      <c r="J445" s="3"/>
      <c r="K445" s="3"/>
      <c r="L445" s="1" t="str">
        <f>MID(C445,3,17)</f>
        <v>AMUP-36B20LX-A9P4</v>
      </c>
      <c r="M445" s="1" t="str">
        <f>VLOOKUP(L445,'[1]Plate Infor'!$B:$C,2,FALSE)</f>
        <v>W-UNPL-WM84PXX-L65F-00-7S00</v>
      </c>
      <c r="N445" s="1" t="str">
        <f>VLOOKUP(MID(M445,8,4),'[1]Tipe Plate'!$C:$D,2,FALSE)</f>
        <v>Grid Casting</v>
      </c>
      <c r="O445" s="4">
        <f>VLOOKUP(L445,'[1]Plate Infor'!$B:$D,3,FALSE)*D445</f>
        <v>6480</v>
      </c>
      <c r="P445" s="4">
        <f>IFERROR(VLOOKUP(IF(MID(M445,3,1)="F","W-UNPL-"&amp;RIGHT(M445,20),M445),'[1]Data Pule'!$C:$E,3,FALSE),0)*O445</f>
        <v>738.072</v>
      </c>
      <c r="Q445" s="1" t="str">
        <f>VLOOKUP(L445,'[1]Plate Infor'!$B:$E,4,FALSE)</f>
        <v>W-UNPL-WM85NXX-T3AF-00-7S00</v>
      </c>
      <c r="R445" s="1" t="str">
        <f>VLOOKUP(MID(Q445,8,4),'[1]Tipe Plate'!$C:$D,2,FALSE)</f>
        <v>Grid Punching</v>
      </c>
      <c r="S445" s="4">
        <f>VLOOKUP(L445,'[1]Plate Infor'!$B:$F,5,FALSE)*D445</f>
        <v>8100</v>
      </c>
      <c r="T445" s="4">
        <f>IFERROR(VLOOKUP(IF(MID(Q445,3,1)="F","W-UNPL-"&amp;RIGHT(Q445,20),Q445),'[1]Data Pule'!$C:$E,3,FALSE),0)*S445</f>
        <v>861.03000000000009</v>
      </c>
    </row>
    <row r="446" spans="3:20" x14ac:dyDescent="0.35">
      <c r="C446" s="1" t="s">
        <v>304</v>
      </c>
      <c r="D446">
        <v>216</v>
      </c>
      <c r="E446" s="3" t="str">
        <f>MID(C446,5,1)</f>
        <v>U</v>
      </c>
      <c r="F446" s="3"/>
      <c r="G446" s="3"/>
      <c r="H446" s="3"/>
      <c r="I446" s="3"/>
      <c r="J446" s="3"/>
      <c r="K446" s="3"/>
      <c r="L446" s="1" t="str">
        <f>MID(C446,3,17)</f>
        <v>AVUP-46B24RS-B0A4</v>
      </c>
      <c r="M446" s="1" t="str">
        <f>VLOOKUP(L446,'[1]Plate Infor'!$B:$C,2,FALSE)</f>
        <v>W-UNPL-CM84APX-L870-02-7S00</v>
      </c>
      <c r="N446" s="1" t="str">
        <f>VLOOKUP(MID(M446,8,4),'[1]Tipe Plate'!$C:$D,2,FALSE)</f>
        <v>Grid Casting</v>
      </c>
      <c r="O446" s="4">
        <f>VLOOKUP(L446,'[1]Plate Infor'!$B:$D,3,FALSE)*D446</f>
        <v>3240</v>
      </c>
      <c r="P446" s="4">
        <f>IFERROR(VLOOKUP(IF(MID(M446,3,1)="F","W-UNPL-"&amp;RIGHT(M446,20),M446),'[1]Data Pule'!$C:$E,3,FALSE),0)*O446</f>
        <v>290.62799999999999</v>
      </c>
      <c r="Q446" s="1" t="str">
        <f>VLOOKUP(L446,'[1]Plate Infor'!$B:$E,4,FALSE)</f>
        <v>W-UNPL-WM85NXX-T3AF-00-7S00</v>
      </c>
      <c r="R446" s="1" t="str">
        <f>VLOOKUP(MID(Q446,8,4),'[1]Tipe Plate'!$C:$D,2,FALSE)</f>
        <v>Grid Punching</v>
      </c>
      <c r="S446" s="4">
        <f>VLOOKUP(L446,'[1]Plate Infor'!$B:$F,5,FALSE)*D446</f>
        <v>3240</v>
      </c>
      <c r="T446" s="4">
        <f>IFERROR(VLOOKUP(IF(MID(Q446,3,1)="F","W-UNPL-"&amp;RIGHT(Q446,20),Q446),'[1]Data Pule'!$C:$E,3,FALSE),0)*S446</f>
        <v>344.41200000000003</v>
      </c>
    </row>
    <row r="447" spans="3:20" x14ac:dyDescent="0.35">
      <c r="C447" s="1" t="s">
        <v>305</v>
      </c>
      <c r="D447">
        <v>216</v>
      </c>
      <c r="E447" s="3" t="str">
        <f>MID(C447,5,1)</f>
        <v>U</v>
      </c>
      <c r="F447" s="3"/>
      <c r="G447" s="3"/>
      <c r="H447" s="3"/>
      <c r="I447" s="3"/>
      <c r="J447" s="3"/>
      <c r="K447" s="3"/>
      <c r="L447" s="1" t="str">
        <f>MID(C447,3,17)</f>
        <v>AVUP-46B24LS-B0A4</v>
      </c>
      <c r="M447" s="1" t="str">
        <f>VLOOKUP(L447,'[1]Plate Infor'!$B:$C,2,FALSE)</f>
        <v>W-UNPL-CM84APX-L870-02-7S00</v>
      </c>
      <c r="N447" s="1" t="str">
        <f>VLOOKUP(MID(M447,8,4),'[1]Tipe Plate'!$C:$D,2,FALSE)</f>
        <v>Grid Casting</v>
      </c>
      <c r="O447" s="4">
        <f>VLOOKUP(L447,'[1]Plate Infor'!$B:$D,3,FALSE)*D447</f>
        <v>3240</v>
      </c>
      <c r="P447" s="4">
        <f>IFERROR(VLOOKUP(IF(MID(M447,3,1)="F","W-UNPL-"&amp;RIGHT(M447,20),M447),'[1]Data Pule'!$C:$E,3,FALSE),0)*O447</f>
        <v>290.62799999999999</v>
      </c>
      <c r="Q447" s="1" t="str">
        <f>VLOOKUP(L447,'[1]Plate Infor'!$B:$E,4,FALSE)</f>
        <v>W-UNPL-WM85NXX-T3AF-00-7S00</v>
      </c>
      <c r="R447" s="1" t="str">
        <f>VLOOKUP(MID(Q447,8,4),'[1]Tipe Plate'!$C:$D,2,FALSE)</f>
        <v>Grid Punching</v>
      </c>
      <c r="S447" s="4">
        <f>VLOOKUP(L447,'[1]Plate Infor'!$B:$F,5,FALSE)*D447</f>
        <v>3240</v>
      </c>
      <c r="T447" s="4">
        <f>IFERROR(VLOOKUP(IF(MID(Q447,3,1)="F","W-UNPL-"&amp;RIGHT(Q447,20),Q447),'[1]Data Pule'!$C:$E,3,FALSE),0)*S447</f>
        <v>344.41200000000003</v>
      </c>
    </row>
    <row r="448" spans="3:20" x14ac:dyDescent="0.35">
      <c r="C448" s="1" t="s">
        <v>222</v>
      </c>
      <c r="D448">
        <v>96</v>
      </c>
      <c r="E448" s="3" t="str">
        <f>MID(C448,5,1)</f>
        <v>U</v>
      </c>
      <c r="F448" s="3"/>
      <c r="G448" s="3"/>
      <c r="H448" s="3"/>
      <c r="I448" s="3"/>
      <c r="J448" s="3"/>
      <c r="K448" s="3"/>
      <c r="L448" s="1" t="str">
        <f>MID(C448,3,17)</f>
        <v>ACUP-65D26RX-B1C4</v>
      </c>
      <c r="M448" s="1" t="str">
        <f>VLOOKUP(L448,'[1]Plate Infor'!$B:$C,2,FALSE)</f>
        <v>W-UNPL-CG82PXX-L870-02-7S00</v>
      </c>
      <c r="N448" s="1" t="str">
        <f>VLOOKUP(MID(M448,8,4),'[1]Tipe Plate'!$C:$D,2,FALSE)</f>
        <v>Grid Casting</v>
      </c>
      <c r="O448" s="4">
        <f>VLOOKUP(L448,'[1]Plate Infor'!$B:$D,3,FALSE)*D448</f>
        <v>1440</v>
      </c>
      <c r="P448" s="4">
        <f>IFERROR(VLOOKUP(IF(MID(M448,3,1)="F","W-UNPL-"&amp;RIGHT(M448,20),M448),'[1]Data Pule'!$C:$E,3,FALSE),0)*O448</f>
        <v>185.03999999999996</v>
      </c>
      <c r="Q448" s="1" t="str">
        <f>VLOOKUP(L448,'[1]Plate Infor'!$B:$E,4,FALSE)</f>
        <v>W-UNPL-CG87NXX-T3L0-02-7S00</v>
      </c>
      <c r="R448" s="1" t="str">
        <f>VLOOKUP(MID(Q448,8,4),'[1]Tipe Plate'!$C:$D,2,FALSE)</f>
        <v>Grid Casting</v>
      </c>
      <c r="S448" s="4">
        <f>VLOOKUP(L448,'[1]Plate Infor'!$B:$F,5,FALSE)*D448</f>
        <v>1728</v>
      </c>
      <c r="T448" s="4">
        <f>IFERROR(VLOOKUP(IF(MID(Q448,3,1)="F","W-UNPL-"&amp;RIGHT(Q448,20),Q448),'[1]Data Pule'!$C:$E,3,FALSE),0)*S448</f>
        <v>198.72</v>
      </c>
    </row>
    <row r="449" spans="3:20" x14ac:dyDescent="0.35">
      <c r="C449" s="1" t="s">
        <v>224</v>
      </c>
      <c r="D449">
        <v>84</v>
      </c>
      <c r="E449" s="3" t="str">
        <f>MID(C449,5,1)</f>
        <v>U</v>
      </c>
      <c r="F449" s="3"/>
      <c r="G449" s="3"/>
      <c r="H449" s="3"/>
      <c r="I449" s="3"/>
      <c r="J449" s="3"/>
      <c r="K449" s="3"/>
      <c r="L449" s="1" t="str">
        <f>MID(C449,3,17)</f>
        <v>ACUP-95D31RX-B3C5</v>
      </c>
      <c r="M449" s="1" t="str">
        <f>VLOOKUP(L449,'[1]Plate Infor'!$B:$C,2,FALSE)</f>
        <v>W-UNPL-CG82PXX-L870-02-7S00</v>
      </c>
      <c r="N449" s="1" t="str">
        <f>VLOOKUP(MID(M449,8,4),'[1]Tipe Plate'!$C:$D,2,FALSE)</f>
        <v>Grid Casting</v>
      </c>
      <c r="O449" s="4">
        <f>VLOOKUP(L449,'[1]Plate Infor'!$B:$D,3,FALSE)*D449</f>
        <v>1512</v>
      </c>
      <c r="P449" s="4">
        <f>IFERROR(VLOOKUP(IF(MID(M449,3,1)="F","W-UNPL-"&amp;RIGHT(M449,20),M449),'[1]Data Pule'!$C:$E,3,FALSE),0)*O449</f>
        <v>194.29199999999997</v>
      </c>
      <c r="Q449" s="1" t="str">
        <f>VLOOKUP(L449,'[1]Plate Infor'!$B:$E,4,FALSE)</f>
        <v>W-UNPL-CG87NXX-T3L0-02-7S00</v>
      </c>
      <c r="R449" s="1" t="str">
        <f>VLOOKUP(MID(Q449,8,4),'[1]Tipe Plate'!$C:$D,2,FALSE)</f>
        <v>Grid Casting</v>
      </c>
      <c r="S449" s="4">
        <f>VLOOKUP(L449,'[1]Plate Infor'!$B:$F,5,FALSE)*D449</f>
        <v>1764</v>
      </c>
      <c r="T449" s="4">
        <f>IFERROR(VLOOKUP(IF(MID(Q449,3,1)="F","W-UNPL-"&amp;RIGHT(Q449,20),Q449),'[1]Data Pule'!$C:$E,3,FALSE),0)*S449</f>
        <v>202.86</v>
      </c>
    </row>
    <row r="450" spans="3:20" x14ac:dyDescent="0.35">
      <c r="C450" s="1" t="s">
        <v>225</v>
      </c>
      <c r="D450">
        <v>84</v>
      </c>
      <c r="E450" s="3" t="str">
        <f>MID(C450,5,1)</f>
        <v>U</v>
      </c>
      <c r="F450" s="3"/>
      <c r="G450" s="3"/>
      <c r="H450" s="3"/>
      <c r="I450" s="3"/>
      <c r="J450" s="3"/>
      <c r="K450" s="3"/>
      <c r="L450" s="1" t="str">
        <f>MID(C450,3,17)</f>
        <v>ACUP-95D31LX-B3C5</v>
      </c>
      <c r="M450" s="1" t="str">
        <f>VLOOKUP(L450,'[1]Plate Infor'!$B:$C,2,FALSE)</f>
        <v>W-UNPL-CG82PXX-L870-02-7S00</v>
      </c>
      <c r="N450" s="1" t="str">
        <f>VLOOKUP(MID(M450,8,4),'[1]Tipe Plate'!$C:$D,2,FALSE)</f>
        <v>Grid Casting</v>
      </c>
      <c r="O450" s="4">
        <f>VLOOKUP(L450,'[1]Plate Infor'!$B:$D,3,FALSE)*D450</f>
        <v>1512</v>
      </c>
      <c r="P450" s="4">
        <f>IFERROR(VLOOKUP(IF(MID(M450,3,1)="F","W-UNPL-"&amp;RIGHT(M450,20),M450),'[1]Data Pule'!$C:$E,3,FALSE),0)*O450</f>
        <v>194.29199999999997</v>
      </c>
      <c r="Q450" s="1" t="str">
        <f>VLOOKUP(L450,'[1]Plate Infor'!$B:$E,4,FALSE)</f>
        <v>W-UNPL-CG87NXX-T3L0-02-7S00</v>
      </c>
      <c r="R450" s="1" t="str">
        <f>VLOOKUP(MID(Q450,8,4),'[1]Tipe Plate'!$C:$D,2,FALSE)</f>
        <v>Grid Casting</v>
      </c>
      <c r="S450" s="4">
        <f>VLOOKUP(L450,'[1]Plate Infor'!$B:$F,5,FALSE)*D450</f>
        <v>1764</v>
      </c>
      <c r="T450" s="4">
        <f>IFERROR(VLOOKUP(IF(MID(Q450,3,1)="F","W-UNPL-"&amp;RIGHT(Q450,20),Q450),'[1]Data Pule'!$C:$E,3,FALSE),0)*S450</f>
        <v>202.86</v>
      </c>
    </row>
    <row r="451" spans="3:20" x14ac:dyDescent="0.35">
      <c r="C451" s="1" t="s">
        <v>226</v>
      </c>
      <c r="D451">
        <v>72</v>
      </c>
      <c r="E451" s="3" t="str">
        <f>MID(C451,5,1)</f>
        <v>U</v>
      </c>
      <c r="F451" s="3"/>
      <c r="G451" s="3"/>
      <c r="H451" s="3"/>
      <c r="I451" s="3"/>
      <c r="J451" s="3"/>
      <c r="K451" s="3"/>
      <c r="L451" s="1" t="str">
        <f>MID(C451,3,17)</f>
        <v>ACUP-115F51X-B9C4</v>
      </c>
      <c r="M451" s="1" t="str">
        <f>VLOOKUP(L451,'[1]Plate Infor'!$B:$C,2,FALSE)</f>
        <v>W-UNPL-CG82PXX-L870-02-7S00</v>
      </c>
      <c r="N451" s="1" t="str">
        <f>VLOOKUP(MID(M451,8,4),'[1]Tipe Plate'!$C:$D,2,FALSE)</f>
        <v>Grid Casting</v>
      </c>
      <c r="O451" s="4">
        <f>VLOOKUP(L451,'[1]Plate Infor'!$B:$D,3,FALSE)*D451</f>
        <v>1944</v>
      </c>
      <c r="P451" s="4">
        <f>IFERROR(VLOOKUP(IF(MID(M451,3,1)="F","W-UNPL-"&amp;RIGHT(M451,20),M451),'[1]Data Pule'!$C:$E,3,FALSE),0)*O451</f>
        <v>249.80399999999995</v>
      </c>
      <c r="Q451" s="1" t="str">
        <f>VLOOKUP(L451,'[1]Plate Infor'!$B:$E,4,FALSE)</f>
        <v>W-UNPL-CG87NXX-T3L0-02-7S00</v>
      </c>
      <c r="R451" s="1" t="str">
        <f>VLOOKUP(MID(Q451,8,4),'[1]Tipe Plate'!$C:$D,2,FALSE)</f>
        <v>Grid Casting</v>
      </c>
      <c r="S451" s="4">
        <f>VLOOKUP(L451,'[1]Plate Infor'!$B:$F,5,FALSE)*D451</f>
        <v>2160</v>
      </c>
      <c r="T451" s="4">
        <f>IFERROR(VLOOKUP(IF(MID(Q451,3,1)="F","W-UNPL-"&amp;RIGHT(Q451,20),Q451),'[1]Data Pule'!$C:$E,3,FALSE),0)*S451</f>
        <v>248.4</v>
      </c>
    </row>
    <row r="452" spans="3:20" x14ac:dyDescent="0.35">
      <c r="C452" s="1" t="s">
        <v>227</v>
      </c>
      <c r="D452">
        <v>30</v>
      </c>
      <c r="E452" s="3" t="str">
        <f>MID(C452,5,1)</f>
        <v>U</v>
      </c>
      <c r="F452" s="3"/>
      <c r="G452" s="3"/>
      <c r="H452" s="3"/>
      <c r="I452" s="3"/>
      <c r="J452" s="3"/>
      <c r="K452" s="3"/>
      <c r="L452" s="1" t="str">
        <f>MID(C452,3,17)</f>
        <v>ACUP-145G51X-C3C5</v>
      </c>
      <c r="M452" s="1" t="str">
        <f>VLOOKUP(L452,'[1]Plate Infor'!$B:$C,2,FALSE)</f>
        <v>W-UNPL-CG82PXX-L870-02-7S00</v>
      </c>
      <c r="N452" s="1" t="str">
        <f>VLOOKUP(MID(M452,8,4),'[1]Tipe Plate'!$C:$D,2,FALSE)</f>
        <v>Grid Casting</v>
      </c>
      <c r="O452" s="4">
        <f>VLOOKUP(L452,'[1]Plate Infor'!$B:$D,3,FALSE)*D452</f>
        <v>990</v>
      </c>
      <c r="P452" s="4">
        <f>IFERROR(VLOOKUP(IF(MID(M452,3,1)="F","W-UNPL-"&amp;RIGHT(M452,20),M452),'[1]Data Pule'!$C:$E,3,FALSE),0)*O452</f>
        <v>127.21499999999997</v>
      </c>
      <c r="Q452" s="1" t="str">
        <f>VLOOKUP(L452,'[1]Plate Infor'!$B:$E,4,FALSE)</f>
        <v>W-UNPL-CG87NXX-T3L0-02-7S00</v>
      </c>
      <c r="R452" s="1" t="str">
        <f>VLOOKUP(MID(Q452,8,4),'[1]Tipe Plate'!$C:$D,2,FALSE)</f>
        <v>Grid Casting</v>
      </c>
      <c r="S452" s="4">
        <f>VLOOKUP(L452,'[1]Plate Infor'!$B:$F,5,FALSE)*D452</f>
        <v>1080</v>
      </c>
      <c r="T452" s="4">
        <f>IFERROR(VLOOKUP(IF(MID(Q452,3,1)="F","W-UNPL-"&amp;RIGHT(Q452,20),Q452),'[1]Data Pule'!$C:$E,3,FALSE),0)*S452</f>
        <v>124.2</v>
      </c>
    </row>
    <row r="453" spans="3:20" x14ac:dyDescent="0.35">
      <c r="C453" s="1" t="s">
        <v>354</v>
      </c>
      <c r="D453">
        <v>180</v>
      </c>
      <c r="E453" s="3" t="str">
        <f>MID(C453,5,1)</f>
        <v>U</v>
      </c>
      <c r="F453" s="3"/>
      <c r="G453" s="3"/>
      <c r="H453" s="3"/>
      <c r="I453" s="3"/>
      <c r="J453" s="3"/>
      <c r="K453" s="3"/>
      <c r="L453" s="1" t="str">
        <f>MID(C453,3,17)</f>
        <v>ACUP-36B20LX-A7C5</v>
      </c>
      <c r="M453" s="1" t="str">
        <f>VLOOKUP(L453,'[1]Plate Infor'!$B:$C,2,FALSE)</f>
        <v>W-UNPL-CM84APX-L870-02-7S00</v>
      </c>
      <c r="N453" s="1" t="str">
        <f>VLOOKUP(MID(M453,8,4),'[1]Tipe Plate'!$C:$D,2,FALSE)</f>
        <v>Grid Casting</v>
      </c>
      <c r="O453" s="4">
        <f>VLOOKUP(L453,'[1]Plate Infor'!$B:$D,3,FALSE)*D453</f>
        <v>1620</v>
      </c>
      <c r="P453" s="4">
        <f>IFERROR(VLOOKUP(IF(MID(M453,3,1)="F","W-UNPL-"&amp;RIGHT(M453,20),M453),'[1]Data Pule'!$C:$E,3,FALSE),0)*O453</f>
        <v>145.31399999999999</v>
      </c>
      <c r="Q453" s="1" t="str">
        <f>VLOOKUP(L453,'[1]Plate Infor'!$B:$E,4,FALSE)</f>
        <v>W-UNPL-CM8786N-T3L0-02-7S00</v>
      </c>
      <c r="R453" s="1" t="str">
        <f>VLOOKUP(MID(Q453,8,4),'[1]Tipe Plate'!$C:$D,2,FALSE)</f>
        <v>Grid Casting</v>
      </c>
      <c r="S453" s="4">
        <f>VLOOKUP(L453,'[1]Plate Infor'!$B:$F,5,FALSE)*D453</f>
        <v>2160</v>
      </c>
      <c r="T453" s="4">
        <f>IFERROR(VLOOKUP(IF(MID(Q453,3,1)="F","W-UNPL-"&amp;RIGHT(Q453,20),Q453),'[1]Data Pule'!$C:$E,3,FALSE),0)*S453</f>
        <v>203.68800000000002</v>
      </c>
    </row>
    <row r="454" spans="3:20" x14ac:dyDescent="0.35">
      <c r="C454" s="1" t="s">
        <v>267</v>
      </c>
      <c r="D454">
        <v>144</v>
      </c>
      <c r="E454" s="3" t="str">
        <f>MID(C454,5,1)</f>
        <v>U</v>
      </c>
      <c r="F454" s="3"/>
      <c r="G454" s="3"/>
      <c r="H454" s="3"/>
      <c r="I454" s="3"/>
      <c r="J454" s="3"/>
      <c r="K454" s="3"/>
      <c r="L454" s="1" t="str">
        <f>MID(C454,3,17)</f>
        <v>ACUP-46B24RS-A9C5</v>
      </c>
      <c r="M454" s="1" t="str">
        <f>VLOOKUP(L454,'[1]Plate Infor'!$B:$C,2,FALSE)</f>
        <v>W-UNPL-CM84APX-L870-02-7S00</v>
      </c>
      <c r="N454" s="1" t="str">
        <f>VLOOKUP(MID(M454,8,4),'[1]Tipe Plate'!$C:$D,2,FALSE)</f>
        <v>Grid Casting</v>
      </c>
      <c r="O454" s="4">
        <f>VLOOKUP(L454,'[1]Plate Infor'!$B:$D,3,FALSE)*D454</f>
        <v>1728</v>
      </c>
      <c r="P454" s="4">
        <f>IFERROR(VLOOKUP(IF(MID(M454,3,1)="F","W-UNPL-"&amp;RIGHT(M454,20),M454),'[1]Data Pule'!$C:$E,3,FALSE),0)*O454</f>
        <v>155.0016</v>
      </c>
      <c r="Q454" s="1" t="str">
        <f>VLOOKUP(L454,'[1]Plate Infor'!$B:$E,4,FALSE)</f>
        <v>W-UNPL-CM8786N-T3L0-02-7S00</v>
      </c>
      <c r="R454" s="1" t="str">
        <f>VLOOKUP(MID(Q454,8,4),'[1]Tipe Plate'!$C:$D,2,FALSE)</f>
        <v>Grid Casting</v>
      </c>
      <c r="S454" s="4">
        <f>VLOOKUP(L454,'[1]Plate Infor'!$B:$F,5,FALSE)*D454</f>
        <v>2160</v>
      </c>
      <c r="T454" s="4">
        <f>IFERROR(VLOOKUP(IF(MID(Q454,3,1)="F","W-UNPL-"&amp;RIGHT(Q454,20),Q454),'[1]Data Pule'!$C:$E,3,FALSE),0)*S454</f>
        <v>203.68800000000002</v>
      </c>
    </row>
    <row r="455" spans="3:20" x14ac:dyDescent="0.35">
      <c r="C455" s="1" t="s">
        <v>265</v>
      </c>
      <c r="D455">
        <v>96</v>
      </c>
      <c r="E455" s="3" t="str">
        <f>MID(C455,5,1)</f>
        <v>U</v>
      </c>
      <c r="F455" s="3"/>
      <c r="G455" s="3"/>
      <c r="H455" s="3"/>
      <c r="I455" s="3"/>
      <c r="J455" s="3"/>
      <c r="K455" s="3"/>
      <c r="L455" s="1" t="str">
        <f>MID(C455,3,17)</f>
        <v>ACUP-65D26RX-B1C4</v>
      </c>
      <c r="M455" s="1" t="str">
        <f>VLOOKUP(L455,'[1]Plate Infor'!$B:$C,2,FALSE)</f>
        <v>W-UNPL-CG82PXX-L870-02-7S00</v>
      </c>
      <c r="N455" s="1" t="str">
        <f>VLOOKUP(MID(M455,8,4),'[1]Tipe Plate'!$C:$D,2,FALSE)</f>
        <v>Grid Casting</v>
      </c>
      <c r="O455" s="4">
        <f>VLOOKUP(L455,'[1]Plate Infor'!$B:$D,3,FALSE)*D455</f>
        <v>1440</v>
      </c>
      <c r="P455" s="4">
        <f>IFERROR(VLOOKUP(IF(MID(M455,3,1)="F","W-UNPL-"&amp;RIGHT(M455,20),M455),'[1]Data Pule'!$C:$E,3,FALSE),0)*O455</f>
        <v>185.03999999999996</v>
      </c>
      <c r="Q455" s="1" t="str">
        <f>VLOOKUP(L455,'[1]Plate Infor'!$B:$E,4,FALSE)</f>
        <v>W-UNPL-CG87NXX-T3L0-02-7S00</v>
      </c>
      <c r="R455" s="1" t="str">
        <f>VLOOKUP(MID(Q455,8,4),'[1]Tipe Plate'!$C:$D,2,FALSE)</f>
        <v>Grid Casting</v>
      </c>
      <c r="S455" s="4">
        <f>VLOOKUP(L455,'[1]Plate Infor'!$B:$F,5,FALSE)*D455</f>
        <v>1728</v>
      </c>
      <c r="T455" s="4">
        <f>IFERROR(VLOOKUP(IF(MID(Q455,3,1)="F","W-UNPL-"&amp;RIGHT(Q455,20),Q455),'[1]Data Pule'!$C:$E,3,FALSE),0)*S455</f>
        <v>198.72</v>
      </c>
    </row>
    <row r="456" spans="3:20" x14ac:dyDescent="0.35">
      <c r="C456" s="1" t="s">
        <v>264</v>
      </c>
      <c r="D456">
        <v>96</v>
      </c>
      <c r="E456" s="3" t="str">
        <f>MID(C456,5,1)</f>
        <v>U</v>
      </c>
      <c r="F456" s="3"/>
      <c r="G456" s="3"/>
      <c r="H456" s="3"/>
      <c r="I456" s="3"/>
      <c r="J456" s="3"/>
      <c r="K456" s="3"/>
      <c r="L456" s="1" t="str">
        <f>MID(C456,3,17)</f>
        <v>ACUP-65D26LX-B1C4</v>
      </c>
      <c r="M456" s="1" t="str">
        <f>VLOOKUP(L456,'[1]Plate Infor'!$B:$C,2,FALSE)</f>
        <v>W-UNPL-CG82PXX-L870-02-7S00</v>
      </c>
      <c r="N456" s="1" t="str">
        <f>VLOOKUP(MID(M456,8,4),'[1]Tipe Plate'!$C:$D,2,FALSE)</f>
        <v>Grid Casting</v>
      </c>
      <c r="O456" s="4">
        <f>VLOOKUP(L456,'[1]Plate Infor'!$B:$D,3,FALSE)*D456</f>
        <v>1440</v>
      </c>
      <c r="P456" s="4">
        <f>IFERROR(VLOOKUP(IF(MID(M456,3,1)="F","W-UNPL-"&amp;RIGHT(M456,20),M456),'[1]Data Pule'!$C:$E,3,FALSE),0)*O456</f>
        <v>185.03999999999996</v>
      </c>
      <c r="Q456" s="1" t="str">
        <f>VLOOKUP(L456,'[1]Plate Infor'!$B:$E,4,FALSE)</f>
        <v>W-UNPL-CG87NXX-T3L0-02-7S00</v>
      </c>
      <c r="R456" s="1" t="str">
        <f>VLOOKUP(MID(Q456,8,4),'[1]Tipe Plate'!$C:$D,2,FALSE)</f>
        <v>Grid Casting</v>
      </c>
      <c r="S456" s="4">
        <f>VLOOKUP(L456,'[1]Plate Infor'!$B:$F,5,FALSE)*D456</f>
        <v>1728</v>
      </c>
      <c r="T456" s="4">
        <f>IFERROR(VLOOKUP(IF(MID(Q456,3,1)="F","W-UNPL-"&amp;RIGHT(Q456,20),Q456),'[1]Data Pule'!$C:$E,3,FALSE),0)*S456</f>
        <v>198.72</v>
      </c>
    </row>
    <row r="457" spans="3:20" x14ac:dyDescent="0.35">
      <c r="C457" s="1" t="s">
        <v>356</v>
      </c>
      <c r="D457">
        <v>84</v>
      </c>
      <c r="E457" s="3" t="str">
        <f>MID(C457,5,1)</f>
        <v>U</v>
      </c>
      <c r="F457" s="3"/>
      <c r="G457" s="3"/>
      <c r="H457" s="3"/>
      <c r="I457" s="3"/>
      <c r="J457" s="3"/>
      <c r="K457" s="3"/>
      <c r="L457" s="1" t="str">
        <f>MID(C457,3,17)</f>
        <v>ACUP-95D31RX-B3C5</v>
      </c>
      <c r="M457" s="1" t="str">
        <f>VLOOKUP(L457,'[1]Plate Infor'!$B:$C,2,FALSE)</f>
        <v>W-UNPL-CG82PXX-L870-02-7S00</v>
      </c>
      <c r="N457" s="1" t="str">
        <f>VLOOKUP(MID(M457,8,4),'[1]Tipe Plate'!$C:$D,2,FALSE)</f>
        <v>Grid Casting</v>
      </c>
      <c r="O457" s="4">
        <f>VLOOKUP(L457,'[1]Plate Infor'!$B:$D,3,FALSE)*D457</f>
        <v>1512</v>
      </c>
      <c r="P457" s="4">
        <f>IFERROR(VLOOKUP(IF(MID(M457,3,1)="F","W-UNPL-"&amp;RIGHT(M457,20),M457),'[1]Data Pule'!$C:$E,3,FALSE),0)*O457</f>
        <v>194.29199999999997</v>
      </c>
      <c r="Q457" s="1" t="str">
        <f>VLOOKUP(L457,'[1]Plate Infor'!$B:$E,4,FALSE)</f>
        <v>W-UNPL-CG87NXX-T3L0-02-7S00</v>
      </c>
      <c r="R457" s="1" t="str">
        <f>VLOOKUP(MID(Q457,8,4),'[1]Tipe Plate'!$C:$D,2,FALSE)</f>
        <v>Grid Casting</v>
      </c>
      <c r="S457" s="4">
        <f>VLOOKUP(L457,'[1]Plate Infor'!$B:$F,5,FALSE)*D457</f>
        <v>1764</v>
      </c>
      <c r="T457" s="4">
        <f>IFERROR(VLOOKUP(IF(MID(Q457,3,1)="F","W-UNPL-"&amp;RIGHT(Q457,20),Q457),'[1]Data Pule'!$C:$E,3,FALSE),0)*S457</f>
        <v>202.86</v>
      </c>
    </row>
    <row r="458" spans="3:20" x14ac:dyDescent="0.35">
      <c r="C458" s="1" t="s">
        <v>357</v>
      </c>
      <c r="D458">
        <v>84</v>
      </c>
      <c r="E458" s="3" t="str">
        <f>MID(C458,5,1)</f>
        <v>U</v>
      </c>
      <c r="F458" s="3"/>
      <c r="G458" s="3"/>
      <c r="H458" s="3"/>
      <c r="I458" s="3"/>
      <c r="J458" s="3"/>
      <c r="K458" s="3"/>
      <c r="L458" s="1" t="str">
        <f>MID(C458,3,17)</f>
        <v>ACUP-95D31LX-B3C5</v>
      </c>
      <c r="M458" s="1" t="str">
        <f>VLOOKUP(L458,'[1]Plate Infor'!$B:$C,2,FALSE)</f>
        <v>W-UNPL-CG82PXX-L870-02-7S00</v>
      </c>
      <c r="N458" s="1" t="str">
        <f>VLOOKUP(MID(M458,8,4),'[1]Tipe Plate'!$C:$D,2,FALSE)</f>
        <v>Grid Casting</v>
      </c>
      <c r="O458" s="4">
        <f>VLOOKUP(L458,'[1]Plate Infor'!$B:$D,3,FALSE)*D458</f>
        <v>1512</v>
      </c>
      <c r="P458" s="4">
        <f>IFERROR(VLOOKUP(IF(MID(M458,3,1)="F","W-UNPL-"&amp;RIGHT(M458,20),M458),'[1]Data Pule'!$C:$E,3,FALSE),0)*O458</f>
        <v>194.29199999999997</v>
      </c>
      <c r="Q458" s="1" t="str">
        <f>VLOOKUP(L458,'[1]Plate Infor'!$B:$E,4,FALSE)</f>
        <v>W-UNPL-CG87NXX-T3L0-02-7S00</v>
      </c>
      <c r="R458" s="1" t="str">
        <f>VLOOKUP(MID(Q458,8,4),'[1]Tipe Plate'!$C:$D,2,FALSE)</f>
        <v>Grid Casting</v>
      </c>
      <c r="S458" s="4">
        <f>VLOOKUP(L458,'[1]Plate Infor'!$B:$F,5,FALSE)*D458</f>
        <v>1764</v>
      </c>
      <c r="T458" s="4">
        <f>IFERROR(VLOOKUP(IF(MID(Q458,3,1)="F","W-UNPL-"&amp;RIGHT(Q458,20),Q458),'[1]Data Pule'!$C:$E,3,FALSE),0)*S458</f>
        <v>202.86</v>
      </c>
    </row>
    <row r="459" spans="3:20" x14ac:dyDescent="0.35">
      <c r="C459" s="1" t="s">
        <v>272</v>
      </c>
      <c r="D459">
        <v>36</v>
      </c>
      <c r="E459" s="3" t="str">
        <f>MID(C459,5,1)</f>
        <v>U</v>
      </c>
      <c r="F459" s="3"/>
      <c r="G459" s="3"/>
      <c r="H459" s="3"/>
      <c r="I459" s="3"/>
      <c r="J459" s="3"/>
      <c r="K459" s="3"/>
      <c r="L459" s="1" t="str">
        <f>MID(C459,3,17)</f>
        <v>ACUP-115F51X-B9C4</v>
      </c>
      <c r="M459" s="1" t="str">
        <f>VLOOKUP(L459,'[1]Plate Infor'!$B:$C,2,FALSE)</f>
        <v>W-UNPL-CG82PXX-L870-02-7S00</v>
      </c>
      <c r="N459" s="1" t="str">
        <f>VLOOKUP(MID(M459,8,4),'[1]Tipe Plate'!$C:$D,2,FALSE)</f>
        <v>Grid Casting</v>
      </c>
      <c r="O459" s="4">
        <f>VLOOKUP(L459,'[1]Plate Infor'!$B:$D,3,FALSE)*D459</f>
        <v>972</v>
      </c>
      <c r="P459" s="4">
        <f>IFERROR(VLOOKUP(IF(MID(M459,3,1)="F","W-UNPL-"&amp;RIGHT(M459,20),M459),'[1]Data Pule'!$C:$E,3,FALSE),0)*O459</f>
        <v>124.90199999999997</v>
      </c>
      <c r="Q459" s="1" t="str">
        <f>VLOOKUP(L459,'[1]Plate Infor'!$B:$E,4,FALSE)</f>
        <v>W-UNPL-CG87NXX-T3L0-02-7S00</v>
      </c>
      <c r="R459" s="1" t="str">
        <f>VLOOKUP(MID(Q459,8,4),'[1]Tipe Plate'!$C:$D,2,FALSE)</f>
        <v>Grid Casting</v>
      </c>
      <c r="S459" s="4">
        <f>VLOOKUP(L459,'[1]Plate Infor'!$B:$F,5,FALSE)*D459</f>
        <v>1080</v>
      </c>
      <c r="T459" s="4">
        <f>IFERROR(VLOOKUP(IF(MID(Q459,3,1)="F","W-UNPL-"&amp;RIGHT(Q459,20),Q459),'[1]Data Pule'!$C:$E,3,FALSE),0)*S459</f>
        <v>124.2</v>
      </c>
    </row>
    <row r="460" spans="3:20" x14ac:dyDescent="0.35">
      <c r="C460" s="1" t="s">
        <v>358</v>
      </c>
      <c r="D460">
        <v>270</v>
      </c>
      <c r="E460" s="3" t="str">
        <f>MID(C460,5,1)</f>
        <v>U</v>
      </c>
      <c r="F460" s="3"/>
      <c r="G460" s="3"/>
      <c r="H460" s="3"/>
      <c r="I460" s="3"/>
      <c r="J460" s="3"/>
      <c r="K460" s="3"/>
      <c r="L460" s="1" t="str">
        <f>MID(C460,3,17)</f>
        <v>AVUP-36B20LX-A7A5</v>
      </c>
      <c r="M460" s="1" t="str">
        <f>VLOOKUP(L460,'[1]Plate Infor'!$B:$C,2,FALSE)</f>
        <v>W-UNPL-CM84APX-L870-02-7S00</v>
      </c>
      <c r="N460" s="1" t="str">
        <f>VLOOKUP(MID(M460,8,4),'[1]Tipe Plate'!$C:$D,2,FALSE)</f>
        <v>Grid Casting</v>
      </c>
      <c r="O460" s="4">
        <f>VLOOKUP(L460,'[1]Plate Infor'!$B:$D,3,FALSE)*D460</f>
        <v>3240</v>
      </c>
      <c r="P460" s="4">
        <f>IFERROR(VLOOKUP(IF(MID(M460,3,1)="F","W-UNPL-"&amp;RIGHT(M460,20),M460),'[1]Data Pule'!$C:$E,3,FALSE),0)*O460</f>
        <v>290.62799999999999</v>
      </c>
      <c r="Q460" s="1" t="str">
        <f>VLOOKUP(L460,'[1]Plate Infor'!$B:$E,4,FALSE)</f>
        <v>W-UNPL-WM85NXX-T3AF-00-7S00</v>
      </c>
      <c r="R460" s="1" t="str">
        <f>VLOOKUP(MID(Q460,8,4),'[1]Tipe Plate'!$C:$D,2,FALSE)</f>
        <v>Grid Punching</v>
      </c>
      <c r="S460" s="4">
        <f>VLOOKUP(L460,'[1]Plate Infor'!$B:$F,5,FALSE)*D460</f>
        <v>2430</v>
      </c>
      <c r="T460" s="4">
        <f>IFERROR(VLOOKUP(IF(MID(Q460,3,1)="F","W-UNPL-"&amp;RIGHT(Q460,20),Q460),'[1]Data Pule'!$C:$E,3,FALSE),0)*S460</f>
        <v>258.30900000000003</v>
      </c>
    </row>
    <row r="461" spans="3:20" x14ac:dyDescent="0.35">
      <c r="C461" s="1" t="s">
        <v>359</v>
      </c>
      <c r="D461">
        <v>108</v>
      </c>
      <c r="E461" s="3" t="str">
        <f>MID(C461,5,1)</f>
        <v>U</v>
      </c>
      <c r="F461" s="3"/>
      <c r="G461" s="3"/>
      <c r="H461" s="3"/>
      <c r="I461" s="3"/>
      <c r="J461" s="3"/>
      <c r="K461" s="3"/>
      <c r="L461" s="1" t="str">
        <f>MID(C461,3,17)</f>
        <v>AVUP-46B24RS-B0A4</v>
      </c>
      <c r="M461" s="1" t="str">
        <f>VLOOKUP(L461,'[1]Plate Infor'!$B:$C,2,FALSE)</f>
        <v>W-UNPL-CM84APX-L870-02-7S00</v>
      </c>
      <c r="N461" s="1" t="str">
        <f>VLOOKUP(MID(M461,8,4),'[1]Tipe Plate'!$C:$D,2,FALSE)</f>
        <v>Grid Casting</v>
      </c>
      <c r="O461" s="4">
        <f>VLOOKUP(L461,'[1]Plate Infor'!$B:$D,3,FALSE)*D461</f>
        <v>1620</v>
      </c>
      <c r="P461" s="4">
        <f>IFERROR(VLOOKUP(IF(MID(M461,3,1)="F","W-UNPL-"&amp;RIGHT(M461,20),M461),'[1]Data Pule'!$C:$E,3,FALSE),0)*O461</f>
        <v>145.31399999999999</v>
      </c>
      <c r="Q461" s="1" t="str">
        <f>VLOOKUP(L461,'[1]Plate Infor'!$B:$E,4,FALSE)</f>
        <v>W-UNPL-WM85NXX-T3AF-00-7S00</v>
      </c>
      <c r="R461" s="1" t="str">
        <f>VLOOKUP(MID(Q461,8,4),'[1]Tipe Plate'!$C:$D,2,FALSE)</f>
        <v>Grid Punching</v>
      </c>
      <c r="S461" s="4">
        <f>VLOOKUP(L461,'[1]Plate Infor'!$B:$F,5,FALSE)*D461</f>
        <v>1620</v>
      </c>
      <c r="T461" s="4">
        <f>IFERROR(VLOOKUP(IF(MID(Q461,3,1)="F","W-UNPL-"&amp;RIGHT(Q461,20),Q461),'[1]Data Pule'!$C:$E,3,FALSE),0)*S461</f>
        <v>172.20600000000002</v>
      </c>
    </row>
    <row r="462" spans="3:20" x14ac:dyDescent="0.35">
      <c r="C462" s="1" t="s">
        <v>212</v>
      </c>
      <c r="D462">
        <v>270</v>
      </c>
      <c r="E462" s="3" t="str">
        <f>MID(C462,5,1)</f>
        <v>U</v>
      </c>
      <c r="F462" s="3"/>
      <c r="G462" s="3"/>
      <c r="H462" s="3"/>
      <c r="I462" s="3"/>
      <c r="J462" s="3"/>
      <c r="K462" s="3"/>
      <c r="L462" s="1" t="str">
        <f>MID(C462,3,17)</f>
        <v>AVUP-36B20LX-A7A5</v>
      </c>
      <c r="M462" s="1" t="str">
        <f>VLOOKUP(L462,'[1]Plate Infor'!$B:$C,2,FALSE)</f>
        <v>W-UNPL-CM84APX-L870-02-7S00</v>
      </c>
      <c r="N462" s="1" t="str">
        <f>VLOOKUP(MID(M462,8,4),'[1]Tipe Plate'!$C:$D,2,FALSE)</f>
        <v>Grid Casting</v>
      </c>
      <c r="O462" s="4">
        <f>VLOOKUP(L462,'[1]Plate Infor'!$B:$D,3,FALSE)*D462</f>
        <v>3240</v>
      </c>
      <c r="P462" s="4">
        <f>IFERROR(VLOOKUP(IF(MID(M462,3,1)="F","W-UNPL-"&amp;RIGHT(M462,20),M462),'[1]Data Pule'!$C:$E,3,FALSE),0)*O462</f>
        <v>290.62799999999999</v>
      </c>
      <c r="Q462" s="1" t="str">
        <f>VLOOKUP(L462,'[1]Plate Infor'!$B:$E,4,FALSE)</f>
        <v>W-UNPL-WM85NXX-T3AF-00-7S00</v>
      </c>
      <c r="R462" s="1" t="str">
        <f>VLOOKUP(MID(Q462,8,4),'[1]Tipe Plate'!$C:$D,2,FALSE)</f>
        <v>Grid Punching</v>
      </c>
      <c r="S462" s="4">
        <f>VLOOKUP(L462,'[1]Plate Infor'!$B:$F,5,FALSE)*D462</f>
        <v>2430</v>
      </c>
      <c r="T462" s="4">
        <f>IFERROR(VLOOKUP(IF(MID(Q462,3,1)="F","W-UNPL-"&amp;RIGHT(Q462,20),Q462),'[1]Data Pule'!$C:$E,3,FALSE),0)*S462</f>
        <v>258.30900000000003</v>
      </c>
    </row>
    <row r="463" spans="3:20" x14ac:dyDescent="0.35">
      <c r="C463" s="1" t="s">
        <v>360</v>
      </c>
      <c r="D463">
        <v>108</v>
      </c>
      <c r="E463" s="3" t="str">
        <f>MID(C463,5,1)</f>
        <v>U</v>
      </c>
      <c r="F463" s="3"/>
      <c r="G463" s="3"/>
      <c r="H463" s="3"/>
      <c r="I463" s="3"/>
      <c r="J463" s="3"/>
      <c r="K463" s="3"/>
      <c r="L463" s="1" t="str">
        <f>MID(C463,3,17)</f>
        <v>AVUP-46B24RS-B0A4</v>
      </c>
      <c r="M463" s="1" t="str">
        <f>VLOOKUP(L463,'[1]Plate Infor'!$B:$C,2,FALSE)</f>
        <v>W-UNPL-CM84APX-L870-02-7S00</v>
      </c>
      <c r="N463" s="1" t="str">
        <f>VLOOKUP(MID(M463,8,4),'[1]Tipe Plate'!$C:$D,2,FALSE)</f>
        <v>Grid Casting</v>
      </c>
      <c r="O463" s="4">
        <f>VLOOKUP(L463,'[1]Plate Infor'!$B:$D,3,FALSE)*D463</f>
        <v>1620</v>
      </c>
      <c r="P463" s="4">
        <f>IFERROR(VLOOKUP(IF(MID(M463,3,1)="F","W-UNPL-"&amp;RIGHT(M463,20),M463),'[1]Data Pule'!$C:$E,3,FALSE),0)*O463</f>
        <v>145.31399999999999</v>
      </c>
      <c r="Q463" s="1" t="str">
        <f>VLOOKUP(L463,'[1]Plate Infor'!$B:$E,4,FALSE)</f>
        <v>W-UNPL-WM85NXX-T3AF-00-7S00</v>
      </c>
      <c r="R463" s="1" t="str">
        <f>VLOOKUP(MID(Q463,8,4),'[1]Tipe Plate'!$C:$D,2,FALSE)</f>
        <v>Grid Punching</v>
      </c>
      <c r="S463" s="4">
        <f>VLOOKUP(L463,'[1]Plate Infor'!$B:$F,5,FALSE)*D463</f>
        <v>1620</v>
      </c>
      <c r="T463" s="4">
        <f>IFERROR(VLOOKUP(IF(MID(Q463,3,1)="F","W-UNPL-"&amp;RIGHT(Q463,20),Q463),'[1]Data Pule'!$C:$E,3,FALSE),0)*S463</f>
        <v>172.20600000000002</v>
      </c>
    </row>
    <row r="464" spans="3:20" x14ac:dyDescent="0.35">
      <c r="C464" s="1" t="s">
        <v>361</v>
      </c>
      <c r="D464">
        <v>108</v>
      </c>
      <c r="E464" s="3" t="str">
        <f>MID(C464,5,1)</f>
        <v>U</v>
      </c>
      <c r="F464" s="3"/>
      <c r="G464" s="3"/>
      <c r="H464" s="3"/>
      <c r="I464" s="3"/>
      <c r="J464" s="3"/>
      <c r="K464" s="3"/>
      <c r="L464" s="1" t="str">
        <f>MID(C464,3,17)</f>
        <v>AVUP-46B24LS-B0A4</v>
      </c>
      <c r="M464" s="1" t="str">
        <f>VLOOKUP(L464,'[1]Plate Infor'!$B:$C,2,FALSE)</f>
        <v>W-UNPL-CM84APX-L870-02-7S00</v>
      </c>
      <c r="N464" s="1" t="str">
        <f>VLOOKUP(MID(M464,8,4),'[1]Tipe Plate'!$C:$D,2,FALSE)</f>
        <v>Grid Casting</v>
      </c>
      <c r="O464" s="4">
        <f>VLOOKUP(L464,'[1]Plate Infor'!$B:$D,3,FALSE)*D464</f>
        <v>1620</v>
      </c>
      <c r="P464" s="4">
        <f>IFERROR(VLOOKUP(IF(MID(M464,3,1)="F","W-UNPL-"&amp;RIGHT(M464,20),M464),'[1]Data Pule'!$C:$E,3,FALSE),0)*O464</f>
        <v>145.31399999999999</v>
      </c>
      <c r="Q464" s="1" t="str">
        <f>VLOOKUP(L464,'[1]Plate Infor'!$B:$E,4,FALSE)</f>
        <v>W-UNPL-WM85NXX-T3AF-00-7S00</v>
      </c>
      <c r="R464" s="1" t="str">
        <f>VLOOKUP(MID(Q464,8,4),'[1]Tipe Plate'!$C:$D,2,FALSE)</f>
        <v>Grid Punching</v>
      </c>
      <c r="S464" s="4">
        <f>VLOOKUP(L464,'[1]Plate Infor'!$B:$F,5,FALSE)*D464</f>
        <v>1620</v>
      </c>
      <c r="T464" s="4">
        <f>IFERROR(VLOOKUP(IF(MID(Q464,3,1)="F","W-UNPL-"&amp;RIGHT(Q464,20),Q464),'[1]Data Pule'!$C:$E,3,FALSE),0)*S464</f>
        <v>172.20600000000002</v>
      </c>
    </row>
    <row r="465" spans="3:20" x14ac:dyDescent="0.35">
      <c r="C465" s="1" t="s">
        <v>224</v>
      </c>
      <c r="D465">
        <v>84</v>
      </c>
      <c r="E465" s="3" t="str">
        <f>MID(C465,5,1)</f>
        <v>U</v>
      </c>
      <c r="F465" s="3"/>
      <c r="G465" s="3"/>
      <c r="H465" s="3"/>
      <c r="I465" s="3"/>
      <c r="J465" s="3"/>
      <c r="K465" s="3"/>
      <c r="L465" s="1" t="str">
        <f>MID(C465,3,17)</f>
        <v>ACUP-95D31RX-B3C5</v>
      </c>
      <c r="M465" s="1" t="str">
        <f>VLOOKUP(L465,'[1]Plate Infor'!$B:$C,2,FALSE)</f>
        <v>W-UNPL-CG82PXX-L870-02-7S00</v>
      </c>
      <c r="N465" s="1" t="str">
        <f>VLOOKUP(MID(M465,8,4),'[1]Tipe Plate'!$C:$D,2,FALSE)</f>
        <v>Grid Casting</v>
      </c>
      <c r="O465" s="4">
        <f>VLOOKUP(L465,'[1]Plate Infor'!$B:$D,3,FALSE)*D465</f>
        <v>1512</v>
      </c>
      <c r="P465" s="4">
        <f>IFERROR(VLOOKUP(IF(MID(M465,3,1)="F","W-UNPL-"&amp;RIGHT(M465,20),M465),'[1]Data Pule'!$C:$E,3,FALSE),0)*O465</f>
        <v>194.29199999999997</v>
      </c>
      <c r="Q465" s="1" t="str">
        <f>VLOOKUP(L465,'[1]Plate Infor'!$B:$E,4,FALSE)</f>
        <v>W-UNPL-CG87NXX-T3L0-02-7S00</v>
      </c>
      <c r="R465" s="1" t="str">
        <f>VLOOKUP(MID(Q465,8,4),'[1]Tipe Plate'!$C:$D,2,FALSE)</f>
        <v>Grid Casting</v>
      </c>
      <c r="S465" s="4">
        <f>VLOOKUP(L465,'[1]Plate Infor'!$B:$F,5,FALSE)*D465</f>
        <v>1764</v>
      </c>
      <c r="T465" s="4">
        <f>IFERROR(VLOOKUP(IF(MID(Q465,3,1)="F","W-UNPL-"&amp;RIGHT(Q465,20),Q465),'[1]Data Pule'!$C:$E,3,FALSE),0)*S465</f>
        <v>202.86</v>
      </c>
    </row>
    <row r="466" spans="3:20" x14ac:dyDescent="0.35">
      <c r="C466" s="1" t="s">
        <v>226</v>
      </c>
      <c r="D466">
        <v>36</v>
      </c>
      <c r="E466" s="3" t="str">
        <f>MID(C466,5,1)</f>
        <v>U</v>
      </c>
      <c r="F466" s="3"/>
      <c r="G466" s="3"/>
      <c r="H466" s="3"/>
      <c r="I466" s="3"/>
      <c r="J466" s="3"/>
      <c r="K466" s="3"/>
      <c r="L466" s="1" t="str">
        <f>MID(C466,3,17)</f>
        <v>ACUP-115F51X-B9C4</v>
      </c>
      <c r="M466" s="1" t="str">
        <f>VLOOKUP(L466,'[1]Plate Infor'!$B:$C,2,FALSE)</f>
        <v>W-UNPL-CG82PXX-L870-02-7S00</v>
      </c>
      <c r="N466" s="1" t="str">
        <f>VLOOKUP(MID(M466,8,4),'[1]Tipe Plate'!$C:$D,2,FALSE)</f>
        <v>Grid Casting</v>
      </c>
      <c r="O466" s="4">
        <f>VLOOKUP(L466,'[1]Plate Infor'!$B:$D,3,FALSE)*D466</f>
        <v>972</v>
      </c>
      <c r="P466" s="4">
        <f>IFERROR(VLOOKUP(IF(MID(M466,3,1)="F","W-UNPL-"&amp;RIGHT(M466,20),M466),'[1]Data Pule'!$C:$E,3,FALSE),0)*O466</f>
        <v>124.90199999999997</v>
      </c>
      <c r="Q466" s="1" t="str">
        <f>VLOOKUP(L466,'[1]Plate Infor'!$B:$E,4,FALSE)</f>
        <v>W-UNPL-CG87NXX-T3L0-02-7S00</v>
      </c>
      <c r="R466" s="1" t="str">
        <f>VLOOKUP(MID(Q466,8,4),'[1]Tipe Plate'!$C:$D,2,FALSE)</f>
        <v>Grid Casting</v>
      </c>
      <c r="S466" s="4">
        <f>VLOOKUP(L466,'[1]Plate Infor'!$B:$F,5,FALSE)*D466</f>
        <v>1080</v>
      </c>
      <c r="T466" s="4">
        <f>IFERROR(VLOOKUP(IF(MID(Q466,3,1)="F","W-UNPL-"&amp;RIGHT(Q466,20),Q466),'[1]Data Pule'!$C:$E,3,FALSE),0)*S466</f>
        <v>124.2</v>
      </c>
    </row>
    <row r="467" spans="3:20" x14ac:dyDescent="0.35">
      <c r="C467" s="1" t="s">
        <v>356</v>
      </c>
      <c r="D467">
        <v>84</v>
      </c>
      <c r="E467" s="3" t="str">
        <f>MID(C467,5,1)</f>
        <v>U</v>
      </c>
      <c r="F467" s="3"/>
      <c r="G467" s="3"/>
      <c r="H467" s="3"/>
      <c r="I467" s="3"/>
      <c r="J467" s="3"/>
      <c r="K467" s="3"/>
      <c r="L467" s="1" t="str">
        <f>MID(C467,3,17)</f>
        <v>ACUP-95D31RX-B3C5</v>
      </c>
      <c r="M467" s="1" t="str">
        <f>VLOOKUP(L467,'[1]Plate Infor'!$B:$C,2,FALSE)</f>
        <v>W-UNPL-CG82PXX-L870-02-7S00</v>
      </c>
      <c r="N467" s="1" t="str">
        <f>VLOOKUP(MID(M467,8,4),'[1]Tipe Plate'!$C:$D,2,FALSE)</f>
        <v>Grid Casting</v>
      </c>
      <c r="O467" s="4">
        <f>VLOOKUP(L467,'[1]Plate Infor'!$B:$D,3,FALSE)*D467</f>
        <v>1512</v>
      </c>
      <c r="P467" s="4">
        <f>IFERROR(VLOOKUP(IF(MID(M467,3,1)="F","W-UNPL-"&amp;RIGHT(M467,20),M467),'[1]Data Pule'!$C:$E,3,FALSE),0)*O467</f>
        <v>194.29199999999997</v>
      </c>
      <c r="Q467" s="1" t="str">
        <f>VLOOKUP(L467,'[1]Plate Infor'!$B:$E,4,FALSE)</f>
        <v>W-UNPL-CG87NXX-T3L0-02-7S00</v>
      </c>
      <c r="R467" s="1" t="str">
        <f>VLOOKUP(MID(Q467,8,4),'[1]Tipe Plate'!$C:$D,2,FALSE)</f>
        <v>Grid Casting</v>
      </c>
      <c r="S467" s="4">
        <f>VLOOKUP(L467,'[1]Plate Infor'!$B:$F,5,FALSE)*D467</f>
        <v>1764</v>
      </c>
      <c r="T467" s="4">
        <f>IFERROR(VLOOKUP(IF(MID(Q467,3,1)="F","W-UNPL-"&amp;RIGHT(Q467,20),Q467),'[1]Data Pule'!$C:$E,3,FALSE),0)*S467</f>
        <v>202.86</v>
      </c>
    </row>
    <row r="468" spans="3:20" x14ac:dyDescent="0.35">
      <c r="C468" s="1" t="s">
        <v>357</v>
      </c>
      <c r="D468">
        <v>84</v>
      </c>
      <c r="E468" s="3" t="str">
        <f>MID(C468,5,1)</f>
        <v>U</v>
      </c>
      <c r="F468" s="3"/>
      <c r="G468" s="3"/>
      <c r="H468" s="3"/>
      <c r="I468" s="3"/>
      <c r="J468" s="3"/>
      <c r="K468" s="3"/>
      <c r="L468" s="1" t="str">
        <f>MID(C468,3,17)</f>
        <v>ACUP-95D31LX-B3C5</v>
      </c>
      <c r="M468" s="1" t="str">
        <f>VLOOKUP(L468,'[1]Plate Infor'!$B:$C,2,FALSE)</f>
        <v>W-UNPL-CG82PXX-L870-02-7S00</v>
      </c>
      <c r="N468" s="1" t="str">
        <f>VLOOKUP(MID(M468,8,4),'[1]Tipe Plate'!$C:$D,2,FALSE)</f>
        <v>Grid Casting</v>
      </c>
      <c r="O468" s="4">
        <f>VLOOKUP(L468,'[1]Plate Infor'!$B:$D,3,FALSE)*D468</f>
        <v>1512</v>
      </c>
      <c r="P468" s="4">
        <f>IFERROR(VLOOKUP(IF(MID(M468,3,1)="F","W-UNPL-"&amp;RIGHT(M468,20),M468),'[1]Data Pule'!$C:$E,3,FALSE),0)*O468</f>
        <v>194.29199999999997</v>
      </c>
      <c r="Q468" s="1" t="str">
        <f>VLOOKUP(L468,'[1]Plate Infor'!$B:$E,4,FALSE)</f>
        <v>W-UNPL-CG87NXX-T3L0-02-7S00</v>
      </c>
      <c r="R468" s="1" t="str">
        <f>VLOOKUP(MID(Q468,8,4),'[1]Tipe Plate'!$C:$D,2,FALSE)</f>
        <v>Grid Casting</v>
      </c>
      <c r="S468" s="4">
        <f>VLOOKUP(L468,'[1]Plate Infor'!$B:$F,5,FALSE)*D468</f>
        <v>1764</v>
      </c>
      <c r="T468" s="4">
        <f>IFERROR(VLOOKUP(IF(MID(Q468,3,1)="F","W-UNPL-"&amp;RIGHT(Q468,20),Q468),'[1]Data Pule'!$C:$E,3,FALSE),0)*S468</f>
        <v>202.86</v>
      </c>
    </row>
    <row r="469" spans="3:20" x14ac:dyDescent="0.35">
      <c r="C469" s="1" t="s">
        <v>358</v>
      </c>
      <c r="D469">
        <v>135</v>
      </c>
      <c r="E469" s="3" t="str">
        <f>MID(C469,5,1)</f>
        <v>U</v>
      </c>
      <c r="F469" s="3"/>
      <c r="G469" s="3"/>
      <c r="H469" s="3"/>
      <c r="I469" s="3"/>
      <c r="J469" s="3"/>
      <c r="K469" s="3"/>
      <c r="L469" s="1" t="str">
        <f>MID(C469,3,17)</f>
        <v>AVUP-36B20LX-A7A5</v>
      </c>
      <c r="M469" s="1" t="str">
        <f>VLOOKUP(L469,'[1]Plate Infor'!$B:$C,2,FALSE)</f>
        <v>W-UNPL-CM84APX-L870-02-7S00</v>
      </c>
      <c r="N469" s="1" t="str">
        <f>VLOOKUP(MID(M469,8,4),'[1]Tipe Plate'!$C:$D,2,FALSE)</f>
        <v>Grid Casting</v>
      </c>
      <c r="O469" s="4">
        <f>VLOOKUP(L469,'[1]Plate Infor'!$B:$D,3,FALSE)*D469</f>
        <v>1620</v>
      </c>
      <c r="P469" s="4">
        <f>IFERROR(VLOOKUP(IF(MID(M469,3,1)="F","W-UNPL-"&amp;RIGHT(M469,20),M469),'[1]Data Pule'!$C:$E,3,FALSE),0)*O469</f>
        <v>145.31399999999999</v>
      </c>
      <c r="Q469" s="1" t="str">
        <f>VLOOKUP(L469,'[1]Plate Infor'!$B:$E,4,FALSE)</f>
        <v>W-UNPL-WM85NXX-T3AF-00-7S00</v>
      </c>
      <c r="R469" s="1" t="str">
        <f>VLOOKUP(MID(Q469,8,4),'[1]Tipe Plate'!$C:$D,2,FALSE)</f>
        <v>Grid Punching</v>
      </c>
      <c r="S469" s="4">
        <f>VLOOKUP(L469,'[1]Plate Infor'!$B:$F,5,FALSE)*D469</f>
        <v>1215</v>
      </c>
      <c r="T469" s="4">
        <f>IFERROR(VLOOKUP(IF(MID(Q469,3,1)="F","W-UNPL-"&amp;RIGHT(Q469,20),Q469),'[1]Data Pule'!$C:$E,3,FALSE),0)*S469</f>
        <v>129.15450000000001</v>
      </c>
    </row>
    <row r="470" spans="3:20" x14ac:dyDescent="0.35">
      <c r="C470" s="1" t="s">
        <v>359</v>
      </c>
      <c r="D470">
        <v>108</v>
      </c>
      <c r="E470" s="3" t="str">
        <f>MID(C470,5,1)</f>
        <v>U</v>
      </c>
      <c r="F470" s="3"/>
      <c r="G470" s="3"/>
      <c r="H470" s="3"/>
      <c r="I470" s="3"/>
      <c r="J470" s="3"/>
      <c r="K470" s="3"/>
      <c r="L470" s="1" t="str">
        <f>MID(C470,3,17)</f>
        <v>AVUP-46B24RS-B0A4</v>
      </c>
      <c r="M470" s="1" t="str">
        <f>VLOOKUP(L470,'[1]Plate Infor'!$B:$C,2,FALSE)</f>
        <v>W-UNPL-CM84APX-L870-02-7S00</v>
      </c>
      <c r="N470" s="1" t="str">
        <f>VLOOKUP(MID(M470,8,4),'[1]Tipe Plate'!$C:$D,2,FALSE)</f>
        <v>Grid Casting</v>
      </c>
      <c r="O470" s="4">
        <f>VLOOKUP(L470,'[1]Plate Infor'!$B:$D,3,FALSE)*D470</f>
        <v>1620</v>
      </c>
      <c r="P470" s="4">
        <f>IFERROR(VLOOKUP(IF(MID(M470,3,1)="F","W-UNPL-"&amp;RIGHT(M470,20),M470),'[1]Data Pule'!$C:$E,3,FALSE),0)*O470</f>
        <v>145.31399999999999</v>
      </c>
      <c r="Q470" s="1" t="str">
        <f>VLOOKUP(L470,'[1]Plate Infor'!$B:$E,4,FALSE)</f>
        <v>W-UNPL-WM85NXX-T3AF-00-7S00</v>
      </c>
      <c r="R470" s="1" t="str">
        <f>VLOOKUP(MID(Q470,8,4),'[1]Tipe Plate'!$C:$D,2,FALSE)</f>
        <v>Grid Punching</v>
      </c>
      <c r="S470" s="4">
        <f>VLOOKUP(L470,'[1]Plate Infor'!$B:$F,5,FALSE)*D470</f>
        <v>1620</v>
      </c>
      <c r="T470" s="4">
        <f>IFERROR(VLOOKUP(IF(MID(Q470,3,1)="F","W-UNPL-"&amp;RIGHT(Q470,20),Q470),'[1]Data Pule'!$C:$E,3,FALSE),0)*S470</f>
        <v>172.20600000000002</v>
      </c>
    </row>
    <row r="471" spans="3:20" x14ac:dyDescent="0.35">
      <c r="C471" s="1" t="s">
        <v>362</v>
      </c>
      <c r="D471">
        <v>108</v>
      </c>
      <c r="E471" s="3" t="str">
        <f>MID(C471,5,1)</f>
        <v>U</v>
      </c>
      <c r="F471" s="3"/>
      <c r="G471" s="3"/>
      <c r="H471" s="3"/>
      <c r="I471" s="3"/>
      <c r="J471" s="3"/>
      <c r="K471" s="3"/>
      <c r="L471" s="1" t="str">
        <f>MID(C471,3,17)</f>
        <v>AVUP-46B24RX-B0A4</v>
      </c>
      <c r="M471" s="1" t="str">
        <f>VLOOKUP(L471,'[1]Plate Infor'!$B:$C,2,FALSE)</f>
        <v>W-UNPL-CM84APX-L870-02-7S00</v>
      </c>
      <c r="N471" s="1" t="str">
        <f>VLOOKUP(MID(M471,8,4),'[1]Tipe Plate'!$C:$D,2,FALSE)</f>
        <v>Grid Casting</v>
      </c>
      <c r="O471" s="4">
        <f>VLOOKUP(L471,'[1]Plate Infor'!$B:$D,3,FALSE)*D471</f>
        <v>1620</v>
      </c>
      <c r="P471" s="4">
        <f>IFERROR(VLOOKUP(IF(MID(M471,3,1)="F","W-UNPL-"&amp;RIGHT(M471,20),M471),'[1]Data Pule'!$C:$E,3,FALSE),0)*O471</f>
        <v>145.31399999999999</v>
      </c>
      <c r="Q471" s="1" t="str">
        <f>VLOOKUP(L471,'[1]Plate Infor'!$B:$E,4,FALSE)</f>
        <v>W-UNPL-WM85NXX-T3AF-00-7S00</v>
      </c>
      <c r="R471" s="1" t="str">
        <f>VLOOKUP(MID(Q471,8,4),'[1]Tipe Plate'!$C:$D,2,FALSE)</f>
        <v>Grid Punching</v>
      </c>
      <c r="S471" s="4">
        <f>VLOOKUP(L471,'[1]Plate Infor'!$B:$F,5,FALSE)*D471</f>
        <v>1620</v>
      </c>
      <c r="T471" s="4">
        <f>IFERROR(VLOOKUP(IF(MID(Q471,3,1)="F","W-UNPL-"&amp;RIGHT(Q471,20),Q471),'[1]Data Pule'!$C:$E,3,FALSE),0)*S471</f>
        <v>172.20600000000002</v>
      </c>
    </row>
    <row r="472" spans="3:20" x14ac:dyDescent="0.35">
      <c r="C472" s="1" t="s">
        <v>363</v>
      </c>
      <c r="D472">
        <v>108</v>
      </c>
      <c r="E472" s="3" t="str">
        <f>MID(C472,5,1)</f>
        <v>U</v>
      </c>
      <c r="F472" s="3"/>
      <c r="G472" s="3"/>
      <c r="H472" s="3"/>
      <c r="I472" s="3"/>
      <c r="J472" s="3"/>
      <c r="K472" s="3"/>
      <c r="L472" s="1" t="str">
        <f>MID(C472,3,17)</f>
        <v>AVUP-46B24LX-B0A4</v>
      </c>
      <c r="M472" s="1" t="str">
        <f>VLOOKUP(L472,'[1]Plate Infor'!$B:$C,2,FALSE)</f>
        <v>W-UNPL-CM84APX-L870-02-7S00</v>
      </c>
      <c r="N472" s="1" t="str">
        <f>VLOOKUP(MID(M472,8,4),'[1]Tipe Plate'!$C:$D,2,FALSE)</f>
        <v>Grid Casting</v>
      </c>
      <c r="O472" s="4">
        <f>VLOOKUP(L472,'[1]Plate Infor'!$B:$D,3,FALSE)*D472</f>
        <v>1620</v>
      </c>
      <c r="P472" s="4">
        <f>IFERROR(VLOOKUP(IF(MID(M472,3,1)="F","W-UNPL-"&amp;RIGHT(M472,20),M472),'[1]Data Pule'!$C:$E,3,FALSE),0)*O472</f>
        <v>145.31399999999999</v>
      </c>
      <c r="Q472" s="1" t="str">
        <f>VLOOKUP(L472,'[1]Plate Infor'!$B:$E,4,FALSE)</f>
        <v>W-UNPL-WM85NXX-T3AF-00-7S00</v>
      </c>
      <c r="R472" s="1" t="str">
        <f>VLOOKUP(MID(Q472,8,4),'[1]Tipe Plate'!$C:$D,2,FALSE)</f>
        <v>Grid Punching</v>
      </c>
      <c r="S472" s="4">
        <f>VLOOKUP(L472,'[1]Plate Infor'!$B:$F,5,FALSE)*D472</f>
        <v>1620</v>
      </c>
      <c r="T472" s="4">
        <f>IFERROR(VLOOKUP(IF(MID(Q472,3,1)="F","W-UNPL-"&amp;RIGHT(Q472,20),Q472),'[1]Data Pule'!$C:$E,3,FALSE),0)*S472</f>
        <v>172.20600000000002</v>
      </c>
    </row>
    <row r="473" spans="3:20" x14ac:dyDescent="0.35">
      <c r="C473" s="1" t="s">
        <v>364</v>
      </c>
      <c r="D473">
        <v>96</v>
      </c>
      <c r="E473" s="3" t="str">
        <f>MID(C473,5,1)</f>
        <v>U</v>
      </c>
      <c r="F473" s="3"/>
      <c r="G473" s="3"/>
      <c r="H473" s="3"/>
      <c r="I473" s="3"/>
      <c r="J473" s="3"/>
      <c r="K473" s="3"/>
      <c r="L473" s="1" t="str">
        <f>MID(C473,3,17)</f>
        <v>AVUP-65D26LX-B0A4</v>
      </c>
      <c r="M473" s="1" t="str">
        <f>VLOOKUP(L473,'[1]Plate Infor'!$B:$C,2,FALSE)</f>
        <v>W-UNPL-CG85EPX-L870-02-7C00</v>
      </c>
      <c r="N473" s="1" t="str">
        <f>VLOOKUP(MID(M473,8,4),'[1]Tipe Plate'!$C:$D,2,FALSE)</f>
        <v>Grid Casting</v>
      </c>
      <c r="O473" s="4">
        <f>VLOOKUP(L473,'[1]Plate Infor'!$B:$D,3,FALSE)*D473</f>
        <v>1440</v>
      </c>
      <c r="P473" s="4">
        <f>IFERROR(VLOOKUP(IF(MID(M473,3,1)="F","W-UNPL-"&amp;RIGHT(M473,20),M473),'[1]Data Pule'!$C:$E,3,FALSE),0)*O473</f>
        <v>175.96800000000002</v>
      </c>
      <c r="Q473" s="1" t="str">
        <f>VLOOKUP(L473,'[1]Plate Infor'!$B:$E,4,FALSE)</f>
        <v>W-UNPL-WG87NXX-T3AF-00-7C00</v>
      </c>
      <c r="R473" s="1" t="str">
        <f>VLOOKUP(MID(Q473,8,4),'[1]Tipe Plate'!$C:$D,2,FALSE)</f>
        <v>Grid Punching</v>
      </c>
      <c r="S473" s="4">
        <f>VLOOKUP(L473,'[1]Plate Infor'!$B:$F,5,FALSE)*D473</f>
        <v>1440</v>
      </c>
      <c r="T473" s="4">
        <f>IFERROR(VLOOKUP(IF(MID(Q473,3,1)="F","W-UNPL-"&amp;RIGHT(Q473,20),Q473),'[1]Data Pule'!$C:$E,3,FALSE),0)*S473</f>
        <v>188.20799999999997</v>
      </c>
    </row>
    <row r="474" spans="3:20" x14ac:dyDescent="0.35">
      <c r="C474" s="1" t="s">
        <v>365</v>
      </c>
      <c r="D474">
        <v>84</v>
      </c>
      <c r="E474" s="3" t="str">
        <f>MID(C474,5,1)</f>
        <v>U</v>
      </c>
      <c r="F474" s="3"/>
      <c r="G474" s="3"/>
      <c r="H474" s="3"/>
      <c r="I474" s="3"/>
      <c r="J474" s="3"/>
      <c r="K474" s="3"/>
      <c r="L474" s="1" t="str">
        <f>MID(C474,3,17)</f>
        <v>AMUP-95D31RX-B2P5</v>
      </c>
      <c r="M474" s="1" t="str">
        <f>VLOOKUP(L474,'[1]Plate Infor'!$B:$C,2,FALSE)</f>
        <v>W-UNPL-WG83PXX-L65F-00-7C00</v>
      </c>
      <c r="N474" s="1" t="str">
        <f>VLOOKUP(MID(M474,8,4),'[1]Tipe Plate'!$C:$D,2,FALSE)</f>
        <v>Grid Punching</v>
      </c>
      <c r="O474" s="4">
        <f>VLOOKUP(L474,'[1]Plate Infor'!$B:$D,3,FALSE)*D474</f>
        <v>1512</v>
      </c>
      <c r="P474" s="4">
        <f>IFERROR(VLOOKUP(IF(MID(M474,3,1)="F","W-UNPL-"&amp;RIGHT(M474,20),M474),'[1]Data Pule'!$C:$E,3,FALSE),0)*O474</f>
        <v>255.98159999999996</v>
      </c>
      <c r="Q474" s="1" t="str">
        <f>VLOOKUP(L474,'[1]Plate Infor'!$B:$E,4,FALSE)</f>
        <v>W-UNPL-WG87NXX-T3AF-00-7C00</v>
      </c>
      <c r="R474" s="1" t="str">
        <f>VLOOKUP(MID(Q474,8,4),'[1]Tipe Plate'!$C:$D,2,FALSE)</f>
        <v>Grid Punching</v>
      </c>
      <c r="S474" s="4">
        <f>VLOOKUP(L474,'[1]Plate Infor'!$B:$F,5,FALSE)*D474</f>
        <v>1512</v>
      </c>
      <c r="T474" s="4">
        <f>IFERROR(VLOOKUP(IF(MID(Q474,3,1)="F","W-UNPL-"&amp;RIGHT(Q474,20),Q474),'[1]Data Pule'!$C:$E,3,FALSE),0)*S474</f>
        <v>197.61839999999998</v>
      </c>
    </row>
    <row r="475" spans="3:20" x14ac:dyDescent="0.35">
      <c r="C475" s="1" t="s">
        <v>366</v>
      </c>
      <c r="D475">
        <v>84</v>
      </c>
      <c r="E475" s="3" t="str">
        <f>MID(C475,5,1)</f>
        <v>U</v>
      </c>
      <c r="F475" s="3"/>
      <c r="G475" s="3"/>
      <c r="H475" s="3"/>
      <c r="I475" s="3"/>
      <c r="J475" s="3"/>
      <c r="K475" s="3"/>
      <c r="L475" s="1" t="str">
        <f>MID(C475,3,17)</f>
        <v>AMUP-95D31LX-B2P5</v>
      </c>
      <c r="M475" s="1" t="str">
        <f>VLOOKUP(L475,'[1]Plate Infor'!$B:$C,2,FALSE)</f>
        <v>W-UNPL-WG83PXX-L65F-00-7C00</v>
      </c>
      <c r="N475" s="1" t="str">
        <f>VLOOKUP(MID(M475,8,4),'[1]Tipe Plate'!$C:$D,2,FALSE)</f>
        <v>Grid Punching</v>
      </c>
      <c r="O475" s="4">
        <f>VLOOKUP(L475,'[1]Plate Infor'!$B:$D,3,FALSE)*D475</f>
        <v>1512</v>
      </c>
      <c r="P475" s="4">
        <f>IFERROR(VLOOKUP(IF(MID(M475,3,1)="F","W-UNPL-"&amp;RIGHT(M475,20),M475),'[1]Data Pule'!$C:$E,3,FALSE),0)*O475</f>
        <v>255.98159999999996</v>
      </c>
      <c r="Q475" s="1" t="str">
        <f>VLOOKUP(L475,'[1]Plate Infor'!$B:$E,4,FALSE)</f>
        <v>W-UNPL-WG87NXX-T3AF-00-7C00</v>
      </c>
      <c r="R475" s="1" t="str">
        <f>VLOOKUP(MID(Q475,8,4),'[1]Tipe Plate'!$C:$D,2,FALSE)</f>
        <v>Grid Punching</v>
      </c>
      <c r="S475" s="4">
        <f>VLOOKUP(L475,'[1]Plate Infor'!$B:$F,5,FALSE)*D475</f>
        <v>1512</v>
      </c>
      <c r="T475" s="4">
        <f>IFERROR(VLOOKUP(IF(MID(Q475,3,1)="F","W-UNPL-"&amp;RIGHT(Q475,20),Q475),'[1]Data Pule'!$C:$E,3,FALSE),0)*S475</f>
        <v>197.61839999999998</v>
      </c>
    </row>
    <row r="476" spans="3:20" x14ac:dyDescent="0.35">
      <c r="C476" s="1" t="s">
        <v>212</v>
      </c>
      <c r="D476">
        <v>135</v>
      </c>
      <c r="E476" s="3" t="str">
        <f>MID(C476,5,1)</f>
        <v>U</v>
      </c>
      <c r="F476" s="3"/>
      <c r="G476" s="3"/>
      <c r="H476" s="3"/>
      <c r="I476" s="3"/>
      <c r="J476" s="3"/>
      <c r="K476" s="3"/>
      <c r="L476" s="1" t="str">
        <f>MID(C476,3,17)</f>
        <v>AVUP-36B20LX-A7A5</v>
      </c>
      <c r="M476" s="1" t="str">
        <f>VLOOKUP(L476,'[1]Plate Infor'!$B:$C,2,FALSE)</f>
        <v>W-UNPL-CM84APX-L870-02-7S00</v>
      </c>
      <c r="N476" s="1" t="str">
        <f>VLOOKUP(MID(M476,8,4),'[1]Tipe Plate'!$C:$D,2,FALSE)</f>
        <v>Grid Casting</v>
      </c>
      <c r="O476" s="4">
        <f>VLOOKUP(L476,'[1]Plate Infor'!$B:$D,3,FALSE)*D476</f>
        <v>1620</v>
      </c>
      <c r="P476" s="4">
        <f>IFERROR(VLOOKUP(IF(MID(M476,3,1)="F","W-UNPL-"&amp;RIGHT(M476,20),M476),'[1]Data Pule'!$C:$E,3,FALSE),0)*O476</f>
        <v>145.31399999999999</v>
      </c>
      <c r="Q476" s="1" t="str">
        <f>VLOOKUP(L476,'[1]Plate Infor'!$B:$E,4,FALSE)</f>
        <v>W-UNPL-WM85NXX-T3AF-00-7S00</v>
      </c>
      <c r="R476" s="1" t="str">
        <f>VLOOKUP(MID(Q476,8,4),'[1]Tipe Plate'!$C:$D,2,FALSE)</f>
        <v>Grid Punching</v>
      </c>
      <c r="S476" s="4">
        <f>VLOOKUP(L476,'[1]Plate Infor'!$B:$F,5,FALSE)*D476</f>
        <v>1215</v>
      </c>
      <c r="T476" s="4">
        <f>IFERROR(VLOOKUP(IF(MID(Q476,3,1)="F","W-UNPL-"&amp;RIGHT(Q476,20),Q476),'[1]Data Pule'!$C:$E,3,FALSE),0)*S476</f>
        <v>129.15450000000001</v>
      </c>
    </row>
    <row r="477" spans="3:20" x14ac:dyDescent="0.35">
      <c r="C477" s="1" t="s">
        <v>360</v>
      </c>
      <c r="D477">
        <v>108</v>
      </c>
      <c r="E477" s="3" t="str">
        <f>MID(C477,5,1)</f>
        <v>U</v>
      </c>
      <c r="F477" s="3"/>
      <c r="G477" s="3"/>
      <c r="H477" s="3"/>
      <c r="I477" s="3"/>
      <c r="J477" s="3"/>
      <c r="K477" s="3"/>
      <c r="L477" s="1" t="str">
        <f>MID(C477,3,17)</f>
        <v>AVUP-46B24RS-B0A4</v>
      </c>
      <c r="M477" s="1" t="str">
        <f>VLOOKUP(L477,'[1]Plate Infor'!$B:$C,2,FALSE)</f>
        <v>W-UNPL-CM84APX-L870-02-7S00</v>
      </c>
      <c r="N477" s="1" t="str">
        <f>VLOOKUP(MID(M477,8,4),'[1]Tipe Plate'!$C:$D,2,FALSE)</f>
        <v>Grid Casting</v>
      </c>
      <c r="O477" s="4">
        <f>VLOOKUP(L477,'[1]Plate Infor'!$B:$D,3,FALSE)*D477</f>
        <v>1620</v>
      </c>
      <c r="P477" s="4">
        <f>IFERROR(VLOOKUP(IF(MID(M477,3,1)="F","W-UNPL-"&amp;RIGHT(M477,20),M477),'[1]Data Pule'!$C:$E,3,FALSE),0)*O477</f>
        <v>145.31399999999999</v>
      </c>
      <c r="Q477" s="1" t="str">
        <f>VLOOKUP(L477,'[1]Plate Infor'!$B:$E,4,FALSE)</f>
        <v>W-UNPL-WM85NXX-T3AF-00-7S00</v>
      </c>
      <c r="R477" s="1" t="str">
        <f>VLOOKUP(MID(Q477,8,4),'[1]Tipe Plate'!$C:$D,2,FALSE)</f>
        <v>Grid Punching</v>
      </c>
      <c r="S477" s="4">
        <f>VLOOKUP(L477,'[1]Plate Infor'!$B:$F,5,FALSE)*D477</f>
        <v>1620</v>
      </c>
      <c r="T477" s="4">
        <f>IFERROR(VLOOKUP(IF(MID(Q477,3,1)="F","W-UNPL-"&amp;RIGHT(Q477,20),Q477),'[1]Data Pule'!$C:$E,3,FALSE),0)*S477</f>
        <v>172.20600000000002</v>
      </c>
    </row>
    <row r="478" spans="3:20" x14ac:dyDescent="0.35">
      <c r="C478" s="1" t="s">
        <v>367</v>
      </c>
      <c r="D478">
        <v>108</v>
      </c>
      <c r="E478" s="3" t="str">
        <f>MID(C478,5,1)</f>
        <v>U</v>
      </c>
      <c r="F478" s="3"/>
      <c r="G478" s="3"/>
      <c r="H478" s="3"/>
      <c r="I478" s="3"/>
      <c r="J478" s="3"/>
      <c r="K478" s="3"/>
      <c r="L478" s="1" t="str">
        <f>MID(C478,3,17)</f>
        <v>AVUP-46B24RX-B0A4</v>
      </c>
      <c r="M478" s="1" t="str">
        <f>VLOOKUP(L478,'[1]Plate Infor'!$B:$C,2,FALSE)</f>
        <v>W-UNPL-CM84APX-L870-02-7S00</v>
      </c>
      <c r="N478" s="1" t="str">
        <f>VLOOKUP(MID(M478,8,4),'[1]Tipe Plate'!$C:$D,2,FALSE)</f>
        <v>Grid Casting</v>
      </c>
      <c r="O478" s="4">
        <f>VLOOKUP(L478,'[1]Plate Infor'!$B:$D,3,FALSE)*D478</f>
        <v>1620</v>
      </c>
      <c r="P478" s="4">
        <f>IFERROR(VLOOKUP(IF(MID(M478,3,1)="F","W-UNPL-"&amp;RIGHT(M478,20),M478),'[1]Data Pule'!$C:$E,3,FALSE),0)*O478</f>
        <v>145.31399999999999</v>
      </c>
      <c r="Q478" s="1" t="str">
        <f>VLOOKUP(L478,'[1]Plate Infor'!$B:$E,4,FALSE)</f>
        <v>W-UNPL-WM85NXX-T3AF-00-7S00</v>
      </c>
      <c r="R478" s="1" t="str">
        <f>VLOOKUP(MID(Q478,8,4),'[1]Tipe Plate'!$C:$D,2,FALSE)</f>
        <v>Grid Punching</v>
      </c>
      <c r="S478" s="4">
        <f>VLOOKUP(L478,'[1]Plate Infor'!$B:$F,5,FALSE)*D478</f>
        <v>1620</v>
      </c>
      <c r="T478" s="4">
        <f>IFERROR(VLOOKUP(IF(MID(Q478,3,1)="F","W-UNPL-"&amp;RIGHT(Q478,20),Q478),'[1]Data Pule'!$C:$E,3,FALSE),0)*S478</f>
        <v>172.20600000000002</v>
      </c>
    </row>
    <row r="479" spans="3:20" x14ac:dyDescent="0.35">
      <c r="C479" s="1" t="s">
        <v>368</v>
      </c>
      <c r="D479">
        <v>108</v>
      </c>
      <c r="E479" s="3" t="str">
        <f>MID(C479,5,1)</f>
        <v>U</v>
      </c>
      <c r="F479" s="3"/>
      <c r="G479" s="3"/>
      <c r="H479" s="3"/>
      <c r="I479" s="3"/>
      <c r="J479" s="3"/>
      <c r="K479" s="3"/>
      <c r="L479" s="1" t="str">
        <f>MID(C479,3,17)</f>
        <v>AVUP-46B24LX-B0A4</v>
      </c>
      <c r="M479" s="1" t="str">
        <f>VLOOKUP(L479,'[1]Plate Infor'!$B:$C,2,FALSE)</f>
        <v>W-UNPL-CM84APX-L870-02-7S00</v>
      </c>
      <c r="N479" s="1" t="str">
        <f>VLOOKUP(MID(M479,8,4),'[1]Tipe Plate'!$C:$D,2,FALSE)</f>
        <v>Grid Casting</v>
      </c>
      <c r="O479" s="4">
        <f>VLOOKUP(L479,'[1]Plate Infor'!$B:$D,3,FALSE)*D479</f>
        <v>1620</v>
      </c>
      <c r="P479" s="4">
        <f>IFERROR(VLOOKUP(IF(MID(M479,3,1)="F","W-UNPL-"&amp;RIGHT(M479,20),M479),'[1]Data Pule'!$C:$E,3,FALSE),0)*O479</f>
        <v>145.31399999999999</v>
      </c>
      <c r="Q479" s="1" t="str">
        <f>VLOOKUP(L479,'[1]Plate Infor'!$B:$E,4,FALSE)</f>
        <v>W-UNPL-WM85NXX-T3AF-00-7S00</v>
      </c>
      <c r="R479" s="1" t="str">
        <f>VLOOKUP(MID(Q479,8,4),'[1]Tipe Plate'!$C:$D,2,FALSE)</f>
        <v>Grid Punching</v>
      </c>
      <c r="S479" s="4">
        <f>VLOOKUP(L479,'[1]Plate Infor'!$B:$F,5,FALSE)*D479</f>
        <v>1620</v>
      </c>
      <c r="T479" s="4">
        <f>IFERROR(VLOOKUP(IF(MID(Q479,3,1)="F","W-UNPL-"&amp;RIGHT(Q479,20),Q479),'[1]Data Pule'!$C:$E,3,FALSE),0)*S479</f>
        <v>172.20600000000002</v>
      </c>
    </row>
    <row r="480" spans="3:20" x14ac:dyDescent="0.35">
      <c r="C480" s="1" t="s">
        <v>215</v>
      </c>
      <c r="D480">
        <v>96</v>
      </c>
      <c r="E480" s="3" t="str">
        <f>MID(C480,5,1)</f>
        <v>U</v>
      </c>
      <c r="F480" s="3"/>
      <c r="G480" s="3"/>
      <c r="H480" s="3"/>
      <c r="I480" s="3"/>
      <c r="J480" s="3"/>
      <c r="K480" s="3"/>
      <c r="L480" s="1" t="str">
        <f>MID(C480,3,17)</f>
        <v>AVUP-65D26RX-B0A4</v>
      </c>
      <c r="M480" s="1" t="str">
        <f>VLOOKUP(L480,'[1]Plate Infor'!$B:$C,2,FALSE)</f>
        <v>W-UNPL-CG85EPX-L870-02-7C00</v>
      </c>
      <c r="N480" s="1" t="str">
        <f>VLOOKUP(MID(M480,8,4),'[1]Tipe Plate'!$C:$D,2,FALSE)</f>
        <v>Grid Casting</v>
      </c>
      <c r="O480" s="4">
        <f>VLOOKUP(L480,'[1]Plate Infor'!$B:$D,3,FALSE)*D480</f>
        <v>1440</v>
      </c>
      <c r="P480" s="4">
        <f>IFERROR(VLOOKUP(IF(MID(M480,3,1)="F","W-UNPL-"&amp;RIGHT(M480,20),M480),'[1]Data Pule'!$C:$E,3,FALSE),0)*O480</f>
        <v>175.96800000000002</v>
      </c>
      <c r="Q480" s="1" t="str">
        <f>VLOOKUP(L480,'[1]Plate Infor'!$B:$E,4,FALSE)</f>
        <v>W-UNPL-WG87NXX-T3AF-00-7C00</v>
      </c>
      <c r="R480" s="1" t="str">
        <f>VLOOKUP(MID(Q480,8,4),'[1]Tipe Plate'!$C:$D,2,FALSE)</f>
        <v>Grid Punching</v>
      </c>
      <c r="S480" s="4">
        <f>VLOOKUP(L480,'[1]Plate Infor'!$B:$F,5,FALSE)*D480</f>
        <v>1440</v>
      </c>
      <c r="T480" s="4">
        <f>IFERROR(VLOOKUP(IF(MID(Q480,3,1)="F","W-UNPL-"&amp;RIGHT(Q480,20),Q480),'[1]Data Pule'!$C:$E,3,FALSE),0)*S480</f>
        <v>188.20799999999997</v>
      </c>
    </row>
    <row r="481" spans="3:20" x14ac:dyDescent="0.35">
      <c r="C481" s="1" t="s">
        <v>369</v>
      </c>
      <c r="D481">
        <v>96</v>
      </c>
      <c r="E481" s="3" t="str">
        <f>MID(C481,5,1)</f>
        <v>U</v>
      </c>
      <c r="F481" s="3"/>
      <c r="G481" s="3"/>
      <c r="H481" s="3"/>
      <c r="I481" s="3"/>
      <c r="J481" s="3"/>
      <c r="K481" s="3"/>
      <c r="L481" s="1" t="str">
        <f>MID(C481,3,17)</f>
        <v>AVUP-65D26LX-B0A4</v>
      </c>
      <c r="M481" s="1" t="str">
        <f>VLOOKUP(L481,'[1]Plate Infor'!$B:$C,2,FALSE)</f>
        <v>W-UNPL-CG85EPX-L870-02-7C00</v>
      </c>
      <c r="N481" s="1" t="str">
        <f>VLOOKUP(MID(M481,8,4),'[1]Tipe Plate'!$C:$D,2,FALSE)</f>
        <v>Grid Casting</v>
      </c>
      <c r="O481" s="4">
        <f>VLOOKUP(L481,'[1]Plate Infor'!$B:$D,3,FALSE)*D481</f>
        <v>1440</v>
      </c>
      <c r="P481" s="4">
        <f>IFERROR(VLOOKUP(IF(MID(M481,3,1)="F","W-UNPL-"&amp;RIGHT(M481,20),M481),'[1]Data Pule'!$C:$E,3,FALSE),0)*O481</f>
        <v>175.96800000000002</v>
      </c>
      <c r="Q481" s="1" t="str">
        <f>VLOOKUP(L481,'[1]Plate Infor'!$B:$E,4,FALSE)</f>
        <v>W-UNPL-WG87NXX-T3AF-00-7C00</v>
      </c>
      <c r="R481" s="1" t="str">
        <f>VLOOKUP(MID(Q481,8,4),'[1]Tipe Plate'!$C:$D,2,FALSE)</f>
        <v>Grid Punching</v>
      </c>
      <c r="S481" s="4">
        <f>VLOOKUP(L481,'[1]Plate Infor'!$B:$F,5,FALSE)*D481</f>
        <v>1440</v>
      </c>
      <c r="T481" s="4">
        <f>IFERROR(VLOOKUP(IF(MID(Q481,3,1)="F","W-UNPL-"&amp;RIGHT(Q481,20),Q481),'[1]Data Pule'!$C:$E,3,FALSE),0)*S481</f>
        <v>188.20799999999997</v>
      </c>
    </row>
    <row r="482" spans="3:20" x14ac:dyDescent="0.35">
      <c r="C482" s="1" t="s">
        <v>216</v>
      </c>
      <c r="D482">
        <v>84</v>
      </c>
      <c r="E482" s="3" t="str">
        <f>MID(C482,5,1)</f>
        <v>U</v>
      </c>
      <c r="F482" s="3"/>
      <c r="G482" s="3"/>
      <c r="H482" s="3"/>
      <c r="I482" s="3"/>
      <c r="J482" s="3"/>
      <c r="K482" s="3"/>
      <c r="L482" s="1" t="str">
        <f>MID(C482,3,17)</f>
        <v>AMUP-95D31RX-B2P5</v>
      </c>
      <c r="M482" s="1" t="str">
        <f>VLOOKUP(L482,'[1]Plate Infor'!$B:$C,2,FALSE)</f>
        <v>W-UNPL-WG83PXX-L65F-00-7C00</v>
      </c>
      <c r="N482" s="1" t="str">
        <f>VLOOKUP(MID(M482,8,4),'[1]Tipe Plate'!$C:$D,2,FALSE)</f>
        <v>Grid Punching</v>
      </c>
      <c r="O482" s="4">
        <f>VLOOKUP(L482,'[1]Plate Infor'!$B:$D,3,FALSE)*D482</f>
        <v>1512</v>
      </c>
      <c r="P482" s="4">
        <f>IFERROR(VLOOKUP(IF(MID(M482,3,1)="F","W-UNPL-"&amp;RIGHT(M482,20),M482),'[1]Data Pule'!$C:$E,3,FALSE),0)*O482</f>
        <v>255.98159999999996</v>
      </c>
      <c r="Q482" s="1" t="str">
        <f>VLOOKUP(L482,'[1]Plate Infor'!$B:$E,4,FALSE)</f>
        <v>W-UNPL-WG87NXX-T3AF-00-7C00</v>
      </c>
      <c r="R482" s="1" t="str">
        <f>VLOOKUP(MID(Q482,8,4),'[1]Tipe Plate'!$C:$D,2,FALSE)</f>
        <v>Grid Punching</v>
      </c>
      <c r="S482" s="4">
        <f>VLOOKUP(L482,'[1]Plate Infor'!$B:$F,5,FALSE)*D482</f>
        <v>1512</v>
      </c>
      <c r="T482" s="4">
        <f>IFERROR(VLOOKUP(IF(MID(Q482,3,1)="F","W-UNPL-"&amp;RIGHT(Q482,20),Q482),'[1]Data Pule'!$C:$E,3,FALSE),0)*S482</f>
        <v>197.61839999999998</v>
      </c>
    </row>
    <row r="483" spans="3:20" x14ac:dyDescent="0.35">
      <c r="C483" s="1" t="s">
        <v>217</v>
      </c>
      <c r="D483">
        <v>168</v>
      </c>
      <c r="E483" s="3" t="str">
        <f>MID(C483,5,1)</f>
        <v>U</v>
      </c>
      <c r="F483" s="3"/>
      <c r="G483" s="3"/>
      <c r="H483" s="3"/>
      <c r="I483" s="3"/>
      <c r="J483" s="3"/>
      <c r="K483" s="3"/>
      <c r="L483" s="1" t="str">
        <f>MID(C483,3,17)</f>
        <v>AMUP-95D31LX-B2P5</v>
      </c>
      <c r="M483" s="1" t="str">
        <f>VLOOKUP(L483,'[1]Plate Infor'!$B:$C,2,FALSE)</f>
        <v>W-UNPL-WG83PXX-L65F-00-7C00</v>
      </c>
      <c r="N483" s="1" t="str">
        <f>VLOOKUP(MID(M483,8,4),'[1]Tipe Plate'!$C:$D,2,FALSE)</f>
        <v>Grid Punching</v>
      </c>
      <c r="O483" s="4">
        <f>VLOOKUP(L483,'[1]Plate Infor'!$B:$D,3,FALSE)*D483</f>
        <v>3024</v>
      </c>
      <c r="P483" s="4">
        <f>IFERROR(VLOOKUP(IF(MID(M483,3,1)="F","W-UNPL-"&amp;RIGHT(M483,20),M483),'[1]Data Pule'!$C:$E,3,FALSE),0)*O483</f>
        <v>511.96319999999992</v>
      </c>
      <c r="Q483" s="1" t="str">
        <f>VLOOKUP(L483,'[1]Plate Infor'!$B:$E,4,FALSE)</f>
        <v>W-UNPL-WG87NXX-T3AF-00-7C00</v>
      </c>
      <c r="R483" s="1" t="str">
        <f>VLOOKUP(MID(Q483,8,4),'[1]Tipe Plate'!$C:$D,2,FALSE)</f>
        <v>Grid Punching</v>
      </c>
      <c r="S483" s="4">
        <f>VLOOKUP(L483,'[1]Plate Infor'!$B:$F,5,FALSE)*D483</f>
        <v>3024</v>
      </c>
      <c r="T483" s="4">
        <f>IFERROR(VLOOKUP(IF(MID(Q483,3,1)="F","W-UNPL-"&amp;RIGHT(Q483,20),Q483),'[1]Data Pule'!$C:$E,3,FALSE),0)*S483</f>
        <v>395.23679999999996</v>
      </c>
    </row>
    <row r="484" spans="3:20" x14ac:dyDescent="0.35">
      <c r="C484" s="1" t="s">
        <v>370</v>
      </c>
      <c r="D484">
        <v>84</v>
      </c>
      <c r="E484" s="3" t="str">
        <f>MID(C484,5,1)</f>
        <v>U</v>
      </c>
      <c r="F484" s="3"/>
      <c r="G484" s="3"/>
      <c r="H484" s="3"/>
      <c r="I484" s="3"/>
      <c r="J484" s="3"/>
      <c r="K484" s="3"/>
      <c r="L484" s="1" t="str">
        <f>MID(C484,3,17)</f>
        <v>ACUP-95D31RX-B7C3</v>
      </c>
      <c r="M484" s="1" t="str">
        <f>VLOOKUP(L484,'[1]Plate Infor'!$B:$C,2,FALSE)</f>
        <v>W-UNPL-CG85PXX-L870-02-7S00</v>
      </c>
      <c r="N484" s="1" t="str">
        <f>VLOOKUP(MID(M484,8,4),'[1]Tipe Plate'!$C:$D,2,FALSE)</f>
        <v>Grid Casting</v>
      </c>
      <c r="O484" s="4">
        <f>VLOOKUP(L484,'[1]Plate Infor'!$B:$D,3,FALSE)*D484</f>
        <v>2268</v>
      </c>
      <c r="P484" s="4">
        <f>IFERROR(VLOOKUP(IF(MID(M484,3,1)="F","W-UNPL-"&amp;RIGHT(M484,20),M484),'[1]Data Pule'!$C:$E,3,FALSE),0)*O484</f>
        <v>267.17040000000003</v>
      </c>
      <c r="Q484" s="1" t="str">
        <f>VLOOKUP(L484,'[1]Plate Infor'!$B:$E,4,FALSE)</f>
        <v>W-UNPL-CG85NXX-T3L0-02-7S00</v>
      </c>
      <c r="R484" s="1" t="str">
        <f>VLOOKUP(MID(Q484,8,4),'[1]Tipe Plate'!$C:$D,2,FALSE)</f>
        <v>Grid Casting</v>
      </c>
      <c r="S484" s="4">
        <f>VLOOKUP(L484,'[1]Plate Infor'!$B:$F,5,FALSE)*D484</f>
        <v>2016</v>
      </c>
      <c r="T484" s="4">
        <f>IFERROR(VLOOKUP(IF(MID(Q484,3,1)="F","W-UNPL-"&amp;RIGHT(Q484,20),Q484),'[1]Data Pule'!$C:$E,3,FALSE),0)*S484</f>
        <v>263.49119999999999</v>
      </c>
    </row>
    <row r="485" spans="3:20" x14ac:dyDescent="0.35">
      <c r="C485" s="1" t="s">
        <v>371</v>
      </c>
      <c r="D485">
        <v>84</v>
      </c>
      <c r="E485" s="3" t="str">
        <f>MID(C485,5,1)</f>
        <v>U</v>
      </c>
      <c r="F485" s="3"/>
      <c r="G485" s="3"/>
      <c r="H485" s="3"/>
      <c r="I485" s="3"/>
      <c r="J485" s="3"/>
      <c r="K485" s="3"/>
      <c r="L485" s="1" t="str">
        <f>MID(C485,3,17)</f>
        <v>ACUP-95D31LX-B7C3</v>
      </c>
      <c r="M485" s="1" t="str">
        <f>VLOOKUP(L485,'[1]Plate Infor'!$B:$C,2,FALSE)</f>
        <v>W-UNPL-CG85PXX-L870-02-7S00</v>
      </c>
      <c r="N485" s="1" t="str">
        <f>VLOOKUP(MID(M485,8,4),'[1]Tipe Plate'!$C:$D,2,FALSE)</f>
        <v>Grid Casting</v>
      </c>
      <c r="O485" s="4">
        <f>VLOOKUP(L485,'[1]Plate Infor'!$B:$D,3,FALSE)*D485</f>
        <v>2268</v>
      </c>
      <c r="P485" s="4">
        <f>IFERROR(VLOOKUP(IF(MID(M485,3,1)="F","W-UNPL-"&amp;RIGHT(M485,20),M485),'[1]Data Pule'!$C:$E,3,FALSE),0)*O485</f>
        <v>267.17040000000003</v>
      </c>
      <c r="Q485" s="1" t="str">
        <f>VLOOKUP(L485,'[1]Plate Infor'!$B:$E,4,FALSE)</f>
        <v>W-UNPL-CG85NXX-T3L0-02-7S00</v>
      </c>
      <c r="R485" s="1" t="str">
        <f>VLOOKUP(MID(Q485,8,4),'[1]Tipe Plate'!$C:$D,2,FALSE)</f>
        <v>Grid Casting</v>
      </c>
      <c r="S485" s="4">
        <f>VLOOKUP(L485,'[1]Plate Infor'!$B:$F,5,FALSE)*D485</f>
        <v>2016</v>
      </c>
      <c r="T485" s="4">
        <f>IFERROR(VLOOKUP(IF(MID(Q485,3,1)="F","W-UNPL-"&amp;RIGHT(Q485,20),Q485),'[1]Data Pule'!$C:$E,3,FALSE),0)*S485</f>
        <v>263.49119999999999</v>
      </c>
    </row>
    <row r="486" spans="3:20" x14ac:dyDescent="0.35">
      <c r="C486" s="1" t="s">
        <v>372</v>
      </c>
      <c r="D486">
        <v>64</v>
      </c>
      <c r="E486" s="3" t="str">
        <f>MID(C486,5,1)</f>
        <v>U</v>
      </c>
      <c r="F486" s="3"/>
      <c r="G486" s="3"/>
      <c r="H486" s="3"/>
      <c r="I486" s="3"/>
      <c r="J486" s="3"/>
      <c r="K486" s="3"/>
      <c r="L486" s="1" t="str">
        <f>MID(C486,3,17)</f>
        <v>ACUP-95E41RX-B7C3</v>
      </c>
      <c r="M486" s="1" t="str">
        <f>VLOOKUP(L486,'[1]Plate Infor'!$B:$C,2,FALSE)</f>
        <v>W-UNPL-CG80PXX-L870-02-7S00</v>
      </c>
      <c r="N486" s="1" t="str">
        <f>VLOOKUP(MID(M486,8,4),'[1]Tipe Plate'!$C:$D,2,FALSE)</f>
        <v>Grid Casting</v>
      </c>
      <c r="O486" s="4">
        <f>VLOOKUP(L486,'[1]Plate Infor'!$B:$D,3,FALSE)*D486</f>
        <v>1536</v>
      </c>
      <c r="P486" s="4">
        <f>IFERROR(VLOOKUP(IF(MID(M486,3,1)="F","W-UNPL-"&amp;RIGHT(M486,20),M486),'[1]Data Pule'!$C:$E,3,FALSE),0)*O486</f>
        <v>232.08959999999996</v>
      </c>
      <c r="Q486" s="1" t="str">
        <f>VLOOKUP(L486,'[1]Plate Infor'!$B:$E,4,FALSE)</f>
        <v>W-UNPL-CG87NXX-T3L0-02-7S00</v>
      </c>
      <c r="R486" s="1" t="str">
        <f>VLOOKUP(MID(Q486,8,4),'[1]Tipe Plate'!$C:$D,2,FALSE)</f>
        <v>Grid Casting</v>
      </c>
      <c r="S486" s="4">
        <f>VLOOKUP(L486,'[1]Plate Infor'!$B:$F,5,FALSE)*D486</f>
        <v>1728</v>
      </c>
      <c r="T486" s="4">
        <f>IFERROR(VLOOKUP(IF(MID(Q486,3,1)="F","W-UNPL-"&amp;RIGHT(Q486,20),Q486),'[1]Data Pule'!$C:$E,3,FALSE),0)*S486</f>
        <v>198.72</v>
      </c>
    </row>
    <row r="487" spans="3:20" x14ac:dyDescent="0.35">
      <c r="C487" s="1" t="s">
        <v>373</v>
      </c>
      <c r="D487">
        <v>216</v>
      </c>
      <c r="E487" s="3" t="str">
        <f>MID(C487,5,1)</f>
        <v>U</v>
      </c>
      <c r="F487" s="3"/>
      <c r="G487" s="3"/>
      <c r="H487" s="3"/>
      <c r="I487" s="3"/>
      <c r="J487" s="3"/>
      <c r="K487" s="3"/>
      <c r="L487" s="1" t="str">
        <f>MID(C487,3,17)</f>
        <v>ACUP-115F51X-C1C3</v>
      </c>
      <c r="M487" s="1" t="str">
        <f>VLOOKUP(L487,'[1]Plate Infor'!$B:$C,2,FALSE)</f>
        <v>W-UNPL-CG80PXX-L870-02-7S00</v>
      </c>
      <c r="N487" s="1" t="str">
        <f>VLOOKUP(MID(M487,8,4),'[1]Tipe Plate'!$C:$D,2,FALSE)</f>
        <v>Grid Casting</v>
      </c>
      <c r="O487" s="4">
        <f>VLOOKUP(L487,'[1]Plate Infor'!$B:$D,3,FALSE)*D487</f>
        <v>6480</v>
      </c>
      <c r="P487" s="4">
        <f>IFERROR(VLOOKUP(IF(MID(M487,3,1)="F","W-UNPL-"&amp;RIGHT(M487,20),M487),'[1]Data Pule'!$C:$E,3,FALSE),0)*O487</f>
        <v>979.12799999999993</v>
      </c>
      <c r="Q487" s="1" t="str">
        <f>VLOOKUP(L487,'[1]Plate Infor'!$B:$E,4,FALSE)</f>
        <v>W-UNPL-CG87NXX-T3L0-02-7S00</v>
      </c>
      <c r="R487" s="1" t="str">
        <f>VLOOKUP(MID(Q487,8,4),'[1]Tipe Plate'!$C:$D,2,FALSE)</f>
        <v>Grid Casting</v>
      </c>
      <c r="S487" s="4">
        <f>VLOOKUP(L487,'[1]Plate Infor'!$B:$F,5,FALSE)*D487</f>
        <v>7128</v>
      </c>
      <c r="T487" s="4">
        <f>IFERROR(VLOOKUP(IF(MID(Q487,3,1)="F","W-UNPL-"&amp;RIGHT(Q487,20),Q487),'[1]Data Pule'!$C:$E,3,FALSE),0)*S487</f>
        <v>819.72</v>
      </c>
    </row>
    <row r="488" spans="3:20" x14ac:dyDescent="0.35">
      <c r="C488" s="1" t="s">
        <v>374</v>
      </c>
      <c r="D488">
        <v>300</v>
      </c>
      <c r="E488" s="3" t="str">
        <f>MID(C488,5,1)</f>
        <v>U</v>
      </c>
      <c r="F488" s="3"/>
      <c r="G488" s="3"/>
      <c r="H488" s="3"/>
      <c r="I488" s="3"/>
      <c r="J488" s="3"/>
      <c r="K488" s="3"/>
      <c r="L488" s="1" t="str">
        <f>MID(C488,3,17)</f>
        <v>ACUP-145G51X-C7C3</v>
      </c>
      <c r="M488" s="1" t="str">
        <f>VLOOKUP(L488,'[1]Plate Infor'!$B:$C,2,FALSE)</f>
        <v>W-UNPL-CG82PXX-L870-02-7S00</v>
      </c>
      <c r="N488" s="1" t="str">
        <f>VLOOKUP(MID(M488,8,4),'[1]Tipe Plate'!$C:$D,2,FALSE)</f>
        <v>Grid Casting</v>
      </c>
      <c r="O488" s="4">
        <f>VLOOKUP(L488,'[1]Plate Infor'!$B:$D,3,FALSE)*D488</f>
        <v>11700</v>
      </c>
      <c r="P488" s="4">
        <f>IFERROR(VLOOKUP(IF(MID(M488,3,1)="F","W-UNPL-"&amp;RIGHT(M488,20),M488),'[1]Data Pule'!$C:$E,3,FALSE),0)*O488</f>
        <v>1503.4499999999998</v>
      </c>
      <c r="Q488" s="1" t="str">
        <f>VLOOKUP(L488,'[1]Plate Infor'!$B:$E,4,FALSE)</f>
        <v>W-UNPL-CG87NXX-T3L0-02-7S00</v>
      </c>
      <c r="R488" s="1" t="str">
        <f>VLOOKUP(MID(Q488,8,4),'[1]Tipe Plate'!$C:$D,2,FALSE)</f>
        <v>Grid Casting</v>
      </c>
      <c r="S488" s="4">
        <f>VLOOKUP(L488,'[1]Plate Infor'!$B:$F,5,FALSE)*D488</f>
        <v>12600</v>
      </c>
      <c r="T488" s="4">
        <f>IFERROR(VLOOKUP(IF(MID(Q488,3,1)="F","W-UNPL-"&amp;RIGHT(Q488,20),Q488),'[1]Data Pule'!$C:$E,3,FALSE),0)*S488</f>
        <v>1449</v>
      </c>
    </row>
    <row r="489" spans="3:20" x14ac:dyDescent="0.35">
      <c r="C489" s="1" t="s">
        <v>210</v>
      </c>
      <c r="D489">
        <v>30</v>
      </c>
      <c r="E489" s="3" t="str">
        <f>MID(C489,5,1)</f>
        <v>U</v>
      </c>
      <c r="F489" s="3"/>
      <c r="G489" s="3"/>
      <c r="H489" s="3"/>
      <c r="I489" s="3"/>
      <c r="J489" s="3"/>
      <c r="K489" s="3"/>
      <c r="L489" s="1" t="str">
        <f>MID(C489,3,17)</f>
        <v>ACUP-145G51X-C3C5</v>
      </c>
      <c r="M489" s="1" t="str">
        <f>VLOOKUP(L489,'[1]Plate Infor'!$B:$C,2,FALSE)</f>
        <v>W-UNPL-CG82PXX-L870-02-7S00</v>
      </c>
      <c r="N489" s="1" t="str">
        <f>VLOOKUP(MID(M489,8,4),'[1]Tipe Plate'!$C:$D,2,FALSE)</f>
        <v>Grid Casting</v>
      </c>
      <c r="O489" s="4">
        <f>VLOOKUP(L489,'[1]Plate Infor'!$B:$D,3,FALSE)*D489</f>
        <v>990</v>
      </c>
      <c r="P489" s="4">
        <f>IFERROR(VLOOKUP(IF(MID(M489,3,1)="F","W-UNPL-"&amp;RIGHT(M489,20),M489),'[1]Data Pule'!$C:$E,3,FALSE),0)*O489</f>
        <v>127.21499999999997</v>
      </c>
      <c r="Q489" s="1" t="str">
        <f>VLOOKUP(L489,'[1]Plate Infor'!$B:$E,4,FALSE)</f>
        <v>W-UNPL-CG87NXX-T3L0-02-7S00</v>
      </c>
      <c r="R489" s="1" t="str">
        <f>VLOOKUP(MID(Q489,8,4),'[1]Tipe Plate'!$C:$D,2,FALSE)</f>
        <v>Grid Casting</v>
      </c>
      <c r="S489" s="4">
        <f>VLOOKUP(L489,'[1]Plate Infor'!$B:$F,5,FALSE)*D489</f>
        <v>1080</v>
      </c>
      <c r="T489" s="4">
        <f>IFERROR(VLOOKUP(IF(MID(Q489,3,1)="F","W-UNPL-"&amp;RIGHT(Q489,20),Q489),'[1]Data Pule'!$C:$E,3,FALSE),0)*S489</f>
        <v>124.2</v>
      </c>
    </row>
    <row r="490" spans="3:20" x14ac:dyDescent="0.35">
      <c r="C490" s="1" t="s">
        <v>375</v>
      </c>
      <c r="D490">
        <v>3360</v>
      </c>
      <c r="E490" s="3" t="str">
        <f>MID(C490,5,1)</f>
        <v>D</v>
      </c>
      <c r="F490" s="3"/>
      <c r="G490" s="3"/>
      <c r="H490" s="3"/>
      <c r="I490" s="3"/>
      <c r="J490" s="3"/>
      <c r="K490" s="3"/>
      <c r="L490" s="1" t="str">
        <f>MID(C490,3,17)</f>
        <v>ACDP-48D26RX-B1C2</v>
      </c>
      <c r="M490" s="1" t="str">
        <f>VLOOKUP(L490,'[1]Plate Infor'!$B:$C,2,FALSE)</f>
        <v>W-FOPL-CG80PXX-L870-02-7S00</v>
      </c>
      <c r="N490" s="1" t="str">
        <f>VLOOKUP(MID(M490,8,4),'[1]Tipe Plate'!$C:$D,2,FALSE)</f>
        <v>Grid Casting</v>
      </c>
      <c r="O490" s="4">
        <f>VLOOKUP(L490,'[1]Plate Infor'!$B:$D,3,FALSE)*D490</f>
        <v>50400</v>
      </c>
      <c r="P490" s="4">
        <f>IFERROR(VLOOKUP(IF(MID(M490,3,1)="F","W-UNPL-"&amp;RIGHT(M490,20),M490),'[1]Data Pule'!$C:$E,3,FALSE),0)*O490</f>
        <v>7615.44</v>
      </c>
      <c r="Q490" s="1" t="str">
        <f>VLOOKUP(L490,'[1]Plate Infor'!$B:$E,4,FALSE)</f>
        <v>W-FOPL-CG87NXX-T3L0-02-7S00</v>
      </c>
      <c r="R490" s="1" t="str">
        <f>VLOOKUP(MID(Q490,8,4),'[1]Tipe Plate'!$C:$D,2,FALSE)</f>
        <v>Grid Casting</v>
      </c>
      <c r="S490" s="4">
        <f>VLOOKUP(L490,'[1]Plate Infor'!$B:$F,5,FALSE)*D490</f>
        <v>60480</v>
      </c>
      <c r="T490" s="4">
        <f>IFERROR(VLOOKUP(IF(MID(Q490,3,1)="F","W-UNPL-"&amp;RIGHT(Q490,20),Q490),'[1]Data Pule'!$C:$E,3,FALSE),0)*S490</f>
        <v>6955.2000000000007</v>
      </c>
    </row>
    <row r="491" spans="3:20" x14ac:dyDescent="0.35">
      <c r="C491" s="1" t="s">
        <v>376</v>
      </c>
      <c r="D491">
        <v>4410</v>
      </c>
      <c r="E491" s="3" t="str">
        <f>MID(C491,5,1)</f>
        <v>D</v>
      </c>
      <c r="F491" s="3"/>
      <c r="G491" s="3"/>
      <c r="H491" s="3"/>
      <c r="I491" s="3"/>
      <c r="J491" s="3"/>
      <c r="K491" s="3"/>
      <c r="L491" s="1" t="str">
        <f>MID(C491,3,17)</f>
        <v>ACDP-65D31RX-B5C2</v>
      </c>
      <c r="M491" s="1" t="str">
        <f>VLOOKUP(L491,'[1]Plate Infor'!$B:$C,2,FALSE)</f>
        <v>W-FOPL-CG82PXX-L870-02-7S00</v>
      </c>
      <c r="N491" s="1" t="str">
        <f>VLOOKUP(MID(M491,8,4),'[1]Tipe Plate'!$C:$D,2,FALSE)</f>
        <v>Grid Casting</v>
      </c>
      <c r="O491" s="4">
        <f>VLOOKUP(L491,'[1]Plate Infor'!$B:$D,3,FALSE)*D491</f>
        <v>105840</v>
      </c>
      <c r="P491" s="4">
        <f>IFERROR(VLOOKUP(IF(MID(M491,3,1)="F","W-UNPL-"&amp;RIGHT(M491,20),M491),'[1]Data Pule'!$C:$E,3,FALSE),0)*O491</f>
        <v>13600.439999999997</v>
      </c>
      <c r="Q491" s="1" t="str">
        <f>VLOOKUP(L491,'[1]Plate Infor'!$B:$E,4,FALSE)</f>
        <v>W-FOPL-CG85NXX-T3L0-02-7S00</v>
      </c>
      <c r="R491" s="1" t="str">
        <f>VLOOKUP(MID(Q491,8,4),'[1]Tipe Plate'!$C:$D,2,FALSE)</f>
        <v>Grid Casting</v>
      </c>
      <c r="S491" s="4">
        <f>VLOOKUP(L491,'[1]Plate Infor'!$B:$F,5,FALSE)*D491</f>
        <v>92610</v>
      </c>
      <c r="T491" s="4">
        <f>IFERROR(VLOOKUP(IF(MID(Q491,3,1)="F","W-UNPL-"&amp;RIGHT(Q491,20),Q491),'[1]Data Pule'!$C:$E,3,FALSE),0)*S491</f>
        <v>12104.126999999999</v>
      </c>
    </row>
    <row r="492" spans="3:20" x14ac:dyDescent="0.35">
      <c r="C492" s="1" t="s">
        <v>377</v>
      </c>
      <c r="D492">
        <v>980</v>
      </c>
      <c r="E492" s="3" t="str">
        <f>MID(C492,5,1)</f>
        <v>D</v>
      </c>
      <c r="F492" s="3"/>
      <c r="G492" s="3"/>
      <c r="H492" s="3"/>
      <c r="I492" s="3"/>
      <c r="J492" s="3"/>
      <c r="K492" s="3"/>
      <c r="L492" s="1" t="str">
        <f>MID(C492,3,17)</f>
        <v>ACDP-95E41RX-C0C2</v>
      </c>
      <c r="M492" s="1" t="str">
        <f>VLOOKUP(L492,'[1]Plate Infor'!$B:$C,2,FALSE)</f>
        <v>W-FOPL-CG80PXX-L870-02-7S00</v>
      </c>
      <c r="N492" s="1" t="str">
        <f>VLOOKUP(MID(M492,8,4),'[1]Tipe Plate'!$C:$D,2,FALSE)</f>
        <v>Grid Casting</v>
      </c>
      <c r="O492" s="4">
        <f>VLOOKUP(L492,'[1]Plate Infor'!$B:$D,3,FALSE)*D492</f>
        <v>29400</v>
      </c>
      <c r="P492" s="4">
        <f>IFERROR(VLOOKUP(IF(MID(M492,3,1)="F","W-UNPL-"&amp;RIGHT(M492,20),M492),'[1]Data Pule'!$C:$E,3,FALSE),0)*O492</f>
        <v>4442.3399999999992</v>
      </c>
      <c r="Q492" s="1" t="str">
        <f>VLOOKUP(L492,'[1]Plate Infor'!$B:$E,4,FALSE)</f>
        <v>W-FOPL-CG85NXX-T3L0-02-7S00</v>
      </c>
      <c r="R492" s="1" t="str">
        <f>VLOOKUP(MID(Q492,8,4),'[1]Tipe Plate'!$C:$D,2,FALSE)</f>
        <v>Grid Casting</v>
      </c>
      <c r="S492" s="4">
        <f>VLOOKUP(L492,'[1]Plate Infor'!$B:$F,5,FALSE)*D492</f>
        <v>29400</v>
      </c>
      <c r="T492" s="4">
        <f>IFERROR(VLOOKUP(IF(MID(Q492,3,1)="F","W-UNPL-"&amp;RIGHT(Q492,20),Q492),'[1]Data Pule'!$C:$E,3,FALSE),0)*S492</f>
        <v>3842.5799999999995</v>
      </c>
    </row>
    <row r="493" spans="3:20" x14ac:dyDescent="0.35">
      <c r="C493" s="1" t="s">
        <v>300</v>
      </c>
      <c r="D493">
        <v>60</v>
      </c>
      <c r="E493" s="3" t="str">
        <f>MID(C493,5,1)</f>
        <v>U</v>
      </c>
      <c r="F493" s="3"/>
      <c r="G493" s="3"/>
      <c r="H493" s="3"/>
      <c r="I493" s="3"/>
      <c r="J493" s="3"/>
      <c r="K493" s="3"/>
      <c r="L493" s="1" t="str">
        <f>MID(C493,3,17)</f>
        <v>ACUP-145G51X-C7C3</v>
      </c>
      <c r="M493" s="1" t="str">
        <f>VLOOKUP(L493,'[1]Plate Infor'!$B:$C,2,FALSE)</f>
        <v>W-UNPL-CG82PXX-L870-02-7S00</v>
      </c>
      <c r="N493" s="1" t="str">
        <f>VLOOKUP(MID(M493,8,4),'[1]Tipe Plate'!$C:$D,2,FALSE)</f>
        <v>Grid Casting</v>
      </c>
      <c r="O493" s="4">
        <f>VLOOKUP(L493,'[1]Plate Infor'!$B:$D,3,FALSE)*D493</f>
        <v>2340</v>
      </c>
      <c r="P493" s="4">
        <f>IFERROR(VLOOKUP(IF(MID(M493,3,1)="F","W-UNPL-"&amp;RIGHT(M493,20),M493),'[1]Data Pule'!$C:$E,3,FALSE),0)*O493</f>
        <v>300.68999999999994</v>
      </c>
      <c r="Q493" s="1" t="str">
        <f>VLOOKUP(L493,'[1]Plate Infor'!$B:$E,4,FALSE)</f>
        <v>W-UNPL-CG87NXX-T3L0-02-7S00</v>
      </c>
      <c r="R493" s="1" t="str">
        <f>VLOOKUP(MID(Q493,8,4),'[1]Tipe Plate'!$C:$D,2,FALSE)</f>
        <v>Grid Casting</v>
      </c>
      <c r="S493" s="4">
        <f>VLOOKUP(L493,'[1]Plate Infor'!$B:$F,5,FALSE)*D493</f>
        <v>2520</v>
      </c>
      <c r="T493" s="4">
        <f>IFERROR(VLOOKUP(IF(MID(Q493,3,1)="F","W-UNPL-"&amp;RIGHT(Q493,20),Q493),'[1]Data Pule'!$C:$E,3,FALSE),0)*S493</f>
        <v>289.8</v>
      </c>
    </row>
    <row r="494" spans="3:20" x14ac:dyDescent="0.35">
      <c r="C494" s="1" t="s">
        <v>355</v>
      </c>
      <c r="D494">
        <v>96</v>
      </c>
      <c r="E494" s="3" t="str">
        <f>MID(C494,5,1)</f>
        <v>U</v>
      </c>
      <c r="F494" s="3"/>
      <c r="G494" s="3"/>
      <c r="H494" s="3"/>
      <c r="I494" s="3"/>
      <c r="J494" s="3"/>
      <c r="K494" s="3"/>
      <c r="L494" s="1" t="str">
        <f>MID(C494,3,17)</f>
        <v>ACUP-190H52X-D3C5</v>
      </c>
      <c r="M494" s="1" t="str">
        <f>VLOOKUP(L494,'[1]Plate Infor'!$B:$C,2,FALSE)</f>
        <v>W-UNPL-CG82PXX-L870-02-7S00</v>
      </c>
      <c r="N494" s="1" t="str">
        <f>VLOOKUP(MID(M494,8,4),'[1]Tipe Plate'!$C:$D,2,FALSE)</f>
        <v>Grid Casting</v>
      </c>
      <c r="O494" s="4">
        <f>VLOOKUP(L494,'[1]Plate Infor'!$B:$D,3,FALSE)*D494</f>
        <v>4608</v>
      </c>
      <c r="P494" s="4">
        <f>IFERROR(VLOOKUP(IF(MID(M494,3,1)="F","W-UNPL-"&amp;RIGHT(M494,20),M494),'[1]Data Pule'!$C:$E,3,FALSE),0)*O494</f>
        <v>592.12799999999993</v>
      </c>
      <c r="Q494" s="1" t="str">
        <f>VLOOKUP(L494,'[1]Plate Infor'!$B:$E,4,FALSE)</f>
        <v>W-UNPL-CG87NXX-T3L0-02-7S00</v>
      </c>
      <c r="R494" s="1" t="str">
        <f>VLOOKUP(MID(Q494,8,4),'[1]Tipe Plate'!$C:$D,2,FALSE)</f>
        <v>Grid Casting</v>
      </c>
      <c r="S494" s="4">
        <f>VLOOKUP(L494,'[1]Plate Infor'!$B:$F,5,FALSE)*D494</f>
        <v>4896</v>
      </c>
      <c r="T494" s="4">
        <f>IFERROR(VLOOKUP(IF(MID(Q494,3,1)="F","W-UNPL-"&amp;RIGHT(Q494,20),Q494),'[1]Data Pule'!$C:$E,3,FALSE),0)*S494</f>
        <v>563.04000000000008</v>
      </c>
    </row>
    <row r="495" spans="3:20" x14ac:dyDescent="0.35">
      <c r="C495" s="1" t="s">
        <v>303</v>
      </c>
      <c r="D495">
        <v>675</v>
      </c>
      <c r="E495" s="3" t="str">
        <f>MID(C495,5,1)</f>
        <v>U</v>
      </c>
      <c r="F495" s="3"/>
      <c r="G495" s="3"/>
      <c r="H495" s="3"/>
      <c r="I495" s="3"/>
      <c r="J495" s="3"/>
      <c r="K495" s="3"/>
      <c r="L495" s="1" t="str">
        <f>MID(C495,3,17)</f>
        <v>AMUP-36B20LX-A9P4</v>
      </c>
      <c r="M495" s="1" t="str">
        <f>VLOOKUP(L495,'[1]Plate Infor'!$B:$C,2,FALSE)</f>
        <v>W-UNPL-WM84PXX-L65F-00-7S00</v>
      </c>
      <c r="N495" s="1" t="str">
        <f>VLOOKUP(MID(M495,8,4),'[1]Tipe Plate'!$C:$D,2,FALSE)</f>
        <v>Grid Casting</v>
      </c>
      <c r="O495" s="4">
        <f>VLOOKUP(L495,'[1]Plate Infor'!$B:$D,3,FALSE)*D495</f>
        <v>8100</v>
      </c>
      <c r="P495" s="4">
        <f>IFERROR(VLOOKUP(IF(MID(M495,3,1)="F","W-UNPL-"&amp;RIGHT(M495,20),M495),'[1]Data Pule'!$C:$E,3,FALSE),0)*O495</f>
        <v>922.59</v>
      </c>
      <c r="Q495" s="1" t="str">
        <f>VLOOKUP(L495,'[1]Plate Infor'!$B:$E,4,FALSE)</f>
        <v>W-UNPL-WM85NXX-T3AF-00-7S00</v>
      </c>
      <c r="R495" s="1" t="str">
        <f>VLOOKUP(MID(Q495,8,4),'[1]Tipe Plate'!$C:$D,2,FALSE)</f>
        <v>Grid Punching</v>
      </c>
      <c r="S495" s="4">
        <f>VLOOKUP(L495,'[1]Plate Infor'!$B:$F,5,FALSE)*D495</f>
        <v>10125</v>
      </c>
      <c r="T495" s="4">
        <f>IFERROR(VLOOKUP(IF(MID(Q495,3,1)="F","W-UNPL-"&amp;RIGHT(Q495,20),Q495),'[1]Data Pule'!$C:$E,3,FALSE),0)*S495</f>
        <v>1076.2875000000001</v>
      </c>
    </row>
    <row r="496" spans="3:20" x14ac:dyDescent="0.35">
      <c r="C496" s="1" t="s">
        <v>304</v>
      </c>
      <c r="D496">
        <v>324</v>
      </c>
      <c r="E496" s="3" t="str">
        <f>MID(C496,5,1)</f>
        <v>U</v>
      </c>
      <c r="F496" s="3"/>
      <c r="G496" s="3"/>
      <c r="H496" s="3"/>
      <c r="I496" s="3"/>
      <c r="J496" s="3"/>
      <c r="K496" s="3"/>
      <c r="L496" s="1" t="str">
        <f>MID(C496,3,17)</f>
        <v>AVUP-46B24RS-B0A4</v>
      </c>
      <c r="M496" s="1" t="str">
        <f>VLOOKUP(L496,'[1]Plate Infor'!$B:$C,2,FALSE)</f>
        <v>W-UNPL-CM84APX-L870-02-7S00</v>
      </c>
      <c r="N496" s="1" t="str">
        <f>VLOOKUP(MID(M496,8,4),'[1]Tipe Plate'!$C:$D,2,FALSE)</f>
        <v>Grid Casting</v>
      </c>
      <c r="O496" s="4">
        <f>VLOOKUP(L496,'[1]Plate Infor'!$B:$D,3,FALSE)*D496</f>
        <v>4860</v>
      </c>
      <c r="P496" s="4">
        <f>IFERROR(VLOOKUP(IF(MID(M496,3,1)="F","W-UNPL-"&amp;RIGHT(M496,20),M496),'[1]Data Pule'!$C:$E,3,FALSE),0)*O496</f>
        <v>435.94200000000001</v>
      </c>
      <c r="Q496" s="1" t="str">
        <f>VLOOKUP(L496,'[1]Plate Infor'!$B:$E,4,FALSE)</f>
        <v>W-UNPL-WM85NXX-T3AF-00-7S00</v>
      </c>
      <c r="R496" s="1" t="str">
        <f>VLOOKUP(MID(Q496,8,4),'[1]Tipe Plate'!$C:$D,2,FALSE)</f>
        <v>Grid Punching</v>
      </c>
      <c r="S496" s="4">
        <f>VLOOKUP(L496,'[1]Plate Infor'!$B:$F,5,FALSE)*D496</f>
        <v>4860</v>
      </c>
      <c r="T496" s="4">
        <f>IFERROR(VLOOKUP(IF(MID(Q496,3,1)="F","W-UNPL-"&amp;RIGHT(Q496,20),Q496),'[1]Data Pule'!$C:$E,3,FALSE),0)*S496</f>
        <v>516.61800000000005</v>
      </c>
    </row>
    <row r="497" spans="3:20" x14ac:dyDescent="0.35">
      <c r="C497" s="1" t="s">
        <v>305</v>
      </c>
      <c r="D497">
        <v>324</v>
      </c>
      <c r="E497" s="3" t="str">
        <f>MID(C497,5,1)</f>
        <v>U</v>
      </c>
      <c r="F497" s="3"/>
      <c r="G497" s="3"/>
      <c r="H497" s="3"/>
      <c r="I497" s="3"/>
      <c r="J497" s="3"/>
      <c r="K497" s="3"/>
      <c r="L497" s="1" t="str">
        <f>MID(C497,3,17)</f>
        <v>AVUP-46B24LS-B0A4</v>
      </c>
      <c r="M497" s="1" t="str">
        <f>VLOOKUP(L497,'[1]Plate Infor'!$B:$C,2,FALSE)</f>
        <v>W-UNPL-CM84APX-L870-02-7S00</v>
      </c>
      <c r="N497" s="1" t="str">
        <f>VLOOKUP(MID(M497,8,4),'[1]Tipe Plate'!$C:$D,2,FALSE)</f>
        <v>Grid Casting</v>
      </c>
      <c r="O497" s="4">
        <f>VLOOKUP(L497,'[1]Plate Infor'!$B:$D,3,FALSE)*D497</f>
        <v>4860</v>
      </c>
      <c r="P497" s="4">
        <f>IFERROR(VLOOKUP(IF(MID(M497,3,1)="F","W-UNPL-"&amp;RIGHT(M497,20),M497),'[1]Data Pule'!$C:$E,3,FALSE),0)*O497</f>
        <v>435.94200000000001</v>
      </c>
      <c r="Q497" s="1" t="str">
        <f>VLOOKUP(L497,'[1]Plate Infor'!$B:$E,4,FALSE)</f>
        <v>W-UNPL-WM85NXX-T3AF-00-7S00</v>
      </c>
      <c r="R497" s="1" t="str">
        <f>VLOOKUP(MID(Q497,8,4),'[1]Tipe Plate'!$C:$D,2,FALSE)</f>
        <v>Grid Punching</v>
      </c>
      <c r="S497" s="4">
        <f>VLOOKUP(L497,'[1]Plate Infor'!$B:$F,5,FALSE)*D497</f>
        <v>4860</v>
      </c>
      <c r="T497" s="4">
        <f>IFERROR(VLOOKUP(IF(MID(Q497,3,1)="F","W-UNPL-"&amp;RIGHT(Q497,20),Q497),'[1]Data Pule'!$C:$E,3,FALSE),0)*S497</f>
        <v>516.61800000000005</v>
      </c>
    </row>
    <row r="498" spans="3:20" x14ac:dyDescent="0.35">
      <c r="C498" s="1" t="s">
        <v>378</v>
      </c>
      <c r="D498">
        <v>108</v>
      </c>
      <c r="E498" s="3" t="str">
        <f>MID(C498,5,1)</f>
        <v>U</v>
      </c>
      <c r="F498" s="3"/>
      <c r="G498" s="3"/>
      <c r="H498" s="3"/>
      <c r="I498" s="3"/>
      <c r="J498" s="3"/>
      <c r="K498" s="3"/>
      <c r="L498" s="1" t="str">
        <f>MID(C498,3,17)</f>
        <v>AVUP-46B24RX-B0A4</v>
      </c>
      <c r="M498" s="1" t="str">
        <f>VLOOKUP(L498,'[1]Plate Infor'!$B:$C,2,FALSE)</f>
        <v>W-UNPL-CM84APX-L870-02-7S00</v>
      </c>
      <c r="N498" s="1" t="str">
        <f>VLOOKUP(MID(M498,8,4),'[1]Tipe Plate'!$C:$D,2,FALSE)</f>
        <v>Grid Casting</v>
      </c>
      <c r="O498" s="4">
        <f>VLOOKUP(L498,'[1]Plate Infor'!$B:$D,3,FALSE)*D498</f>
        <v>1620</v>
      </c>
      <c r="P498" s="4">
        <f>IFERROR(VLOOKUP(IF(MID(M498,3,1)="F","W-UNPL-"&amp;RIGHT(M498,20),M498),'[1]Data Pule'!$C:$E,3,FALSE),0)*O498</f>
        <v>145.31399999999999</v>
      </c>
      <c r="Q498" s="1" t="str">
        <f>VLOOKUP(L498,'[1]Plate Infor'!$B:$E,4,FALSE)</f>
        <v>W-UNPL-WM85NXX-T3AF-00-7S00</v>
      </c>
      <c r="R498" s="1" t="str">
        <f>VLOOKUP(MID(Q498,8,4),'[1]Tipe Plate'!$C:$D,2,FALSE)</f>
        <v>Grid Punching</v>
      </c>
      <c r="S498" s="4">
        <f>VLOOKUP(L498,'[1]Plate Infor'!$B:$F,5,FALSE)*D498</f>
        <v>1620</v>
      </c>
      <c r="T498" s="4">
        <f>IFERROR(VLOOKUP(IF(MID(Q498,3,1)="F","W-UNPL-"&amp;RIGHT(Q498,20),Q498),'[1]Data Pule'!$C:$E,3,FALSE),0)*S498</f>
        <v>172.20600000000002</v>
      </c>
    </row>
    <row r="499" spans="3:20" x14ac:dyDescent="0.35">
      <c r="C499" s="1" t="s">
        <v>306</v>
      </c>
      <c r="D499">
        <v>216</v>
      </c>
      <c r="E499" s="3" t="str">
        <f>MID(C499,5,1)</f>
        <v>U</v>
      </c>
      <c r="F499" s="3"/>
      <c r="G499" s="3"/>
      <c r="H499" s="3"/>
      <c r="I499" s="3"/>
      <c r="J499" s="3"/>
      <c r="K499" s="3"/>
      <c r="L499" s="1" t="str">
        <f>MID(C499,3,17)</f>
        <v>AVUP-46B24LX-B0A4</v>
      </c>
      <c r="M499" s="1" t="str">
        <f>VLOOKUP(L499,'[1]Plate Infor'!$B:$C,2,FALSE)</f>
        <v>W-UNPL-CM84APX-L870-02-7S00</v>
      </c>
      <c r="N499" s="1" t="str">
        <f>VLOOKUP(MID(M499,8,4),'[1]Tipe Plate'!$C:$D,2,FALSE)</f>
        <v>Grid Casting</v>
      </c>
      <c r="O499" s="4">
        <f>VLOOKUP(L499,'[1]Plate Infor'!$B:$D,3,FALSE)*D499</f>
        <v>3240</v>
      </c>
      <c r="P499" s="4">
        <f>IFERROR(VLOOKUP(IF(MID(M499,3,1)="F","W-UNPL-"&amp;RIGHT(M499,20),M499),'[1]Data Pule'!$C:$E,3,FALSE),0)*O499</f>
        <v>290.62799999999999</v>
      </c>
      <c r="Q499" s="1" t="str">
        <f>VLOOKUP(L499,'[1]Plate Infor'!$B:$E,4,FALSE)</f>
        <v>W-UNPL-WM85NXX-T3AF-00-7S00</v>
      </c>
      <c r="R499" s="1" t="str">
        <f>VLOOKUP(MID(Q499,8,4),'[1]Tipe Plate'!$C:$D,2,FALSE)</f>
        <v>Grid Punching</v>
      </c>
      <c r="S499" s="4">
        <f>VLOOKUP(L499,'[1]Plate Infor'!$B:$F,5,FALSE)*D499</f>
        <v>3240</v>
      </c>
      <c r="T499" s="4">
        <f>IFERROR(VLOOKUP(IF(MID(Q499,3,1)="F","W-UNPL-"&amp;RIGHT(Q499,20),Q499),'[1]Data Pule'!$C:$E,3,FALSE),0)*S499</f>
        <v>344.41200000000003</v>
      </c>
    </row>
    <row r="500" spans="3:20" x14ac:dyDescent="0.35">
      <c r="C500" s="1" t="s">
        <v>379</v>
      </c>
      <c r="D500">
        <v>360</v>
      </c>
      <c r="E500" s="3" t="str">
        <f>MID(C500,5,1)</f>
        <v>U</v>
      </c>
      <c r="F500" s="3"/>
      <c r="G500" s="3"/>
      <c r="H500" s="3"/>
      <c r="I500" s="3"/>
      <c r="J500" s="3"/>
      <c r="K500" s="3"/>
      <c r="L500" s="1" t="str">
        <f>MID(C500,3,17)</f>
        <v>ACUP-36B20LX-A9C4</v>
      </c>
      <c r="M500" s="1" t="str">
        <f>VLOOKUP(L500,'[1]Plate Infor'!$B:$C,2,FALSE)</f>
        <v>W-UNPL-CM84APX-L870-02-7S00</v>
      </c>
      <c r="N500" s="1" t="str">
        <f>VLOOKUP(MID(M500,8,4),'[1]Tipe Plate'!$C:$D,2,FALSE)</f>
        <v>Grid Casting</v>
      </c>
      <c r="O500" s="4">
        <f>VLOOKUP(L500,'[1]Plate Infor'!$B:$D,3,FALSE)*D500</f>
        <v>4320</v>
      </c>
      <c r="P500" s="4">
        <f>IFERROR(VLOOKUP(IF(MID(M500,3,1)="F","W-UNPL-"&amp;RIGHT(M500,20),M500),'[1]Data Pule'!$C:$E,3,FALSE),0)*O500</f>
        <v>387.50400000000002</v>
      </c>
      <c r="Q500" s="1" t="str">
        <f>VLOOKUP(L500,'[1]Plate Infor'!$B:$E,4,FALSE)</f>
        <v>W-UNPL-CM8786N-T3L0-02-7S00</v>
      </c>
      <c r="R500" s="1" t="str">
        <f>VLOOKUP(MID(Q500,8,4),'[1]Tipe Plate'!$C:$D,2,FALSE)</f>
        <v>Grid Casting</v>
      </c>
      <c r="S500" s="4">
        <f>VLOOKUP(L500,'[1]Plate Infor'!$B:$F,5,FALSE)*D500</f>
        <v>5400</v>
      </c>
      <c r="T500" s="4">
        <f>IFERROR(VLOOKUP(IF(MID(Q500,3,1)="F","W-UNPL-"&amp;RIGHT(Q500,20),Q500),'[1]Data Pule'!$C:$E,3,FALSE),0)*S500</f>
        <v>509.22</v>
      </c>
    </row>
    <row r="501" spans="3:20" x14ac:dyDescent="0.35">
      <c r="C501" s="1" t="s">
        <v>380</v>
      </c>
      <c r="D501">
        <v>144</v>
      </c>
      <c r="E501" s="3" t="str">
        <f>MID(C501,5,1)</f>
        <v>U</v>
      </c>
      <c r="F501" s="3"/>
      <c r="G501" s="3"/>
      <c r="H501" s="3"/>
      <c r="I501" s="3"/>
      <c r="J501" s="3"/>
      <c r="K501" s="3"/>
      <c r="L501" s="1" t="str">
        <f>MID(C501,3,17)</f>
        <v>ACUP-46B24RS-B1C4</v>
      </c>
      <c r="M501" s="1" t="str">
        <f>VLOOKUP(L501,'[1]Plate Infor'!$B:$C,2,FALSE)</f>
        <v>W-UNPL-CM84APX-L870-02-7S00</v>
      </c>
      <c r="N501" s="1" t="str">
        <f>VLOOKUP(MID(M501,8,4),'[1]Tipe Plate'!$C:$D,2,FALSE)</f>
        <v>Grid Casting</v>
      </c>
      <c r="O501" s="4">
        <f>VLOOKUP(L501,'[1]Plate Infor'!$B:$D,3,FALSE)*D501</f>
        <v>2160</v>
      </c>
      <c r="P501" s="4">
        <f>IFERROR(VLOOKUP(IF(MID(M501,3,1)="F","W-UNPL-"&amp;RIGHT(M501,20),M501),'[1]Data Pule'!$C:$E,3,FALSE),0)*O501</f>
        <v>193.75200000000001</v>
      </c>
      <c r="Q501" s="1" t="str">
        <f>VLOOKUP(L501,'[1]Plate Infor'!$B:$E,4,FALSE)</f>
        <v>W-UNPL-CM8786N-T3L0-02-7S00</v>
      </c>
      <c r="R501" s="1" t="str">
        <f>VLOOKUP(MID(Q501,8,4),'[1]Tipe Plate'!$C:$D,2,FALSE)</f>
        <v>Grid Casting</v>
      </c>
      <c r="S501" s="4">
        <f>VLOOKUP(L501,'[1]Plate Infor'!$B:$F,5,FALSE)*D501</f>
        <v>2592</v>
      </c>
      <c r="T501" s="4">
        <f>IFERROR(VLOOKUP(IF(MID(Q501,3,1)="F","W-UNPL-"&amp;RIGHT(Q501,20),Q501),'[1]Data Pule'!$C:$E,3,FALSE),0)*S501</f>
        <v>244.42560000000003</v>
      </c>
    </row>
    <row r="502" spans="3:20" x14ac:dyDescent="0.35">
      <c r="C502" s="1" t="s">
        <v>292</v>
      </c>
      <c r="D502">
        <v>384</v>
      </c>
      <c r="E502" s="3" t="str">
        <f>MID(C502,5,1)</f>
        <v>U</v>
      </c>
      <c r="F502" s="3"/>
      <c r="G502" s="3"/>
      <c r="H502" s="3"/>
      <c r="I502" s="3"/>
      <c r="J502" s="3"/>
      <c r="K502" s="3"/>
      <c r="L502" s="1" t="str">
        <f>MID(C502,3,17)</f>
        <v>ACUP-65D26RX-B1C4</v>
      </c>
      <c r="M502" s="1" t="str">
        <f>VLOOKUP(L502,'[1]Plate Infor'!$B:$C,2,FALSE)</f>
        <v>W-UNPL-CG82PXX-L870-02-7S00</v>
      </c>
      <c r="N502" s="1" t="str">
        <f>VLOOKUP(MID(M502,8,4),'[1]Tipe Plate'!$C:$D,2,FALSE)</f>
        <v>Grid Casting</v>
      </c>
      <c r="O502" s="4">
        <f>VLOOKUP(L502,'[1]Plate Infor'!$B:$D,3,FALSE)*D502</f>
        <v>5760</v>
      </c>
      <c r="P502" s="4">
        <f>IFERROR(VLOOKUP(IF(MID(M502,3,1)="F","W-UNPL-"&amp;RIGHT(M502,20),M502),'[1]Data Pule'!$C:$E,3,FALSE),0)*O502</f>
        <v>740.15999999999985</v>
      </c>
      <c r="Q502" s="1" t="str">
        <f>VLOOKUP(L502,'[1]Plate Infor'!$B:$E,4,FALSE)</f>
        <v>W-UNPL-CG87NXX-T3L0-02-7S00</v>
      </c>
      <c r="R502" s="1" t="str">
        <f>VLOOKUP(MID(Q502,8,4),'[1]Tipe Plate'!$C:$D,2,FALSE)</f>
        <v>Grid Casting</v>
      </c>
      <c r="S502" s="4">
        <f>VLOOKUP(L502,'[1]Plate Infor'!$B:$F,5,FALSE)*D502</f>
        <v>6912</v>
      </c>
      <c r="T502" s="4">
        <f>IFERROR(VLOOKUP(IF(MID(Q502,3,1)="F","W-UNPL-"&amp;RIGHT(Q502,20),Q502),'[1]Data Pule'!$C:$E,3,FALSE),0)*S502</f>
        <v>794.88</v>
      </c>
    </row>
    <row r="503" spans="3:20" x14ac:dyDescent="0.35">
      <c r="C503" s="1" t="s">
        <v>340</v>
      </c>
      <c r="D503">
        <v>384</v>
      </c>
      <c r="E503" s="3" t="str">
        <f>MID(C503,5,1)</f>
        <v>U</v>
      </c>
      <c r="F503" s="3"/>
      <c r="G503" s="3"/>
      <c r="H503" s="3"/>
      <c r="I503" s="3"/>
      <c r="J503" s="3"/>
      <c r="K503" s="3"/>
      <c r="L503" s="1" t="str">
        <f>MID(C503,3,17)</f>
        <v>ACUP-65D26LX-B1C4</v>
      </c>
      <c r="M503" s="1" t="str">
        <f>VLOOKUP(L503,'[1]Plate Infor'!$B:$C,2,FALSE)</f>
        <v>W-UNPL-CG82PXX-L870-02-7S00</v>
      </c>
      <c r="N503" s="1" t="str">
        <f>VLOOKUP(MID(M503,8,4),'[1]Tipe Plate'!$C:$D,2,FALSE)</f>
        <v>Grid Casting</v>
      </c>
      <c r="O503" s="4">
        <f>VLOOKUP(L503,'[1]Plate Infor'!$B:$D,3,FALSE)*D503</f>
        <v>5760</v>
      </c>
      <c r="P503" s="4">
        <f>IFERROR(VLOOKUP(IF(MID(M503,3,1)="F","W-UNPL-"&amp;RIGHT(M503,20),M503),'[1]Data Pule'!$C:$E,3,FALSE),0)*O503</f>
        <v>740.15999999999985</v>
      </c>
      <c r="Q503" s="1" t="str">
        <f>VLOOKUP(L503,'[1]Plate Infor'!$B:$E,4,FALSE)</f>
        <v>W-UNPL-CG87NXX-T3L0-02-7S00</v>
      </c>
      <c r="R503" s="1" t="str">
        <f>VLOOKUP(MID(Q503,8,4),'[1]Tipe Plate'!$C:$D,2,FALSE)</f>
        <v>Grid Casting</v>
      </c>
      <c r="S503" s="4">
        <f>VLOOKUP(L503,'[1]Plate Infor'!$B:$F,5,FALSE)*D503</f>
        <v>6912</v>
      </c>
      <c r="T503" s="4">
        <f>IFERROR(VLOOKUP(IF(MID(Q503,3,1)="F","W-UNPL-"&amp;RIGHT(Q503,20),Q503),'[1]Data Pule'!$C:$E,3,FALSE),0)*S503</f>
        <v>794.88</v>
      </c>
    </row>
    <row r="504" spans="3:20" x14ac:dyDescent="0.35">
      <c r="C504" s="1" t="s">
        <v>381</v>
      </c>
      <c r="D504">
        <v>112</v>
      </c>
      <c r="E504" s="3" t="str">
        <f>MID(C504,5,1)</f>
        <v>U</v>
      </c>
      <c r="F504" s="3"/>
      <c r="G504" s="3"/>
      <c r="H504" s="3"/>
      <c r="I504" s="3"/>
      <c r="J504" s="3"/>
      <c r="K504" s="3"/>
      <c r="L504" s="1" t="str">
        <f>MID(C504,3,17)</f>
        <v>ACUP-55D23LX-B0C3</v>
      </c>
      <c r="M504" s="1" t="str">
        <f>VLOOKUP(L504,'[1]Plate Infor'!$B:$C,2,FALSE)</f>
        <v>W-UNPL-CG80PXX-L870-02-7S00</v>
      </c>
      <c r="N504" s="1" t="str">
        <f>VLOOKUP(MID(M504,8,4),'[1]Tipe Plate'!$C:$D,2,FALSE)</f>
        <v>Grid Casting</v>
      </c>
      <c r="O504" s="4">
        <f>VLOOKUP(L504,'[1]Plate Infor'!$B:$D,3,FALSE)*D504</f>
        <v>1680</v>
      </c>
      <c r="P504" s="4">
        <f>IFERROR(VLOOKUP(IF(MID(M504,3,1)="F","W-UNPL-"&amp;RIGHT(M504,20),M504),'[1]Data Pule'!$C:$E,3,FALSE),0)*O504</f>
        <v>253.84799999999998</v>
      </c>
      <c r="Q504" s="1" t="str">
        <f>VLOOKUP(L504,'[1]Plate Infor'!$B:$E,4,FALSE)</f>
        <v>W-UNPL-CG85NXX-T3L0-02-7S00</v>
      </c>
      <c r="R504" s="1" t="str">
        <f>VLOOKUP(MID(Q504,8,4),'[1]Tipe Plate'!$C:$D,2,FALSE)</f>
        <v>Grid Casting</v>
      </c>
      <c r="S504" s="4">
        <f>VLOOKUP(L504,'[1]Plate Infor'!$B:$F,5,FALSE)*D504</f>
        <v>1680</v>
      </c>
      <c r="T504" s="4">
        <f>IFERROR(VLOOKUP(IF(MID(Q504,3,1)="F","W-UNPL-"&amp;RIGHT(Q504,20),Q504),'[1]Data Pule'!$C:$E,3,FALSE),0)*S504</f>
        <v>219.57599999999996</v>
      </c>
    </row>
    <row r="505" spans="3:20" x14ac:dyDescent="0.35">
      <c r="C505" s="1" t="s">
        <v>293</v>
      </c>
      <c r="D505">
        <v>420</v>
      </c>
      <c r="E505" s="3" t="str">
        <f>MID(C505,5,1)</f>
        <v>U</v>
      </c>
      <c r="F505" s="3"/>
      <c r="G505" s="3"/>
      <c r="H505" s="3"/>
      <c r="I505" s="3"/>
      <c r="J505" s="3"/>
      <c r="K505" s="3"/>
      <c r="L505" s="1" t="str">
        <f>MID(C505,3,17)</f>
        <v>ACUP-95D31RX-B3C5</v>
      </c>
      <c r="M505" s="1" t="str">
        <f>VLOOKUP(L505,'[1]Plate Infor'!$B:$C,2,FALSE)</f>
        <v>W-UNPL-CG82PXX-L870-02-7S00</v>
      </c>
      <c r="N505" s="1" t="str">
        <f>VLOOKUP(MID(M505,8,4),'[1]Tipe Plate'!$C:$D,2,FALSE)</f>
        <v>Grid Casting</v>
      </c>
      <c r="O505" s="4">
        <f>VLOOKUP(L505,'[1]Plate Infor'!$B:$D,3,FALSE)*D505</f>
        <v>7560</v>
      </c>
      <c r="P505" s="4">
        <f>IFERROR(VLOOKUP(IF(MID(M505,3,1)="F","W-UNPL-"&amp;RIGHT(M505,20),M505),'[1]Data Pule'!$C:$E,3,FALSE),0)*O505</f>
        <v>971.45999999999981</v>
      </c>
      <c r="Q505" s="1" t="str">
        <f>VLOOKUP(L505,'[1]Plate Infor'!$B:$E,4,FALSE)</f>
        <v>W-UNPL-CG87NXX-T3L0-02-7S00</v>
      </c>
      <c r="R505" s="1" t="str">
        <f>VLOOKUP(MID(Q505,8,4),'[1]Tipe Plate'!$C:$D,2,FALSE)</f>
        <v>Grid Casting</v>
      </c>
      <c r="S505" s="4">
        <f>VLOOKUP(L505,'[1]Plate Infor'!$B:$F,5,FALSE)*D505</f>
        <v>8820</v>
      </c>
      <c r="T505" s="4">
        <f>IFERROR(VLOOKUP(IF(MID(Q505,3,1)="F","W-UNPL-"&amp;RIGHT(Q505,20),Q505),'[1]Data Pule'!$C:$E,3,FALSE),0)*S505</f>
        <v>1014.3000000000001</v>
      </c>
    </row>
    <row r="506" spans="3:20" x14ac:dyDescent="0.35">
      <c r="C506" s="1" t="s">
        <v>294</v>
      </c>
      <c r="D506">
        <v>84</v>
      </c>
      <c r="E506" s="3" t="str">
        <f>MID(C506,5,1)</f>
        <v>U</v>
      </c>
      <c r="F506" s="3"/>
      <c r="G506" s="3"/>
      <c r="H506" s="3"/>
      <c r="I506" s="3"/>
      <c r="J506" s="3"/>
      <c r="K506" s="3"/>
      <c r="L506" s="1" t="str">
        <f>MID(C506,3,17)</f>
        <v>ACUP-75D31LX-B5C3</v>
      </c>
      <c r="M506" s="1" t="str">
        <f>VLOOKUP(L506,'[1]Plate Infor'!$B:$C,2,FALSE)</f>
        <v>W-UNPL-CG82PXX-L870-02-7S00</v>
      </c>
      <c r="N506" s="1" t="str">
        <f>VLOOKUP(MID(M506,8,4),'[1]Tipe Plate'!$C:$D,2,FALSE)</f>
        <v>Grid Casting</v>
      </c>
      <c r="O506" s="4">
        <f>VLOOKUP(L506,'[1]Plate Infor'!$B:$D,3,FALSE)*D506</f>
        <v>1764</v>
      </c>
      <c r="P506" s="4">
        <f>IFERROR(VLOOKUP(IF(MID(M506,3,1)="F","W-UNPL-"&amp;RIGHT(M506,20),M506),'[1]Data Pule'!$C:$E,3,FALSE),0)*O506</f>
        <v>226.67399999999995</v>
      </c>
      <c r="Q506" s="1" t="str">
        <f>VLOOKUP(L506,'[1]Plate Infor'!$B:$E,4,FALSE)</f>
        <v>W-UNPL-CG87NXX-T3L0-02-7S00</v>
      </c>
      <c r="R506" s="1" t="str">
        <f>VLOOKUP(MID(Q506,8,4),'[1]Tipe Plate'!$C:$D,2,FALSE)</f>
        <v>Grid Casting</v>
      </c>
      <c r="S506" s="4">
        <f>VLOOKUP(L506,'[1]Plate Infor'!$B:$F,5,FALSE)*D506</f>
        <v>2016</v>
      </c>
      <c r="T506" s="4">
        <f>IFERROR(VLOOKUP(IF(MID(Q506,3,1)="F","W-UNPL-"&amp;RIGHT(Q506,20),Q506),'[1]Data Pule'!$C:$E,3,FALSE),0)*S506</f>
        <v>231.84</v>
      </c>
    </row>
    <row r="507" spans="3:20" x14ac:dyDescent="0.35">
      <c r="C507" s="1" t="s">
        <v>298</v>
      </c>
      <c r="D507">
        <v>360</v>
      </c>
      <c r="E507" s="3" t="str">
        <f>MID(C507,5,1)</f>
        <v>U</v>
      </c>
      <c r="F507" s="3"/>
      <c r="G507" s="3"/>
      <c r="H507" s="3"/>
      <c r="I507" s="3"/>
      <c r="J507" s="3"/>
      <c r="K507" s="3"/>
      <c r="L507" s="1" t="str">
        <f>MID(C507,3,17)</f>
        <v>ACUP-115F51X-C1C3</v>
      </c>
      <c r="M507" s="1" t="str">
        <f>VLOOKUP(L507,'[1]Plate Infor'!$B:$C,2,FALSE)</f>
        <v>W-UNPL-CG80PXX-L870-02-7S00</v>
      </c>
      <c r="N507" s="1" t="str">
        <f>VLOOKUP(MID(M507,8,4),'[1]Tipe Plate'!$C:$D,2,FALSE)</f>
        <v>Grid Casting</v>
      </c>
      <c r="O507" s="4">
        <f>VLOOKUP(L507,'[1]Plate Infor'!$B:$D,3,FALSE)*D507</f>
        <v>10800</v>
      </c>
      <c r="P507" s="4">
        <f>IFERROR(VLOOKUP(IF(MID(M507,3,1)="F","W-UNPL-"&amp;RIGHT(M507,20),M507),'[1]Data Pule'!$C:$E,3,FALSE),0)*O507</f>
        <v>1631.8799999999999</v>
      </c>
      <c r="Q507" s="1" t="str">
        <f>VLOOKUP(L507,'[1]Plate Infor'!$B:$E,4,FALSE)</f>
        <v>W-UNPL-CG87NXX-T3L0-02-7S00</v>
      </c>
      <c r="R507" s="1" t="str">
        <f>VLOOKUP(MID(Q507,8,4),'[1]Tipe Plate'!$C:$D,2,FALSE)</f>
        <v>Grid Casting</v>
      </c>
      <c r="S507" s="4">
        <f>VLOOKUP(L507,'[1]Plate Infor'!$B:$F,5,FALSE)*D507</f>
        <v>11880</v>
      </c>
      <c r="T507" s="4">
        <f>IFERROR(VLOOKUP(IF(MID(Q507,3,1)="F","W-UNPL-"&amp;RIGHT(Q507,20),Q507),'[1]Data Pule'!$C:$E,3,FALSE),0)*S507</f>
        <v>1366.2</v>
      </c>
    </row>
    <row r="508" spans="3:20" x14ac:dyDescent="0.35">
      <c r="C508" s="1" t="s">
        <v>303</v>
      </c>
      <c r="D508">
        <v>675</v>
      </c>
      <c r="E508" s="3" t="str">
        <f>MID(C508,5,1)</f>
        <v>U</v>
      </c>
      <c r="F508" s="3"/>
      <c r="G508" s="3"/>
      <c r="H508" s="3"/>
      <c r="I508" s="3"/>
      <c r="J508" s="3"/>
      <c r="K508" s="3"/>
      <c r="L508" s="1" t="str">
        <f>MID(C508,3,17)</f>
        <v>AMUP-36B20LX-A9P4</v>
      </c>
      <c r="M508" s="1" t="str">
        <f>VLOOKUP(L508,'[1]Plate Infor'!$B:$C,2,FALSE)</f>
        <v>W-UNPL-WM84PXX-L65F-00-7S00</v>
      </c>
      <c r="N508" s="1" t="str">
        <f>VLOOKUP(MID(M508,8,4),'[1]Tipe Plate'!$C:$D,2,FALSE)</f>
        <v>Grid Casting</v>
      </c>
      <c r="O508" s="4">
        <f>VLOOKUP(L508,'[1]Plate Infor'!$B:$D,3,FALSE)*D508</f>
        <v>8100</v>
      </c>
      <c r="P508" s="4">
        <f>IFERROR(VLOOKUP(IF(MID(M508,3,1)="F","W-UNPL-"&amp;RIGHT(M508,20),M508),'[1]Data Pule'!$C:$E,3,FALSE),0)*O508</f>
        <v>922.59</v>
      </c>
      <c r="Q508" s="1" t="str">
        <f>VLOOKUP(L508,'[1]Plate Infor'!$B:$E,4,FALSE)</f>
        <v>W-UNPL-WM85NXX-T3AF-00-7S00</v>
      </c>
      <c r="R508" s="1" t="str">
        <f>VLOOKUP(MID(Q508,8,4),'[1]Tipe Plate'!$C:$D,2,FALSE)</f>
        <v>Grid Punching</v>
      </c>
      <c r="S508" s="4">
        <f>VLOOKUP(L508,'[1]Plate Infor'!$B:$F,5,FALSE)*D508</f>
        <v>10125</v>
      </c>
      <c r="T508" s="4">
        <f>IFERROR(VLOOKUP(IF(MID(Q508,3,1)="F","W-UNPL-"&amp;RIGHT(Q508,20),Q508),'[1]Data Pule'!$C:$E,3,FALSE),0)*S508</f>
        <v>1076.2875000000001</v>
      </c>
    </row>
    <row r="509" spans="3:20" x14ac:dyDescent="0.35">
      <c r="C509" s="1" t="s">
        <v>382</v>
      </c>
      <c r="D509">
        <v>216</v>
      </c>
      <c r="E509" s="3" t="str">
        <f>MID(C509,5,1)</f>
        <v>U</v>
      </c>
      <c r="F509" s="3"/>
      <c r="G509" s="3"/>
      <c r="H509" s="3"/>
      <c r="I509" s="3"/>
      <c r="J509" s="3"/>
      <c r="K509" s="3"/>
      <c r="L509" s="1" t="str">
        <f>MID(C509,3,17)</f>
        <v>AMUP-50B24LX-B1P3</v>
      </c>
      <c r="M509" s="1" t="str">
        <f>VLOOKUP(L509,'[1]Plate Infor'!$B:$C,2,FALSE)</f>
        <v>W-UNPL-WM84PXX-L65F-00-7S00</v>
      </c>
      <c r="N509" s="1" t="str">
        <f>VLOOKUP(MID(M509,8,4),'[1]Tipe Plate'!$C:$D,2,FALSE)</f>
        <v>Grid Casting</v>
      </c>
      <c r="O509" s="4">
        <f>VLOOKUP(L509,'[1]Plate Infor'!$B:$D,3,FALSE)*D509</f>
        <v>3888</v>
      </c>
      <c r="P509" s="4">
        <f>IFERROR(VLOOKUP(IF(MID(M509,3,1)="F","W-UNPL-"&amp;RIGHT(M509,20),M509),'[1]Data Pule'!$C:$E,3,FALSE),0)*O509</f>
        <v>442.84320000000002</v>
      </c>
      <c r="Q509" s="1" t="str">
        <f>VLOOKUP(L509,'[1]Plate Infor'!$B:$E,4,FALSE)</f>
        <v>W-UNPL-WM85NXX-T3AF-00-7S00</v>
      </c>
      <c r="R509" s="1" t="str">
        <f>VLOOKUP(MID(Q509,8,4),'[1]Tipe Plate'!$C:$D,2,FALSE)</f>
        <v>Grid Punching</v>
      </c>
      <c r="S509" s="4">
        <f>VLOOKUP(L509,'[1]Plate Infor'!$B:$F,5,FALSE)*D509</f>
        <v>3240</v>
      </c>
      <c r="T509" s="4">
        <f>IFERROR(VLOOKUP(IF(MID(Q509,3,1)="F","W-UNPL-"&amp;RIGHT(Q509,20),Q509),'[1]Data Pule'!$C:$E,3,FALSE),0)*S509</f>
        <v>344.41200000000003</v>
      </c>
    </row>
    <row r="510" spans="3:20" x14ac:dyDescent="0.35">
      <c r="C510" s="1" t="s">
        <v>383</v>
      </c>
      <c r="D510">
        <v>192</v>
      </c>
      <c r="E510" s="3" t="str">
        <f>MID(C510,5,1)</f>
        <v>U</v>
      </c>
      <c r="F510" s="3"/>
      <c r="G510" s="3"/>
      <c r="H510" s="3"/>
      <c r="I510" s="3"/>
      <c r="J510" s="3"/>
      <c r="K510" s="3"/>
      <c r="L510" s="1" t="str">
        <f>MID(C510,3,17)</f>
        <v>AVUP-65D26RX-B0A4</v>
      </c>
      <c r="M510" s="1" t="str">
        <f>VLOOKUP(L510,'[1]Plate Infor'!$B:$C,2,FALSE)</f>
        <v>W-UNPL-CG85EPX-L870-02-7C00</v>
      </c>
      <c r="N510" s="1" t="str">
        <f>VLOOKUP(MID(M510,8,4),'[1]Tipe Plate'!$C:$D,2,FALSE)</f>
        <v>Grid Casting</v>
      </c>
      <c r="O510" s="4">
        <f>VLOOKUP(L510,'[1]Plate Infor'!$B:$D,3,FALSE)*D510</f>
        <v>2880</v>
      </c>
      <c r="P510" s="4">
        <f>IFERROR(VLOOKUP(IF(MID(M510,3,1)="F","W-UNPL-"&amp;RIGHT(M510,20),M510),'[1]Data Pule'!$C:$E,3,FALSE),0)*O510</f>
        <v>351.93600000000004</v>
      </c>
      <c r="Q510" s="1" t="str">
        <f>VLOOKUP(L510,'[1]Plate Infor'!$B:$E,4,FALSE)</f>
        <v>W-UNPL-WG87NXX-T3AF-00-7C00</v>
      </c>
      <c r="R510" s="1" t="str">
        <f>VLOOKUP(MID(Q510,8,4),'[1]Tipe Plate'!$C:$D,2,FALSE)</f>
        <v>Grid Punching</v>
      </c>
      <c r="S510" s="4">
        <f>VLOOKUP(L510,'[1]Plate Infor'!$B:$F,5,FALSE)*D510</f>
        <v>2880</v>
      </c>
      <c r="T510" s="4">
        <f>IFERROR(VLOOKUP(IF(MID(Q510,3,1)="F","W-UNPL-"&amp;RIGHT(Q510,20),Q510),'[1]Data Pule'!$C:$E,3,FALSE),0)*S510</f>
        <v>376.41599999999994</v>
      </c>
    </row>
    <row r="511" spans="3:20" x14ac:dyDescent="0.35">
      <c r="C511" s="1" t="s">
        <v>307</v>
      </c>
      <c r="D511">
        <v>288</v>
      </c>
      <c r="E511" s="3" t="str">
        <f>MID(C511,5,1)</f>
        <v>U</v>
      </c>
      <c r="F511" s="3"/>
      <c r="G511" s="3"/>
      <c r="H511" s="3"/>
      <c r="I511" s="3"/>
      <c r="J511" s="3"/>
      <c r="K511" s="3"/>
      <c r="L511" s="1" t="str">
        <f>MID(C511,3,17)</f>
        <v>AVUP-65D26LX-B0A4</v>
      </c>
      <c r="M511" s="1" t="str">
        <f>VLOOKUP(L511,'[1]Plate Infor'!$B:$C,2,FALSE)</f>
        <v>W-UNPL-CG85EPX-L870-02-7C00</v>
      </c>
      <c r="N511" s="1" t="str">
        <f>VLOOKUP(MID(M511,8,4),'[1]Tipe Plate'!$C:$D,2,FALSE)</f>
        <v>Grid Casting</v>
      </c>
      <c r="O511" s="4">
        <f>VLOOKUP(L511,'[1]Plate Infor'!$B:$D,3,FALSE)*D511</f>
        <v>4320</v>
      </c>
      <c r="P511" s="4">
        <f>IFERROR(VLOOKUP(IF(MID(M511,3,1)="F","W-UNPL-"&amp;RIGHT(M511,20),M511),'[1]Data Pule'!$C:$E,3,FALSE),0)*O511</f>
        <v>527.904</v>
      </c>
      <c r="Q511" s="1" t="str">
        <f>VLOOKUP(L511,'[1]Plate Infor'!$B:$E,4,FALSE)</f>
        <v>W-UNPL-WG87NXX-T3AF-00-7C00</v>
      </c>
      <c r="R511" s="1" t="str">
        <f>VLOOKUP(MID(Q511,8,4),'[1]Tipe Plate'!$C:$D,2,FALSE)</f>
        <v>Grid Punching</v>
      </c>
      <c r="S511" s="4">
        <f>VLOOKUP(L511,'[1]Plate Infor'!$B:$F,5,FALSE)*D511</f>
        <v>4320</v>
      </c>
      <c r="T511" s="4">
        <f>IFERROR(VLOOKUP(IF(MID(Q511,3,1)="F","W-UNPL-"&amp;RIGHT(Q511,20),Q511),'[1]Data Pule'!$C:$E,3,FALSE),0)*S511</f>
        <v>564.62399999999991</v>
      </c>
    </row>
    <row r="512" spans="3:20" x14ac:dyDescent="0.35">
      <c r="C512" s="1" t="s">
        <v>299</v>
      </c>
      <c r="D512">
        <v>1200</v>
      </c>
      <c r="E512" s="3" t="str">
        <f>MID(C512,5,1)</f>
        <v>U</v>
      </c>
      <c r="F512" s="3"/>
      <c r="G512" s="3"/>
      <c r="H512" s="3"/>
      <c r="I512" s="3"/>
      <c r="J512" s="3"/>
      <c r="K512" s="3"/>
      <c r="L512" s="1" t="str">
        <f>MID(C512,3,17)</f>
        <v>ACUP-145G51X-C3C5</v>
      </c>
      <c r="M512" s="1" t="str">
        <f>VLOOKUP(L512,'[1]Plate Infor'!$B:$C,2,FALSE)</f>
        <v>W-UNPL-CG82PXX-L870-02-7S00</v>
      </c>
      <c r="N512" s="1" t="str">
        <f>VLOOKUP(MID(M512,8,4),'[1]Tipe Plate'!$C:$D,2,FALSE)</f>
        <v>Grid Casting</v>
      </c>
      <c r="O512" s="4">
        <f>VLOOKUP(L512,'[1]Plate Infor'!$B:$D,3,FALSE)*D512</f>
        <v>39600</v>
      </c>
      <c r="P512" s="4">
        <f>IFERROR(VLOOKUP(IF(MID(M512,3,1)="F","W-UNPL-"&amp;RIGHT(M512,20),M512),'[1]Data Pule'!$C:$E,3,FALSE),0)*O512</f>
        <v>5088.5999999999995</v>
      </c>
      <c r="Q512" s="1" t="str">
        <f>VLOOKUP(L512,'[1]Plate Infor'!$B:$E,4,FALSE)</f>
        <v>W-UNPL-CG87NXX-T3L0-02-7S00</v>
      </c>
      <c r="R512" s="1" t="str">
        <f>VLOOKUP(MID(Q512,8,4),'[1]Tipe Plate'!$C:$D,2,FALSE)</f>
        <v>Grid Casting</v>
      </c>
      <c r="S512" s="4">
        <f>VLOOKUP(L512,'[1]Plate Infor'!$B:$F,5,FALSE)*D512</f>
        <v>43200</v>
      </c>
      <c r="T512" s="4">
        <f>IFERROR(VLOOKUP(IF(MID(Q512,3,1)="F","W-UNPL-"&amp;RIGHT(Q512,20),Q512),'[1]Data Pule'!$C:$E,3,FALSE),0)*S512</f>
        <v>4968</v>
      </c>
    </row>
    <row r="513" spans="3:20" x14ac:dyDescent="0.35">
      <c r="C513" s="1" t="s">
        <v>291</v>
      </c>
      <c r="D513">
        <v>288</v>
      </c>
      <c r="E513" s="3" t="str">
        <f>MID(C513,5,1)</f>
        <v>U</v>
      </c>
      <c r="F513" s="3"/>
      <c r="G513" s="3"/>
      <c r="H513" s="3"/>
      <c r="I513" s="3"/>
      <c r="J513" s="3"/>
      <c r="K513" s="3"/>
      <c r="L513" s="1" t="str">
        <f>MID(C513,3,17)</f>
        <v>ACUP-65D26LX-A9C5</v>
      </c>
      <c r="M513" s="1" t="str">
        <f>VLOOKUP(L513,'[1]Plate Infor'!$B:$C,2,FALSE)</f>
        <v>W-UNPL-CG80PXX-L870-02-7S00</v>
      </c>
      <c r="N513" s="1" t="str">
        <f>VLOOKUP(MID(M513,8,4),'[1]Tipe Plate'!$C:$D,2,FALSE)</f>
        <v>Grid Casting</v>
      </c>
      <c r="O513" s="4">
        <f>VLOOKUP(L513,'[1]Plate Infor'!$B:$D,3,FALSE)*D513</f>
        <v>3456</v>
      </c>
      <c r="P513" s="4">
        <f>IFERROR(VLOOKUP(IF(MID(M513,3,1)="F","W-UNPL-"&amp;RIGHT(M513,20),M513),'[1]Data Pule'!$C:$E,3,FALSE),0)*O513</f>
        <v>522.20159999999998</v>
      </c>
      <c r="Q513" s="1" t="str">
        <f>VLOOKUP(L513,'[1]Plate Infor'!$B:$E,4,FALSE)</f>
        <v>W-UNPL-CG87NXX-T3L0-02-7S00</v>
      </c>
      <c r="R513" s="1" t="str">
        <f>VLOOKUP(MID(Q513,8,4),'[1]Tipe Plate'!$C:$D,2,FALSE)</f>
        <v>Grid Casting</v>
      </c>
      <c r="S513" s="4">
        <f>VLOOKUP(L513,'[1]Plate Infor'!$B:$F,5,FALSE)*D513</f>
        <v>4320</v>
      </c>
      <c r="T513" s="4">
        <f>IFERROR(VLOOKUP(IF(MID(Q513,3,1)="F","W-UNPL-"&amp;RIGHT(Q513,20),Q513),'[1]Data Pule'!$C:$E,3,FALSE),0)*S513</f>
        <v>496.8</v>
      </c>
    </row>
    <row r="514" spans="3:20" x14ac:dyDescent="0.35">
      <c r="C514" s="1" t="s">
        <v>307</v>
      </c>
      <c r="D514">
        <v>96</v>
      </c>
      <c r="E514" s="3" t="str">
        <f>MID(C514,5,1)</f>
        <v>U</v>
      </c>
      <c r="F514" s="3"/>
      <c r="G514" s="3"/>
      <c r="H514" s="3"/>
      <c r="I514" s="3"/>
      <c r="J514" s="3"/>
      <c r="K514" s="3"/>
      <c r="L514" s="1" t="str">
        <f>MID(C514,3,17)</f>
        <v>AVUP-65D26LX-B0A4</v>
      </c>
      <c r="M514" s="1" t="str">
        <f>VLOOKUP(L514,'[1]Plate Infor'!$B:$C,2,FALSE)</f>
        <v>W-UNPL-CG85EPX-L870-02-7C00</v>
      </c>
      <c r="N514" s="1" t="str">
        <f>VLOOKUP(MID(M514,8,4),'[1]Tipe Plate'!$C:$D,2,FALSE)</f>
        <v>Grid Casting</v>
      </c>
      <c r="O514" s="4">
        <f>VLOOKUP(L514,'[1]Plate Infor'!$B:$D,3,FALSE)*D514</f>
        <v>1440</v>
      </c>
      <c r="P514" s="4">
        <f>IFERROR(VLOOKUP(IF(MID(M514,3,1)="F","W-UNPL-"&amp;RIGHT(M514,20),M514),'[1]Data Pule'!$C:$E,3,FALSE),0)*O514</f>
        <v>175.96800000000002</v>
      </c>
      <c r="Q514" s="1" t="str">
        <f>VLOOKUP(L514,'[1]Plate Infor'!$B:$E,4,FALSE)</f>
        <v>W-UNPL-WG87NXX-T3AF-00-7C00</v>
      </c>
      <c r="R514" s="1" t="str">
        <f>VLOOKUP(MID(Q514,8,4),'[1]Tipe Plate'!$C:$D,2,FALSE)</f>
        <v>Grid Punching</v>
      </c>
      <c r="S514" s="4">
        <f>VLOOKUP(L514,'[1]Plate Infor'!$B:$F,5,FALSE)*D514</f>
        <v>1440</v>
      </c>
      <c r="T514" s="4">
        <f>IFERROR(VLOOKUP(IF(MID(Q514,3,1)="F","W-UNPL-"&amp;RIGHT(Q514,20),Q514),'[1]Data Pule'!$C:$E,3,FALSE),0)*S514</f>
        <v>188.20799999999997</v>
      </c>
    </row>
    <row r="515" spans="3:20" x14ac:dyDescent="0.35">
      <c r="C515" s="1" t="s">
        <v>384</v>
      </c>
      <c r="D515">
        <v>96</v>
      </c>
      <c r="E515" s="3" t="str">
        <f>MID(C515,5,1)</f>
        <v>U</v>
      </c>
      <c r="F515" s="3"/>
      <c r="G515" s="3"/>
      <c r="H515" s="3"/>
      <c r="I515" s="3"/>
      <c r="J515" s="3"/>
      <c r="K515" s="3"/>
      <c r="L515" s="1" t="str">
        <f>MID(C515,3,17)</f>
        <v>AMUP-65D23LX-B0P3</v>
      </c>
      <c r="M515" s="1" t="str">
        <f>VLOOKUP(L515,'[1]Plate Infor'!$B:$C,2,FALSE)</f>
        <v>W-UNPL-WG83PXX-L65F-00-7C00</v>
      </c>
      <c r="N515" s="1" t="str">
        <f>VLOOKUP(MID(M515,8,4),'[1]Tipe Plate'!$C:$D,2,FALSE)</f>
        <v>Grid Punching</v>
      </c>
      <c r="O515" s="4">
        <f>VLOOKUP(L515,'[1]Plate Infor'!$B:$D,3,FALSE)*D515</f>
        <v>1440</v>
      </c>
      <c r="P515" s="4">
        <f>IFERROR(VLOOKUP(IF(MID(M515,3,1)="F","W-UNPL-"&amp;RIGHT(M515,20),M515),'[1]Data Pule'!$C:$E,3,FALSE),0)*O515</f>
        <v>243.79199999999997</v>
      </c>
      <c r="Q515" s="1" t="str">
        <f>VLOOKUP(L515,'[1]Plate Infor'!$B:$E,4,FALSE)</f>
        <v>W-UNPL-WG87NXX-T3AF-00-7C00</v>
      </c>
      <c r="R515" s="1" t="str">
        <f>VLOOKUP(MID(Q515,8,4),'[1]Tipe Plate'!$C:$D,2,FALSE)</f>
        <v>Grid Punching</v>
      </c>
      <c r="S515" s="4">
        <f>VLOOKUP(L515,'[1]Plate Infor'!$B:$F,5,FALSE)*D515</f>
        <v>1440</v>
      </c>
      <c r="T515" s="4">
        <f>IFERROR(VLOOKUP(IF(MID(Q515,3,1)="F","W-UNPL-"&amp;RIGHT(Q515,20),Q515),'[1]Data Pule'!$C:$E,3,FALSE),0)*S515</f>
        <v>188.20799999999997</v>
      </c>
    </row>
    <row r="516" spans="3:20" x14ac:dyDescent="0.35">
      <c r="C516" s="1" t="s">
        <v>385</v>
      </c>
      <c r="D516">
        <v>112</v>
      </c>
      <c r="E516" s="3" t="str">
        <f>MID(C516,5,1)</f>
        <v>U</v>
      </c>
      <c r="F516" s="3"/>
      <c r="G516" s="3"/>
      <c r="H516" s="3"/>
      <c r="I516" s="3"/>
      <c r="J516" s="3"/>
      <c r="K516" s="3"/>
      <c r="L516" s="1" t="str">
        <f>MID(C516,3,17)</f>
        <v>AMUP-95E41RX-B5C4</v>
      </c>
      <c r="M516" s="1" t="str">
        <f>VLOOKUP(L516,'[1]Plate Infor'!$B:$C,2,FALSE)</f>
        <v>W-UNPL-YG8079P-L650-02-7S00</v>
      </c>
      <c r="N516" s="1" t="str">
        <f>VLOOKUP(MID(M516,8,4),'[1]Tipe Plate'!$C:$D,2,FALSE)</f>
        <v>Grid Casting</v>
      </c>
      <c r="O516" s="4">
        <f>VLOOKUP(L516,'[1]Plate Infor'!$B:$D,3,FALSE)*D516</f>
        <v>2352</v>
      </c>
      <c r="P516" s="4">
        <f>IFERROR(VLOOKUP(IF(MID(M516,3,1)="F","W-UNPL-"&amp;RIGHT(M516,20),M516),'[1]Data Pule'!$C:$E,3,FALSE),0)*O516</f>
        <v>371.61599999999999</v>
      </c>
      <c r="Q516" s="1" t="str">
        <f>VLOOKUP(L516,'[1]Plate Infor'!$B:$E,4,FALSE)</f>
        <v>W-UNPL-YG85NXX-T3A0-02-7S00</v>
      </c>
      <c r="R516" s="1" t="str">
        <f>VLOOKUP(MID(Q516,8,4),'[1]Tipe Plate'!$C:$D,2,FALSE)</f>
        <v>Grid Casting</v>
      </c>
      <c r="S516" s="4">
        <f>VLOOKUP(L516,'[1]Plate Infor'!$B:$F,5,FALSE)*D516</f>
        <v>2688</v>
      </c>
      <c r="T516" s="4">
        <f>IFERROR(VLOOKUP(IF(MID(Q516,3,1)="F","W-UNPL-"&amp;RIGHT(Q516,20),Q516),'[1]Data Pule'!$C:$E,3,FALSE),0)*S516</f>
        <v>351.32159999999993</v>
      </c>
    </row>
    <row r="517" spans="3:20" x14ac:dyDescent="0.35">
      <c r="C517" s="1" t="s">
        <v>342</v>
      </c>
      <c r="D517">
        <v>90</v>
      </c>
      <c r="E517" s="3" t="str">
        <f>MID(C517,5,1)</f>
        <v>U</v>
      </c>
      <c r="F517" s="3"/>
      <c r="G517" s="3"/>
      <c r="H517" s="3"/>
      <c r="I517" s="3"/>
      <c r="J517" s="3"/>
      <c r="K517" s="3"/>
      <c r="L517" s="1" t="str">
        <f>MID(C517,3,17)</f>
        <v>AMUP-145G51X-C5C4</v>
      </c>
      <c r="M517" s="1" t="str">
        <f>VLOOKUP(L517,'[1]Plate Infor'!$B:$C,2,FALSE)</f>
        <v>W-UNPL-YG82PXX-L650-02-7S00</v>
      </c>
      <c r="N517" s="1" t="str">
        <f>VLOOKUP(MID(M517,8,4),'[1]Tipe Plate'!$C:$D,2,FALSE)</f>
        <v>Grid Casting</v>
      </c>
      <c r="O517" s="4">
        <f>VLOOKUP(L517,'[1]Plate Infor'!$B:$D,3,FALSE)*D517</f>
        <v>3510</v>
      </c>
      <c r="P517" s="4">
        <f>IFERROR(VLOOKUP(IF(MID(M517,3,1)="F","W-UNPL-"&amp;RIGHT(M517,20),M517),'[1]Data Pule'!$C:$E,3,FALSE),0)*O517</f>
        <v>482.62499999999994</v>
      </c>
      <c r="Q517" s="1" t="str">
        <f>VLOOKUP(L517,'[1]Plate Infor'!$B:$E,4,FALSE)</f>
        <v>W-UNPL-YG85NXX-T3A0-02-7S00</v>
      </c>
      <c r="R517" s="1" t="str">
        <f>VLOOKUP(MID(Q517,8,4),'[1]Tipe Plate'!$C:$D,2,FALSE)</f>
        <v>Grid Casting</v>
      </c>
      <c r="S517" s="4">
        <f>VLOOKUP(L517,'[1]Plate Infor'!$B:$F,5,FALSE)*D517</f>
        <v>3240</v>
      </c>
      <c r="T517" s="4">
        <f>IFERROR(VLOOKUP(IF(MID(Q517,3,1)="F","W-UNPL-"&amp;RIGHT(Q517,20),Q517),'[1]Data Pule'!$C:$E,3,FALSE),0)*S517</f>
        <v>423.46799999999996</v>
      </c>
    </row>
    <row r="518" spans="3:20" x14ac:dyDescent="0.35">
      <c r="C518" s="1" t="s">
        <v>309</v>
      </c>
      <c r="D518">
        <v>120</v>
      </c>
      <c r="E518" s="3" t="str">
        <f>MID(C518,5,1)</f>
        <v>U</v>
      </c>
      <c r="F518" s="3"/>
      <c r="G518" s="3"/>
      <c r="H518" s="3"/>
      <c r="I518" s="3"/>
      <c r="J518" s="3"/>
      <c r="K518" s="3"/>
      <c r="L518" s="1" t="str">
        <f>MID(C518,3,17)</f>
        <v>AMUP-190H52X-D5C4</v>
      </c>
      <c r="M518" s="1" t="str">
        <f>VLOOKUP(L518,'[1]Plate Infor'!$B:$C,2,FALSE)</f>
        <v>W-UNPL-YG82PXX-L650-02-7S00</v>
      </c>
      <c r="N518" s="1" t="str">
        <f>VLOOKUP(MID(M518,8,4),'[1]Tipe Plate'!$C:$D,2,FALSE)</f>
        <v>Grid Casting</v>
      </c>
      <c r="O518" s="4">
        <f>VLOOKUP(L518,'[1]Plate Infor'!$B:$D,3,FALSE)*D518</f>
        <v>6480</v>
      </c>
      <c r="P518" s="4">
        <f>IFERROR(VLOOKUP(IF(MID(M518,3,1)="F","W-UNPL-"&amp;RIGHT(M518,20),M518),'[1]Data Pule'!$C:$E,3,FALSE),0)*O518</f>
        <v>890.99999999999989</v>
      </c>
      <c r="Q518" s="1" t="str">
        <f>VLOOKUP(L518,'[1]Plate Infor'!$B:$E,4,FALSE)</f>
        <v>W-UNPL-YG85NXX-T3A0-02-7S00</v>
      </c>
      <c r="R518" s="1" t="str">
        <f>VLOOKUP(MID(Q518,8,4),'[1]Tipe Plate'!$C:$D,2,FALSE)</f>
        <v>Grid Casting</v>
      </c>
      <c r="S518" s="4">
        <f>VLOOKUP(L518,'[1]Plate Infor'!$B:$F,5,FALSE)*D518</f>
        <v>6120</v>
      </c>
      <c r="T518" s="4">
        <f>IFERROR(VLOOKUP(IF(MID(Q518,3,1)="F","W-UNPL-"&amp;RIGHT(Q518,20),Q518),'[1]Data Pule'!$C:$E,3,FALSE),0)*S518</f>
        <v>799.8839999999999</v>
      </c>
    </row>
    <row r="519" spans="3:20" x14ac:dyDescent="0.35">
      <c r="C519" s="1" t="s">
        <v>326</v>
      </c>
      <c r="D519">
        <v>48</v>
      </c>
      <c r="E519" s="3" t="str">
        <f>MID(C519,5,1)</f>
        <v>U</v>
      </c>
      <c r="F519" s="3"/>
      <c r="G519" s="3"/>
      <c r="H519" s="3"/>
      <c r="I519" s="3"/>
      <c r="J519" s="3"/>
      <c r="K519" s="3"/>
      <c r="L519" s="1" t="str">
        <f>MID(C519,3,17)</f>
        <v>AMUP-60038LX-B8C3</v>
      </c>
      <c r="M519" s="1" t="str">
        <f>VLOOKUP(L519,'[1]Plate Infor'!$B:$C,2,FALSE)</f>
        <v>W-UNPL-YG79HDP-L650-02-7S00</v>
      </c>
      <c r="N519" s="1" t="str">
        <f>VLOOKUP(MID(M519,8,4),'[1]Tipe Plate'!$C:$D,2,FALSE)</f>
        <v>Grid Casting</v>
      </c>
      <c r="O519" s="4">
        <f>VLOOKUP(L519,'[1]Plate Infor'!$B:$D,3,FALSE)*D519</f>
        <v>1296</v>
      </c>
      <c r="P519" s="4">
        <f>IFERROR(VLOOKUP(IF(MID(M519,3,1)="F","W-UNPL-"&amp;RIGHT(M519,20),M519),'[1]Data Pule'!$C:$E,3,FALSE),0)*O519</f>
        <v>187.01279999999997</v>
      </c>
      <c r="Q519" s="1" t="str">
        <f>VLOOKUP(L519,'[1]Plate Infor'!$B:$E,4,FALSE)</f>
        <v>W-UNPL-YG85NXX-T3A0-02-7S00</v>
      </c>
      <c r="R519" s="1" t="str">
        <f>VLOOKUP(MID(Q519,8,4),'[1]Tipe Plate'!$C:$D,2,FALSE)</f>
        <v>Grid Casting</v>
      </c>
      <c r="S519" s="4">
        <f>VLOOKUP(L519,'[1]Plate Infor'!$B:$F,5,FALSE)*D519</f>
        <v>1296</v>
      </c>
      <c r="T519" s="4">
        <f>IFERROR(VLOOKUP(IF(MID(Q519,3,1)="F","W-UNPL-"&amp;RIGHT(Q519,20),Q519),'[1]Data Pule'!$C:$E,3,FALSE),0)*S519</f>
        <v>169.38719999999998</v>
      </c>
    </row>
    <row r="520" spans="3:20" x14ac:dyDescent="0.35">
      <c r="C520" s="1" t="s">
        <v>302</v>
      </c>
      <c r="D520">
        <v>84</v>
      </c>
      <c r="E520" s="3" t="str">
        <f>MID(C520,5,1)</f>
        <v>U</v>
      </c>
      <c r="F520" s="3"/>
      <c r="G520" s="3"/>
      <c r="H520" s="3"/>
      <c r="I520" s="3"/>
      <c r="J520" s="3"/>
      <c r="K520" s="3"/>
      <c r="L520" s="1" t="str">
        <f>MID(C520,3,17)</f>
        <v>ACUP-95D31LX-B7C3</v>
      </c>
      <c r="M520" s="1" t="str">
        <f>VLOOKUP(L520,'[1]Plate Infor'!$B:$C,2,FALSE)</f>
        <v>W-UNPL-CG85PXX-L870-02-7S00</v>
      </c>
      <c r="N520" s="1" t="str">
        <f>VLOOKUP(MID(M520,8,4),'[1]Tipe Plate'!$C:$D,2,FALSE)</f>
        <v>Grid Casting</v>
      </c>
      <c r="O520" s="4">
        <f>VLOOKUP(L520,'[1]Plate Infor'!$B:$D,3,FALSE)*D520</f>
        <v>2268</v>
      </c>
      <c r="P520" s="4">
        <f>IFERROR(VLOOKUP(IF(MID(M520,3,1)="F","W-UNPL-"&amp;RIGHT(M520,20),M520),'[1]Data Pule'!$C:$E,3,FALSE),0)*O520</f>
        <v>267.17040000000003</v>
      </c>
      <c r="Q520" s="1" t="str">
        <f>VLOOKUP(L520,'[1]Plate Infor'!$B:$E,4,FALSE)</f>
        <v>W-UNPL-CG85NXX-T3L0-02-7S00</v>
      </c>
      <c r="R520" s="1" t="str">
        <f>VLOOKUP(MID(Q520,8,4),'[1]Tipe Plate'!$C:$D,2,FALSE)</f>
        <v>Grid Casting</v>
      </c>
      <c r="S520" s="4">
        <f>VLOOKUP(L520,'[1]Plate Infor'!$B:$F,5,FALSE)*D520</f>
        <v>2016</v>
      </c>
      <c r="T520" s="4">
        <f>IFERROR(VLOOKUP(IF(MID(Q520,3,1)="F","W-UNPL-"&amp;RIGHT(Q520,20),Q520),'[1]Data Pule'!$C:$E,3,FALSE),0)*S520</f>
        <v>263.49119999999999</v>
      </c>
    </row>
    <row r="521" spans="3:20" x14ac:dyDescent="0.35">
      <c r="C521" s="1" t="s">
        <v>295</v>
      </c>
      <c r="D521">
        <v>192</v>
      </c>
      <c r="E521" s="3" t="str">
        <f>MID(C521,5,1)</f>
        <v>U</v>
      </c>
      <c r="F521" s="3"/>
      <c r="G521" s="3"/>
      <c r="H521" s="3"/>
      <c r="I521" s="3"/>
      <c r="J521" s="3"/>
      <c r="K521" s="3"/>
      <c r="L521" s="1" t="str">
        <f>MID(C521,3,17)</f>
        <v>ACUP-95E41RX-B5C4</v>
      </c>
      <c r="M521" s="1" t="str">
        <f>VLOOKUP(L521,'[1]Plate Infor'!$B:$C,2,FALSE)</f>
        <v>W-UNPL-CG80PXX-L870-02-7S00</v>
      </c>
      <c r="N521" s="1" t="str">
        <f>VLOOKUP(MID(M521,8,4),'[1]Tipe Plate'!$C:$D,2,FALSE)</f>
        <v>Grid Casting</v>
      </c>
      <c r="O521" s="4">
        <f>VLOOKUP(L521,'[1]Plate Infor'!$B:$D,3,FALSE)*D521</f>
        <v>4032</v>
      </c>
      <c r="P521" s="4">
        <f>IFERROR(VLOOKUP(IF(MID(M521,3,1)="F","W-UNPL-"&amp;RIGHT(M521,20),M521),'[1]Data Pule'!$C:$E,3,FALSE),0)*O521</f>
        <v>609.23519999999996</v>
      </c>
      <c r="Q521" s="1" t="str">
        <f>VLOOKUP(L521,'[1]Plate Infor'!$B:$E,4,FALSE)</f>
        <v>W-UNPL-CG87NXX-T3L0-02-7S00</v>
      </c>
      <c r="R521" s="1" t="str">
        <f>VLOOKUP(MID(Q521,8,4),'[1]Tipe Plate'!$C:$D,2,FALSE)</f>
        <v>Grid Casting</v>
      </c>
      <c r="S521" s="4">
        <f>VLOOKUP(L521,'[1]Plate Infor'!$B:$F,5,FALSE)*D521</f>
        <v>4608</v>
      </c>
      <c r="T521" s="4">
        <f>IFERROR(VLOOKUP(IF(MID(Q521,3,1)="F","W-UNPL-"&amp;RIGHT(Q521,20),Q521),'[1]Data Pule'!$C:$E,3,FALSE),0)*S521</f>
        <v>529.92000000000007</v>
      </c>
    </row>
    <row r="522" spans="3:20" x14ac:dyDescent="0.35">
      <c r="C522" s="1" t="s">
        <v>297</v>
      </c>
      <c r="D522">
        <v>720</v>
      </c>
      <c r="E522" s="3" t="str">
        <f>MID(C522,5,1)</f>
        <v>U</v>
      </c>
      <c r="F522" s="3"/>
      <c r="G522" s="3"/>
      <c r="H522" s="3"/>
      <c r="I522" s="3"/>
      <c r="J522" s="3"/>
      <c r="K522" s="3"/>
      <c r="L522" s="1" t="str">
        <f>MID(C522,3,17)</f>
        <v>ACUP-115F51X-B9C4</v>
      </c>
      <c r="M522" s="1" t="str">
        <f>VLOOKUP(L522,'[1]Plate Infor'!$B:$C,2,FALSE)</f>
        <v>W-UNPL-CG82PXX-L870-02-7S00</v>
      </c>
      <c r="N522" s="1" t="str">
        <f>VLOOKUP(MID(M522,8,4),'[1]Tipe Plate'!$C:$D,2,FALSE)</f>
        <v>Grid Casting</v>
      </c>
      <c r="O522" s="4">
        <f>VLOOKUP(L522,'[1]Plate Infor'!$B:$D,3,FALSE)*D522</f>
        <v>19440</v>
      </c>
      <c r="P522" s="4">
        <f>IFERROR(VLOOKUP(IF(MID(M522,3,1)="F","W-UNPL-"&amp;RIGHT(M522,20),M522),'[1]Data Pule'!$C:$E,3,FALSE),0)*O522</f>
        <v>2498.0399999999995</v>
      </c>
      <c r="Q522" s="1" t="str">
        <f>VLOOKUP(L522,'[1]Plate Infor'!$B:$E,4,FALSE)</f>
        <v>W-UNPL-CG87NXX-T3L0-02-7S00</v>
      </c>
      <c r="R522" s="1" t="str">
        <f>VLOOKUP(MID(Q522,8,4),'[1]Tipe Plate'!$C:$D,2,FALSE)</f>
        <v>Grid Casting</v>
      </c>
      <c r="S522" s="4">
        <f>VLOOKUP(L522,'[1]Plate Infor'!$B:$F,5,FALSE)*D522</f>
        <v>21600</v>
      </c>
      <c r="T522" s="4">
        <f>IFERROR(VLOOKUP(IF(MID(Q522,3,1)="F","W-UNPL-"&amp;RIGHT(Q522,20),Q522),'[1]Data Pule'!$C:$E,3,FALSE),0)*S522</f>
        <v>2484</v>
      </c>
    </row>
    <row r="523" spans="3:20" x14ac:dyDescent="0.35">
      <c r="C523" s="1" t="s">
        <v>300</v>
      </c>
      <c r="D523">
        <v>300</v>
      </c>
      <c r="E523" s="3" t="str">
        <f>MID(C523,5,1)</f>
        <v>U</v>
      </c>
      <c r="F523" s="3"/>
      <c r="G523" s="3"/>
      <c r="H523" s="3"/>
      <c r="I523" s="3"/>
      <c r="J523" s="3"/>
      <c r="K523" s="3"/>
      <c r="L523" s="1" t="str">
        <f>MID(C523,3,17)</f>
        <v>ACUP-145G51X-C7C3</v>
      </c>
      <c r="M523" s="1" t="str">
        <f>VLOOKUP(L523,'[1]Plate Infor'!$B:$C,2,FALSE)</f>
        <v>W-UNPL-CG82PXX-L870-02-7S00</v>
      </c>
      <c r="N523" s="1" t="str">
        <f>VLOOKUP(MID(M523,8,4),'[1]Tipe Plate'!$C:$D,2,FALSE)</f>
        <v>Grid Casting</v>
      </c>
      <c r="O523" s="4">
        <f>VLOOKUP(L523,'[1]Plate Infor'!$B:$D,3,FALSE)*D523</f>
        <v>11700</v>
      </c>
      <c r="P523" s="4">
        <f>IFERROR(VLOOKUP(IF(MID(M523,3,1)="F","W-UNPL-"&amp;RIGHT(M523,20),M523),'[1]Data Pule'!$C:$E,3,FALSE),0)*O523</f>
        <v>1503.4499999999998</v>
      </c>
      <c r="Q523" s="1" t="str">
        <f>VLOOKUP(L523,'[1]Plate Infor'!$B:$E,4,FALSE)</f>
        <v>W-UNPL-CG87NXX-T3L0-02-7S00</v>
      </c>
      <c r="R523" s="1" t="str">
        <f>VLOOKUP(MID(Q523,8,4),'[1]Tipe Plate'!$C:$D,2,FALSE)</f>
        <v>Grid Casting</v>
      </c>
      <c r="S523" s="4">
        <f>VLOOKUP(L523,'[1]Plate Infor'!$B:$F,5,FALSE)*D523</f>
        <v>12600</v>
      </c>
      <c r="T523" s="4">
        <f>IFERROR(VLOOKUP(IF(MID(Q523,3,1)="F","W-UNPL-"&amp;RIGHT(Q523,20),Q523),'[1]Data Pule'!$C:$E,3,FALSE),0)*S523</f>
        <v>1449</v>
      </c>
    </row>
    <row r="524" spans="3:20" x14ac:dyDescent="0.35">
      <c r="C524" s="1" t="s">
        <v>355</v>
      </c>
      <c r="D524">
        <v>360</v>
      </c>
      <c r="E524" s="3" t="str">
        <f>MID(C524,5,1)</f>
        <v>U</v>
      </c>
      <c r="F524" s="3"/>
      <c r="G524" s="3"/>
      <c r="H524" s="3"/>
      <c r="I524" s="3"/>
      <c r="J524" s="3"/>
      <c r="K524" s="3"/>
      <c r="L524" s="1" t="str">
        <f>MID(C524,3,17)</f>
        <v>ACUP-190H52X-D3C5</v>
      </c>
      <c r="M524" s="1" t="str">
        <f>VLOOKUP(L524,'[1]Plate Infor'!$B:$C,2,FALSE)</f>
        <v>W-UNPL-CG82PXX-L870-02-7S00</v>
      </c>
      <c r="N524" s="1" t="str">
        <f>VLOOKUP(MID(M524,8,4),'[1]Tipe Plate'!$C:$D,2,FALSE)</f>
        <v>Grid Casting</v>
      </c>
      <c r="O524" s="4">
        <f>VLOOKUP(L524,'[1]Plate Infor'!$B:$D,3,FALSE)*D524</f>
        <v>17280</v>
      </c>
      <c r="P524" s="4">
        <f>IFERROR(VLOOKUP(IF(MID(M524,3,1)="F","W-UNPL-"&amp;RIGHT(M524,20),M524),'[1]Data Pule'!$C:$E,3,FALSE),0)*O524</f>
        <v>2220.4799999999996</v>
      </c>
      <c r="Q524" s="1" t="str">
        <f>VLOOKUP(L524,'[1]Plate Infor'!$B:$E,4,FALSE)</f>
        <v>W-UNPL-CG87NXX-T3L0-02-7S00</v>
      </c>
      <c r="R524" s="1" t="str">
        <f>VLOOKUP(MID(Q524,8,4),'[1]Tipe Plate'!$C:$D,2,FALSE)</f>
        <v>Grid Casting</v>
      </c>
      <c r="S524" s="4">
        <f>VLOOKUP(L524,'[1]Plate Infor'!$B:$F,5,FALSE)*D524</f>
        <v>18360</v>
      </c>
      <c r="T524" s="4">
        <f>IFERROR(VLOOKUP(IF(MID(Q524,3,1)="F","W-UNPL-"&amp;RIGHT(Q524,20),Q524),'[1]Data Pule'!$C:$E,3,FALSE),0)*S524</f>
        <v>2111.4</v>
      </c>
    </row>
    <row r="525" spans="3:20" x14ac:dyDescent="0.35">
      <c r="C525" s="1" t="s">
        <v>301</v>
      </c>
      <c r="D525">
        <v>300</v>
      </c>
      <c r="E525" s="3" t="str">
        <f>MID(C525,5,1)</f>
        <v>U</v>
      </c>
      <c r="F525" s="3"/>
      <c r="G525" s="3"/>
      <c r="H525" s="3"/>
      <c r="I525" s="3"/>
      <c r="J525" s="3"/>
      <c r="K525" s="3"/>
      <c r="L525" s="1" t="str">
        <f>MID(C525,3,17)</f>
        <v>ACUP-65038LX-D1C3</v>
      </c>
      <c r="M525" s="1" t="str">
        <f>VLOOKUP(L525,'[1]Plate Infor'!$B:$C,2,FALSE)</f>
        <v>W-UNPL-CG80PXX-L870-02-7S00</v>
      </c>
      <c r="N525" s="1" t="str">
        <f>VLOOKUP(MID(M525,8,4),'[1]Tipe Plate'!$C:$D,2,FALSE)</f>
        <v>Grid Casting</v>
      </c>
      <c r="O525" s="4">
        <f>VLOOKUP(L525,'[1]Plate Infor'!$B:$D,3,FALSE)*D525</f>
        <v>14400</v>
      </c>
      <c r="P525" s="4">
        <f>IFERROR(VLOOKUP(IF(MID(M525,3,1)="F","W-UNPL-"&amp;RIGHT(M525,20),M525),'[1]Data Pule'!$C:$E,3,FALSE),0)*O525</f>
        <v>2175.8399999999997</v>
      </c>
      <c r="Q525" s="1" t="str">
        <f>VLOOKUP(L525,'[1]Plate Infor'!$B:$E,4,FALSE)</f>
        <v>W-UNPL-CG85NXX-T3L0-02-7S00</v>
      </c>
      <c r="R525" s="1" t="str">
        <f>VLOOKUP(MID(Q525,8,4),'[1]Tipe Plate'!$C:$D,2,FALSE)</f>
        <v>Grid Casting</v>
      </c>
      <c r="S525" s="4">
        <f>VLOOKUP(L525,'[1]Plate Infor'!$B:$F,5,FALSE)*D525</f>
        <v>13500</v>
      </c>
      <c r="T525" s="4">
        <f>IFERROR(VLOOKUP(IF(MID(Q525,3,1)="F","W-UNPL-"&amp;RIGHT(Q525,20),Q525),'[1]Data Pule'!$C:$E,3,FALSE),0)*S525</f>
        <v>1764.4499999999998</v>
      </c>
    </row>
    <row r="526" spans="3:20" x14ac:dyDescent="0.35">
      <c r="C526" s="1" t="s">
        <v>386</v>
      </c>
      <c r="D526">
        <v>84</v>
      </c>
      <c r="E526" s="3" t="str">
        <f>MID(C526,5,1)</f>
        <v>U</v>
      </c>
      <c r="F526" s="3"/>
      <c r="G526" s="3"/>
      <c r="H526" s="3"/>
      <c r="I526" s="3"/>
      <c r="J526" s="3"/>
      <c r="K526" s="3"/>
      <c r="L526" s="1" t="str">
        <f>MID(C526,3,17)</f>
        <v>AMUP-56638LX-B2C3</v>
      </c>
      <c r="M526" s="1" t="str">
        <f>VLOOKUP(L526,'[1]Plate Infor'!$B:$C,2,FALSE)</f>
        <v>W-UNPL-YG82HDP-L650-02-7S00</v>
      </c>
      <c r="N526" s="1" t="str">
        <f>VLOOKUP(MID(M526,8,4),'[1]Tipe Plate'!$C:$D,2,FALSE)</f>
        <v>Grid Casting</v>
      </c>
      <c r="O526" s="4">
        <f>VLOOKUP(L526,'[1]Plate Infor'!$B:$D,3,FALSE)*D526</f>
        <v>1512</v>
      </c>
      <c r="P526" s="4">
        <f>IFERROR(VLOOKUP(IF(MID(M526,3,1)="F","W-UNPL-"&amp;RIGHT(M526,20),M526),'[1]Data Pule'!$C:$E,3,FALSE),0)*O526</f>
        <v>207.89999999999998</v>
      </c>
      <c r="Q526" s="1" t="str">
        <f>VLOOKUP(L526,'[1]Plate Infor'!$B:$E,4,FALSE)</f>
        <v>W-UNPL-YG85NXX-T3A0-02-7S00</v>
      </c>
      <c r="R526" s="1" t="str">
        <f>VLOOKUP(MID(Q526,8,4),'[1]Tipe Plate'!$C:$D,2,FALSE)</f>
        <v>Grid Casting</v>
      </c>
      <c r="S526" s="4">
        <f>VLOOKUP(L526,'[1]Plate Infor'!$B:$F,5,FALSE)*D526</f>
        <v>1512</v>
      </c>
      <c r="T526" s="4">
        <f>IFERROR(VLOOKUP(IF(MID(Q526,3,1)="F","W-UNPL-"&amp;RIGHT(Q526,20),Q526),'[1]Data Pule'!$C:$E,3,FALSE),0)*S526</f>
        <v>197.61839999999998</v>
      </c>
    </row>
    <row r="527" spans="3:20" x14ac:dyDescent="0.35">
      <c r="C527" s="1" t="s">
        <v>297</v>
      </c>
      <c r="D527">
        <v>720</v>
      </c>
      <c r="E527" s="3" t="str">
        <f>MID(C527,5,1)</f>
        <v>U</v>
      </c>
      <c r="F527" s="3"/>
      <c r="G527" s="3"/>
      <c r="H527" s="3"/>
      <c r="I527" s="3"/>
      <c r="J527" s="3"/>
      <c r="K527" s="3"/>
      <c r="L527" s="1" t="str">
        <f>MID(C527,3,17)</f>
        <v>ACUP-115F51X-B9C4</v>
      </c>
      <c r="M527" s="1" t="str">
        <f>VLOOKUP(L527,'[1]Plate Infor'!$B:$C,2,FALSE)</f>
        <v>W-UNPL-CG82PXX-L870-02-7S00</v>
      </c>
      <c r="N527" s="1" t="str">
        <f>VLOOKUP(MID(M527,8,4),'[1]Tipe Plate'!$C:$D,2,FALSE)</f>
        <v>Grid Casting</v>
      </c>
      <c r="O527" s="4">
        <f>VLOOKUP(L527,'[1]Plate Infor'!$B:$D,3,FALSE)*D527</f>
        <v>19440</v>
      </c>
      <c r="P527" s="4">
        <f>IFERROR(VLOOKUP(IF(MID(M527,3,1)="F","W-UNPL-"&amp;RIGHT(M527,20),M527),'[1]Data Pule'!$C:$E,3,FALSE),0)*O527</f>
        <v>2498.0399999999995</v>
      </c>
      <c r="Q527" s="1" t="str">
        <f>VLOOKUP(L527,'[1]Plate Infor'!$B:$E,4,FALSE)</f>
        <v>W-UNPL-CG87NXX-T3L0-02-7S00</v>
      </c>
      <c r="R527" s="1" t="str">
        <f>VLOOKUP(MID(Q527,8,4),'[1]Tipe Plate'!$C:$D,2,FALSE)</f>
        <v>Grid Casting</v>
      </c>
      <c r="S527" s="4">
        <f>VLOOKUP(L527,'[1]Plate Infor'!$B:$F,5,FALSE)*D527</f>
        <v>21600</v>
      </c>
      <c r="T527" s="4">
        <f>IFERROR(VLOOKUP(IF(MID(Q527,3,1)="F","W-UNPL-"&amp;RIGHT(Q527,20),Q527),'[1]Data Pule'!$C:$E,3,FALSE),0)*S527</f>
        <v>2484</v>
      </c>
    </row>
    <row r="528" spans="3:20" x14ac:dyDescent="0.35">
      <c r="C528" s="1" t="s">
        <v>299</v>
      </c>
      <c r="D528">
        <v>1200</v>
      </c>
      <c r="E528" s="3" t="str">
        <f>MID(C528,5,1)</f>
        <v>U</v>
      </c>
      <c r="F528" s="3"/>
      <c r="G528" s="3"/>
      <c r="H528" s="3"/>
      <c r="I528" s="3"/>
      <c r="J528" s="3"/>
      <c r="K528" s="3"/>
      <c r="L528" s="1" t="str">
        <f>MID(C528,3,17)</f>
        <v>ACUP-145G51X-C3C5</v>
      </c>
      <c r="M528" s="1" t="str">
        <f>VLOOKUP(L528,'[1]Plate Infor'!$B:$C,2,FALSE)</f>
        <v>W-UNPL-CG82PXX-L870-02-7S00</v>
      </c>
      <c r="N528" s="1" t="str">
        <f>VLOOKUP(MID(M528,8,4),'[1]Tipe Plate'!$C:$D,2,FALSE)</f>
        <v>Grid Casting</v>
      </c>
      <c r="O528" s="4">
        <f>VLOOKUP(L528,'[1]Plate Infor'!$B:$D,3,FALSE)*D528</f>
        <v>39600</v>
      </c>
      <c r="P528" s="4">
        <f>IFERROR(VLOOKUP(IF(MID(M528,3,1)="F","W-UNPL-"&amp;RIGHT(M528,20),M528),'[1]Data Pule'!$C:$E,3,FALSE),0)*O528</f>
        <v>5088.5999999999995</v>
      </c>
      <c r="Q528" s="1" t="str">
        <f>VLOOKUP(L528,'[1]Plate Infor'!$B:$E,4,FALSE)</f>
        <v>W-UNPL-CG87NXX-T3L0-02-7S00</v>
      </c>
      <c r="R528" s="1" t="str">
        <f>VLOOKUP(MID(Q528,8,4),'[1]Tipe Plate'!$C:$D,2,FALSE)</f>
        <v>Grid Casting</v>
      </c>
      <c r="S528" s="4">
        <f>VLOOKUP(L528,'[1]Plate Infor'!$B:$F,5,FALSE)*D528</f>
        <v>43200</v>
      </c>
      <c r="T528" s="4">
        <f>IFERROR(VLOOKUP(IF(MID(Q528,3,1)="F","W-UNPL-"&amp;RIGHT(Q528,20),Q528),'[1]Data Pule'!$C:$E,3,FALSE),0)*S528</f>
        <v>4968</v>
      </c>
    </row>
    <row r="529" spans="3:20" x14ac:dyDescent="0.35">
      <c r="C529" s="1" t="s">
        <v>387</v>
      </c>
      <c r="D529">
        <v>2304</v>
      </c>
      <c r="E529" s="3" t="str">
        <f>MID(C529,5,1)</f>
        <v>D</v>
      </c>
      <c r="F529" s="3"/>
      <c r="G529" s="3"/>
      <c r="H529" s="3"/>
      <c r="I529" s="3"/>
      <c r="J529" s="3"/>
      <c r="K529" s="3"/>
      <c r="L529" s="1" t="str">
        <f>MID(C529,3,17)</f>
        <v>AMDA-TZ5SKIT-A7C3</v>
      </c>
      <c r="M529" s="1" t="str">
        <f>VLOOKUP(L529,'[1]Plate Infor'!$B:$C,2,FALSE)</f>
        <v>W-FOPL-M8783PX-L87C-08-9S0A</v>
      </c>
      <c r="N529" s="1" t="str">
        <f>VLOOKUP(MID(M529,8,4),'[1]Tipe Plate'!$C:$D,2,FALSE)</f>
        <v>Grid Casting</v>
      </c>
      <c r="O529" s="4">
        <f>VLOOKUP(L529,'[1]Plate Infor'!$B:$D,3,FALSE)*D529</f>
        <v>5184</v>
      </c>
      <c r="P529" s="4">
        <f>IFERROR(VLOOKUP(IF(MID(M529,3,1)="F","W-UNPL-"&amp;RIGHT(M529,20),M529),'[1]Data Pule'!$C:$E,3,FALSE),0)*O529</f>
        <v>484.18559999999997</v>
      </c>
      <c r="Q529" s="1" t="str">
        <f>VLOOKUP(L529,'[1]Plate Infor'!$B:$E,4,FALSE)</f>
        <v>W-FOPL-M8786NX-T3AC-08-9S0A</v>
      </c>
      <c r="R529" s="1" t="str">
        <f>VLOOKUP(MID(Q529,8,4),'[1]Tipe Plate'!$C:$D,2,FALSE)</f>
        <v>Grid Casting</v>
      </c>
      <c r="S529" s="4">
        <f>VLOOKUP(L529,'[1]Plate Infor'!$B:$F,5,FALSE)*D529</f>
        <v>6912</v>
      </c>
      <c r="T529" s="4">
        <f>IFERROR(VLOOKUP(IF(MID(Q529,3,1)="F","W-UNPL-"&amp;RIGHT(Q529,20),Q529),'[1]Data Pule'!$C:$E,3,FALSE),0)*S529</f>
        <v>588.21120000000008</v>
      </c>
    </row>
    <row r="530" spans="3:20" x14ac:dyDescent="0.35">
      <c r="C530" s="1" t="s">
        <v>388</v>
      </c>
      <c r="D530">
        <v>2880</v>
      </c>
      <c r="E530" s="3" t="str">
        <f>MID(C530,5,1)</f>
        <v>D</v>
      </c>
      <c r="F530" s="3"/>
      <c r="G530" s="3"/>
      <c r="H530" s="3"/>
      <c r="I530" s="3"/>
      <c r="J530" s="3"/>
      <c r="K530" s="3"/>
      <c r="L530" s="1" t="str">
        <f>MID(C530,3,17)</f>
        <v>AMDA-TZ5SKIT-A7C3</v>
      </c>
      <c r="M530" s="1" t="str">
        <f>VLOOKUP(L530,'[1]Plate Infor'!$B:$C,2,FALSE)</f>
        <v>W-FOPL-M8783PX-L87C-08-9S0A</v>
      </c>
      <c r="N530" s="1" t="str">
        <f>VLOOKUP(MID(M530,8,4),'[1]Tipe Plate'!$C:$D,2,FALSE)</f>
        <v>Grid Casting</v>
      </c>
      <c r="O530" s="4">
        <f>VLOOKUP(L530,'[1]Plate Infor'!$B:$D,3,FALSE)*D530</f>
        <v>6480</v>
      </c>
      <c r="P530" s="4">
        <f>IFERROR(VLOOKUP(IF(MID(M530,3,1)="F","W-UNPL-"&amp;RIGHT(M530,20),M530),'[1]Data Pule'!$C:$E,3,FALSE),0)*O530</f>
        <v>605.23199999999997</v>
      </c>
      <c r="Q530" s="1" t="str">
        <f>VLOOKUP(L530,'[1]Plate Infor'!$B:$E,4,FALSE)</f>
        <v>W-FOPL-M8786NX-T3AC-08-9S0A</v>
      </c>
      <c r="R530" s="1" t="str">
        <f>VLOOKUP(MID(Q530,8,4),'[1]Tipe Plate'!$C:$D,2,FALSE)</f>
        <v>Grid Casting</v>
      </c>
      <c r="S530" s="4">
        <f>VLOOKUP(L530,'[1]Plate Infor'!$B:$F,5,FALSE)*D530</f>
        <v>8640</v>
      </c>
      <c r="T530" s="4">
        <f>IFERROR(VLOOKUP(IF(MID(Q530,3,1)="F","W-UNPL-"&amp;RIGHT(Q530,20),Q530),'[1]Data Pule'!$C:$E,3,FALSE),0)*S530</f>
        <v>735.26400000000012</v>
      </c>
    </row>
  </sheetData>
  <autoFilter ref="B1:U530" xr:uid="{9276BB42-DD7C-4099-87A4-D4768EC78F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Gofar Julio Saputra</dc:creator>
  <cp:lastModifiedBy>Gofar Julio Saputra</cp:lastModifiedBy>
  <dcterms:created xsi:type="dcterms:W3CDTF">2026-04-28T07:24:07Z</dcterms:created>
  <dcterms:modified xsi:type="dcterms:W3CDTF">2026-04-28T07:57:07Z</dcterms:modified>
</cp:coreProperties>
</file>
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FAR\21. Coding\bpms\"/>
    </mc:Choice>
  </mc:AlternateContent>
  <xr:revisionPtr revIDLastSave="0" documentId="8_{BCD8FC7E-F849-4C80-A802-5BFF84AD5A42}" xr6:coauthVersionLast="36" xr6:coauthVersionMax="36" xr10:uidLastSave="{00000000-0000-0000-0000-000000000000}"/>
  <bookViews>
    <workbookView xWindow="0" yWindow="0" windowWidth="19200" windowHeight="6640" xr2:uid="{BD954FBD-03CB-4F2F-82CB-8F7DF62C1E21}"/>
  </bookViews>
  <sheets>
    <sheet name="Resum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b">#N/A</definedName>
    <definedName name="_____xlnm.Print_Area">#REF!</definedName>
    <definedName name="_____xlnm.Print_Area_1">#REF!</definedName>
    <definedName name="____xlnm.Print_Area">#REF!</definedName>
    <definedName name="____xlnm.Print_Area_1">#REF!</definedName>
    <definedName name="___xlnm.Print_Area">#REF!</definedName>
    <definedName name="___xlnm.Print_Area_1">#REF!</definedName>
    <definedName name="__IntlFixup" hidden="1">TRUE</definedName>
    <definedName name="__m1">#N/A</definedName>
    <definedName name="__xlnm.Print_Area">#REF!</definedName>
    <definedName name="__xlnm.Print_Area_1">#REF!</definedName>
    <definedName name="_1Excel_BuiltIn_Print_Area_1">#REF!</definedName>
    <definedName name="_1Excel_BuiltIn_Print_Area_1_1">"$#REF!.$A$1:$O$20"</definedName>
    <definedName name="_2Excel_BuiltIn_Print_Area_2_1_1">#N/A</definedName>
    <definedName name="_3Excel_BuiltIn_Print_Area_2_1_1_1">"'file:///C:/My Documents/Activity Plan Project Printing.xls'#$'Order Sheet'.$#REF!$#REF!:$#REF!$#REF!"</definedName>
    <definedName name="_m1">#N/A</definedName>
    <definedName name="a">#REF!</definedName>
    <definedName name="A_ITEM" comment="List Item Untuk Grafik pada sheet ProdProgressChart">OFFSET(#REF!,#REF!,0,#REF!,1)</definedName>
    <definedName name="A_ITEM_SUM_CUSTOMER">OFFSET(#REF!,#REF!,0,1,1)</definedName>
    <definedName name="A_ITEM_SUMMARY">OFFSET(#REF!,#REF!,0,#REF!,1)</definedName>
    <definedName name="A_ORDER">OFFSET(#REF!,#REF!,0,#REF!,1)</definedName>
    <definedName name="A_ORDER_SUM_CUSTOMER">OFFSET(#REF!,#REF!,0,1,1)</definedName>
    <definedName name="A_ORDER_SUMMARY">OFFSET(#REF!,#REF!,0,#REF!,1)</definedName>
    <definedName name="A_PRODUCTION">OFFSET(#REF!,#REF!,0,#REF!,1)</definedName>
    <definedName name="A_PRODUCTION_ACHIEVEMENT">OFFSET(#REF!,#REF!,0,#REF!,1)</definedName>
    <definedName name="A_PRODUCTION_SUM_CUSTOMER">OFFSET(#REF!,#REF!,0,1,1)</definedName>
    <definedName name="A_PRODUCTION_SUMMARY">OFFSET(#REF!,#REF!,0,#REF!,1)</definedName>
    <definedName name="AA">#REF!</definedName>
    <definedName name="AB">#REF!</definedName>
    <definedName name="ABC">#N/A</definedName>
    <definedName name="AC">#REF!</definedName>
    <definedName name="AD">#REF!</definedName>
    <definedName name="AE">#REF!</definedName>
    <definedName name="AF">#REF!</definedName>
    <definedName name="AFA">#REF!</definedName>
    <definedName name="AFB">#REF!</definedName>
    <definedName name="AG">#REF!</definedName>
    <definedName name="AH">#REF!</definedName>
    <definedName name="AI">#REF!</definedName>
    <definedName name="AJ">#REF!</definedName>
    <definedName name="AK">#REF!</definedName>
    <definedName name="AL">#REF!</definedName>
    <definedName name="AM">#REF!</definedName>
    <definedName name="AN">#REF!</definedName>
    <definedName name="AO">#REF!</definedName>
    <definedName name="AP">#REF!</definedName>
    <definedName name="as">#N/A</definedName>
    <definedName name="ASDSAS">#N/A</definedName>
    <definedName name="AUS">NA()</definedName>
    <definedName name="AVERAGE">#N/A</definedName>
    <definedName name="AXA">#REF!</definedName>
    <definedName name="AXB">#REF!</definedName>
    <definedName name="bb">" Bebas : burrs, karat, retak, cacat, berubah bentuk &amp; kerusakan lain."</definedName>
    <definedName name="bp">" Bevel Protractor"</definedName>
    <definedName name="BuiltIn_Print_Area___1">"$Grafik1Bln.$#REF!$2:$#REF!$34"</definedName>
    <definedName name="BuiltIn_Print_Area___11">"$#REF!.$A$1:$O$80"</definedName>
    <definedName name="BuiltIn_Print_Area___13">"$#REF!.$A$1:$P$258"</definedName>
    <definedName name="BuiltIn_Print_Area___14">"$#REF!.$A$1:$P$127"</definedName>
    <definedName name="BuiltIn_Print_Area___15">"$#REF!.$B$3:$R$71"</definedName>
    <definedName name="BuiltIn_Print_Area___16">"$#REF!.$B$3:$R$71"</definedName>
    <definedName name="BuiltIn_Print_Area___17___47">"$#REF!.$B$3:$R$76"</definedName>
    <definedName name="BuiltIn_Print_Area___18">"$#REF!.$B$3:$R$71"</definedName>
    <definedName name="BuiltIn_Print_Area___19">"$#REF!.$B$3:$R$71"</definedName>
    <definedName name="BuiltIn_Print_Area___2">#N/A</definedName>
    <definedName name="BuiltIn_Print_Area___20">"$#REF!.$B$3:$R$76"</definedName>
    <definedName name="BuiltIn_Print_Area___21">"$#REF!.$B$3:$R$71"</definedName>
    <definedName name="BuiltIn_Print_Area___22">"$#REF!.$B$3:$I$71"</definedName>
    <definedName name="BuiltIn_Print_Area___23">"$#REF!.$B$3:$I$76"</definedName>
    <definedName name="BuiltIn_Print_Area___24">"$#REF!.$B$3:$R$76"</definedName>
    <definedName name="BuiltIn_Print_Area___25">"$#REF!.$B$3:$R$71"</definedName>
    <definedName name="BuiltIn_Print_Area___26">"$#REF!.$B$3:$R$71"</definedName>
    <definedName name="BuiltIn_Print_Area___27">"$#REF!.$B$3:$R$71"</definedName>
    <definedName name="BuiltIn_Print_Area___29">"$#REF!.$B$3:$R$77"</definedName>
    <definedName name="BuiltIn_Print_Area___3">#N/A</definedName>
    <definedName name="BuiltIn_Print_Area___30">"$#REF!.$B$3:$R$71"</definedName>
    <definedName name="BuiltIn_Print_Area___31">"$#REF!.$B$3:$R$71"</definedName>
    <definedName name="BuiltIn_Print_Area___32">"$#REF!.$B$3:$R$71"</definedName>
    <definedName name="BuiltIn_Print_Area___33">"$#REF!.$B$3:$R$71"</definedName>
    <definedName name="BuiltIn_Print_Area___34">"$#REF!.$B$3:$R$71"</definedName>
    <definedName name="BuiltIn_Print_Area___35">"$#REF!.$B$3:$R$71"</definedName>
    <definedName name="BuiltIn_Print_Area___36">"$#REF!.$B$3:$R$71"</definedName>
    <definedName name="BuiltIn_Print_Area___37">"$#REF!.$B$3:$R$71"</definedName>
    <definedName name="BuiltIn_Print_Area___38">"$#REF!.$B$3:$R$71"</definedName>
    <definedName name="BuiltIn_Print_Area___39">"$#REF!.$B$3:$R$71"</definedName>
    <definedName name="BuiltIn_Print_Area___40">"$#REF!.$B$3:$R$71"</definedName>
    <definedName name="BuiltIn_Print_Area___41">"$#REF!.$B$3:$R$71"</definedName>
    <definedName name="BuiltIn_Print_Area___42">"$#REF!.$B$2:$I$71"</definedName>
    <definedName name="BuiltIn_Print_Area___43">"$#REF!.$B$3:$R$76"</definedName>
    <definedName name="BuiltIn_Print_Area___44">"$#REF!.$B$3:$I$71"</definedName>
    <definedName name="BuiltIn_Print_Area___46">"$#REF!.$B$3:$R$71"</definedName>
    <definedName name="BuiltIn_Print_Area___47">"$#REF!.$B$3:$R$78"</definedName>
    <definedName name="BuiltIn_Print_Area___48">"$#REF!.$B$3:$R$71"</definedName>
    <definedName name="BuiltIn_Print_Area___49">"$#REF!.$A$2:$I$71"</definedName>
    <definedName name="BuiltIn_Print_Area___5">"$#REF!.$X$2:$AQ$37"</definedName>
    <definedName name="BuiltIn_Print_Area___6">"$#REF!.$AH$2:$AV$32"</definedName>
    <definedName name="BuiltIn_Print_Area___8">"$#REF!.$B$3:$R$71"</definedName>
    <definedName name="BuiltIn_Print_Area___9">"$#REF!.$A$1:$AB$64"</definedName>
    <definedName name="BuiltIn_Print_Titles___1">#N/A</definedName>
    <definedName name="BuiltIn_Print_Titles___11">"$#REF!.$A$1:$IS$2"</definedName>
    <definedName name="BuiltIn_Print_Titles___12">"$#REF!.$A$1:$IS$2"</definedName>
    <definedName name="BuiltIn_Print_Titles___14">"$#REF!.$A$1:$IS$3"</definedName>
    <definedName name="BuiltIn_Print_Titles___2">NA()</definedName>
    <definedName name="BuiltIn_Print_Titles___2_1">NA()</definedName>
    <definedName name="BuiltIn_Print_Titles___2_14">NA()</definedName>
    <definedName name="BuiltIn_Print_Titles___2_16">NA()</definedName>
    <definedName name="BuiltIn_Print_Titles___2_28">NA()</definedName>
    <definedName name="BuiltIn_Print_Titles___2_29">NA()</definedName>
    <definedName name="BuiltIn_Print_Titles___2_44">NA()</definedName>
    <definedName name="Call_page_01">#REF!</definedName>
    <definedName name="Call_page_01_3">#REF!</definedName>
    <definedName name="Call_page_02">#REF!</definedName>
    <definedName name="Call_page_02_3">#REF!</definedName>
    <definedName name="Call_page_03">#REF!</definedName>
    <definedName name="Call_page_04_05">'[2]Raw Mat'!$C$11:$N$63,'[2]Raw Mat'!$C$64:$N$99</definedName>
    <definedName name="Call_page_06">#REF!</definedName>
    <definedName name="Call_page_08_09_10_11">'[2]AMB Lead Consumtion-01'!$D$1:$U$43,'[2]AMB Lead Consumtion-01'!$D$91:$U$118,'[2]AMB Lead Consumtion-01'!$D$46:$U$88,'[2]AMB Lead Consumtion-01'!$D$121:$U$182</definedName>
    <definedName name="Call_page_12_13">[2]Coscal10!$C$1:$P$39,[2]Coscal10!$C$43:$P$86</definedName>
    <definedName name="Call_page_15_16">'[2]Plastic-MCB'!$B$2:$H$35,'[2]Plastic-MCB'!$B$37:$G$54</definedName>
    <definedName name="CATDET2">#N/A</definedName>
    <definedName name="CC">#REF!</definedName>
    <definedName name="CFACT01">"$#REF!.$G$5:$G$45"</definedName>
    <definedName name="CFACT02">"$#REF!.$J$5:$J$45"</definedName>
    <definedName name="CFACT03">"$#REF!.$M$5:$M$45"</definedName>
    <definedName name="CFACT04">"$#REF!.$P$5:$P$45"</definedName>
    <definedName name="CFACT05">"$#REF!.$S$5:$S$45"</definedName>
    <definedName name="CFACT06">"$#REF!.$V$5:$V$45"</definedName>
    <definedName name="CFACT07">"$#REF!.$Y$5:$Y$45"</definedName>
    <definedName name="CFACT08">"$#REF!.$AB$5:$AB$45"</definedName>
    <definedName name="CFACT09">"$#REF!.$AE$5:$AE$45"</definedName>
    <definedName name="CFACT10">"$#REF!.$AH$5:$AH$45"</definedName>
    <definedName name="CFACT11">"$#REF!.$AK$5:$AK$45"</definedName>
    <definedName name="CFACT12">"$#REF!.$AN$5:$AN$45"</definedName>
    <definedName name="CFPLAN01">"$#REF!.$F$5:$F$45"</definedName>
    <definedName name="CFPLAN02">"$#REF!.$I$5:$I$45"</definedName>
    <definedName name="CFPLAN03">"$#REF!.$L$5:$L$45"</definedName>
    <definedName name="CFPLAN04">"$#REF!.$O$5:$O$45"</definedName>
    <definedName name="CFPLAN05">"$#REF!.$R$5:$R$45"</definedName>
    <definedName name="CFPLAN06">"$#REF!.$U$5:$U$45"</definedName>
    <definedName name="CFPLAN07">"$#REF!.$X$5:$X$45"</definedName>
    <definedName name="CFPLAN08">"$#REF!.$AA$5:$AA$45"</definedName>
    <definedName name="CFPLAN09">"$#REF!.$AD$5:$AD$45"</definedName>
    <definedName name="CFPLAN10">"$#REF!.$AG$5:$AG$45"</definedName>
    <definedName name="CFPLAN11">"$#REF!.$AJ$5:$AJ$45"</definedName>
    <definedName name="CFPLAN12">"$#REF!.$AM$5:$AM$45"</definedName>
    <definedName name="CGACT01">#N/A</definedName>
    <definedName name="CGACT02">#N/A</definedName>
    <definedName name="CGACT03">#N/A</definedName>
    <definedName name="CGACT04">#N/A</definedName>
    <definedName name="CGACT05">#N/A</definedName>
    <definedName name="CGACT06">#N/A</definedName>
    <definedName name="CGACT07">#N/A</definedName>
    <definedName name="CGACT08">#N/A</definedName>
    <definedName name="CGACT09">#N/A</definedName>
    <definedName name="CGACT10">#N/A</definedName>
    <definedName name="CGACT11">#N/A</definedName>
    <definedName name="CGACT12">#N/A</definedName>
    <definedName name="CGPLAN01">#N/A</definedName>
    <definedName name="CGPLAN02">#N/A</definedName>
    <definedName name="CGPLAN03">#N/A</definedName>
    <definedName name="CGPLAN04">#N/A</definedName>
    <definedName name="CGPLAN05">#N/A</definedName>
    <definedName name="CGPLAN06">#N/A</definedName>
    <definedName name="CGPLAN07">#N/A</definedName>
    <definedName name="CGPLAN08">#N/A</definedName>
    <definedName name="CGPLAN09">#N/A</definedName>
    <definedName name="CGPLAN10">#N/A</definedName>
    <definedName name="CGPLAN11">#N/A</definedName>
    <definedName name="CGPLAN12">#N/A</definedName>
    <definedName name="ch">"Coating Thick. Gauge"</definedName>
    <definedName name="COS">[3]Database!$J$6:$P$134</definedName>
    <definedName name="_xlnm.Criteria">#REF!</definedName>
    <definedName name="CUB42T">#N/A</definedName>
    <definedName name="D38A単価">#REF!</definedName>
    <definedName name="dan">#N/A</definedName>
    <definedName name="data">#REF!</definedName>
    <definedName name="di">" Diameter Dalam"</definedName>
    <definedName name="dl">" Diameter Lubang"</definedName>
    <definedName name="do">"Diameter Luar"</definedName>
    <definedName name="ds">" Dimensi sudut"</definedName>
    <definedName name="du">" Dimensi Ulir"</definedName>
    <definedName name="excel_biiltin_print_area_3">#REF!</definedName>
    <definedName name="Excel_BuiltIn__FilterDatabase_10">#REF!</definedName>
    <definedName name="Excel_BuiltIn_Print_Area">#N/A</definedName>
    <definedName name="Excel_BuiltIn_Print_Area_1">"$#REF!.$A$1:$Q$31"</definedName>
    <definedName name="Excel_BuiltIn_Print_Area_1_1">#N/A</definedName>
    <definedName name="Excel_BuiltIn_Print_Area_1_1_1">#REF!</definedName>
    <definedName name="Excel_BuiltIn_Print_Area_1_1_1_1">#REF!</definedName>
    <definedName name="Excel_BuiltIn_Print_Area_10">#REF!</definedName>
    <definedName name="Excel_BuiltIn_Print_Area_2">"$#REF!.$A$1:$Y$72"</definedName>
    <definedName name="Excel_BuiltIn_Print_Area_2_1">#N/A</definedName>
    <definedName name="Excel_BuiltIn_Print_Area_2_1_1">#N/A</definedName>
    <definedName name="Excel_BuiltIn_Print_Area_2_1_1_1">"'file:///C:/My Documents/Activity Plan Project Printing.xls'#$'Order Sheet'.$#REF!$#REF!:$#REF!$#REF!"</definedName>
    <definedName name="Excel_BuiltIn_Print_Area_3">#REF!</definedName>
    <definedName name="Excel_BuiltIn_Print_Area_3_1">#REF!</definedName>
    <definedName name="Excel_BuiltIn_Print_Area_4">"$#REF!.$C$41:$AM$42"</definedName>
    <definedName name="Excel_BuiltIn_Print_Area_4_1">"$#REF!.$A$1:$L$37"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">"$#REF!.$A$2:$IV$5"</definedName>
    <definedName name="_xlnm.Extract">#REF!</definedName>
    <definedName name="FEED_BACK_ASSESSMENT_AND_CORRECTIVE_ACTION">"$#REF!.$C$4:$S$40"</definedName>
    <definedName name="FEED_BACK_ASSESSMENT_AND_CORRECTIVE_ACTION___0">"$#REF!.$C$4:$S$40"</definedName>
    <definedName name="GENERAL">#N/A</definedName>
    <definedName name="GMQZ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h">"Height Gauge"</definedName>
    <definedName name="hb">" Harus baik"</definedName>
    <definedName name="hih">#N/A</definedName>
    <definedName name="hihihi">#N/A</definedName>
    <definedName name="IBD">[4]DATA!$C$2:$O$614</definedName>
    <definedName name="IBD0">[4]DATA!$A$2:$O$614</definedName>
    <definedName name="jm">" karat &lt; 5%"</definedName>
    <definedName name="js">" Jarak Sumbu"</definedName>
    <definedName name="khung">#N/A</definedName>
    <definedName name="KY">NA()</definedName>
    <definedName name="l">" Lebar"</definedName>
    <definedName name="L610S">#REF!</definedName>
    <definedName name="ListSupplierContainer">#REF!</definedName>
    <definedName name="ListSupplierCover">#REF!</definedName>
    <definedName name="ListSupplierHandle">#REF!</definedName>
    <definedName name="ListSupplierKabo" comment="Daftar Supplier untuk Upload PR">#REF!</definedName>
    <definedName name="ListSupplierSpacer">#REF!</definedName>
    <definedName name="ListSupplierSticker">#REF!</definedName>
    <definedName name="ListSupplierStyset">#REF!</definedName>
    <definedName name="listTarget">[5]TBT!$B$6:$B$85</definedName>
    <definedName name="LL">" Letak lubang"</definedName>
    <definedName name="m">"Material Analisis"</definedName>
    <definedName name="ma">"Material Analisis"</definedName>
    <definedName name="MALAYSIA">NA()</definedName>
    <definedName name="Market_coverage___segmentation_____non_linear_pricing_strategy">"Cobj"</definedName>
    <definedName name="mmmm">#N/A</definedName>
    <definedName name="NativeTimeline_Tgl_WO__DMY">#N/A</definedName>
    <definedName name="NESHIA">NA()</definedName>
    <definedName name="ngu">#N/A</definedName>
    <definedName name="OeAct01">#N/A</definedName>
    <definedName name="OeAct02">#N/A</definedName>
    <definedName name="OeAct03">#N/A</definedName>
    <definedName name="OeAct04">#N/A</definedName>
    <definedName name="OeAct05">#N/A</definedName>
    <definedName name="OeAct06">#N/A</definedName>
    <definedName name="OeAct07">#N/A</definedName>
    <definedName name="OeAct08">#N/A</definedName>
    <definedName name="OeAct09">#N/A</definedName>
    <definedName name="OeAct10">#N/A</definedName>
    <definedName name="OeAct11">#N/A</definedName>
    <definedName name="OeAct12">#N/A</definedName>
    <definedName name="OePlan01">#N/A</definedName>
    <definedName name="OePlan02">#N/A</definedName>
    <definedName name="OePlan03">#N/A</definedName>
    <definedName name="OePlan04">#N/A</definedName>
    <definedName name="OePlan05">#N/A</definedName>
    <definedName name="OePlan06">#N/A</definedName>
    <definedName name="OePlan07">#N/A</definedName>
    <definedName name="OePlan08">#N/A</definedName>
    <definedName name="OePlan09">#N/A</definedName>
    <definedName name="OePlan10">#N/A</definedName>
    <definedName name="OePlan11">#N/A</definedName>
    <definedName name="OePlan12">#N/A</definedName>
    <definedName name="OT">4</definedName>
    <definedName name="OTA">4</definedName>
    <definedName name="pg">"Push Pull Gauge"</definedName>
    <definedName name="PHI">NA()</definedName>
    <definedName name="PLACT01">#N/A</definedName>
    <definedName name="PLACT02">#N/A</definedName>
    <definedName name="PLACT03">#N/A</definedName>
    <definedName name="PLACT04">#N/A</definedName>
    <definedName name="PLACT05">#N/A</definedName>
    <definedName name="PLACT06">#N/A</definedName>
    <definedName name="PLACT07">#N/A</definedName>
    <definedName name="PLACT08">#N/A</definedName>
    <definedName name="PLACT09">#N/A</definedName>
    <definedName name="PLACT10">#N/A</definedName>
    <definedName name="PLACT11">#N/A</definedName>
    <definedName name="PLACT12">#N/A</definedName>
    <definedName name="PLPLAN01">#N/A</definedName>
    <definedName name="PLPLAN02">#N/A</definedName>
    <definedName name="PLPLAN03">#N/A</definedName>
    <definedName name="PLPLAN04">#N/A</definedName>
    <definedName name="PLPLAN05">#N/A</definedName>
    <definedName name="PLPLAN06">#N/A</definedName>
    <definedName name="PLPLAN07">#N/A</definedName>
    <definedName name="PLPLAN08">#N/A</definedName>
    <definedName name="PLPLAN09">#N/A</definedName>
    <definedName name="PLPLAN10">#N/A</definedName>
    <definedName name="PLPLAN11">#N/A</definedName>
    <definedName name="PLPLAN12">#N/A</definedName>
    <definedName name="pm">" Point Micrometer"</definedName>
    <definedName name="pmr">" Tebal material rata-rata"</definedName>
    <definedName name="print">#N/A</definedName>
    <definedName name="Print_all">#N/A</definedName>
    <definedName name="Print_Area_MI">#REF!</definedName>
    <definedName name="Print_Area_MI_7">#REF!</definedName>
    <definedName name="Print_Semua">#N/A</definedName>
    <definedName name="_xlnm.Print_Titles">#REF!</definedName>
    <definedName name="print01">"$#REF!.$C$4:$S$40"</definedName>
    <definedName name="print01___0">"$#REF!.$C$4:$S$40"</definedName>
    <definedName name="PRINTED">NA()</definedName>
    <definedName name="ptg">"Plug Thread Gauge"</definedName>
    <definedName name="PTGS004">#N/A</definedName>
    <definedName name="PTGS005">#N/A</definedName>
    <definedName name="Q_ExportData">#REF!</definedName>
    <definedName name="QW">#N/A</definedName>
    <definedName name="rangeBrand">OFFSET(#REF!,0,0,COUNTA(#REF!),1)</definedName>
    <definedName name="rangeBrandMy">OFFSET(#REF!,0,0,COUNTA(#REF!),1)</definedName>
    <definedName name="rangeBrandOrdered">OFFSET(#REF!,0,0,COUNTA(#REF!),1)</definedName>
    <definedName name="rangeCharged">OFFSET(#REF!,0,0,COUNTA(#REF!),1)</definedName>
    <definedName name="rangeChargedOrdered">OFFSET(#REF!,0,0,COUNTA(#REF!),1)</definedName>
    <definedName name="rangeCustomer">OFFSET(#REF!,0,0,COUNTA(#REF!),1)</definedName>
    <definedName name="rangeCustomerOrdered">OFFSET(#REF!,0,0,COUNTA(#REF!),1)</definedName>
    <definedName name="rangeJmlPlateOrdered">OFFSET(#REF!,0,0,COUNTA(#REF!),1)</definedName>
    <definedName name="rangeJmlPlateOrdered_">OFFSET(#REF!,0,0,COUNTA(#REF!),1)</definedName>
    <definedName name="rangeKategori">OFFSET(#REF!,0,0,COUNTA(#REF!),1)</definedName>
    <definedName name="rangeKategoriOrdered">OFFSET(#REF!,0,0,COUNTA(#REF!),1)</definedName>
    <definedName name="rangeTeknologi">OFFSET(#REF!,0,0,COUNTA(#REF!),1)</definedName>
    <definedName name="rangeTeknologiOrdered">OFFSET(#REF!,0,0,COUNTA(#REF!),1)</definedName>
    <definedName name="rangeType">OFFSET(#REF!,0,0,COUNTA(#REF!),1)</definedName>
    <definedName name="rangeTypeOrdered">OFFSET(#REF!,0,0,COUNTA(#REF!),1)</definedName>
    <definedName name="rangeTypeSepa">OFFSET(#REF!,0,0,COUNTA(#REF!),1)</definedName>
    <definedName name="rangeTypeSepaOrdered">OFFSET(#REF!,0,0,COUNTA(#REF!),1)</definedName>
    <definedName name="rrrr">#N/A</definedName>
    <definedName name="rtg">"Ring Thread Gauge"</definedName>
    <definedName name="SAW">[3]Database!$B$6:$H$134</definedName>
    <definedName name="sd">#REF!</definedName>
    <definedName name="sdd">#REF!</definedName>
    <definedName name="SPO42T">#N/A</definedName>
    <definedName name="SST">" Salt Spray Tes 48 Jam"</definedName>
    <definedName name="SY">NA()</definedName>
    <definedName name="tckitm">[6]enums!$B$3:$B$12</definedName>
    <definedName name="tcsrce">[6]enums!$D$3:$D$8</definedName>
    <definedName name="tcyesno">[6]enums!$F$3:$F$4</definedName>
    <definedName name="test">#REF!</definedName>
    <definedName name="test1">#REF!</definedName>
    <definedName name="TextRefCopyRangeCount" hidden="1">4</definedName>
    <definedName name="THAI">NA()</definedName>
    <definedName name="tl">" Tidak boleh luntur"</definedName>
    <definedName name="tm">" Tebal Material"</definedName>
    <definedName name="tmr">" Tebal material rata-rata"</definedName>
    <definedName name="tq">" Torque Meter"</definedName>
    <definedName name="trr">" Tebal material rata-rata"</definedName>
    <definedName name="tt">#N/A</definedName>
    <definedName name="ttt">#N/A</definedName>
    <definedName name="ttttt">#N/A</definedName>
    <definedName name="TWKEI">NA()</definedName>
    <definedName name="ug">"Ulir Nut 6 mm"</definedName>
    <definedName name="us">"Ulir Nut 8 mm"</definedName>
    <definedName name="vi">"Visual Check"</definedName>
    <definedName name="XRefColumnsCount" hidden="1">1</definedName>
    <definedName name="XRefCopyRangeCount" hidden="1">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5" i="1" l="1"/>
  <c r="V45" i="1" s="1"/>
  <c r="T45" i="1"/>
  <c r="V44" i="1"/>
  <c r="V43" i="1"/>
  <c r="Q41" i="1"/>
  <c r="Q40" i="1"/>
  <c r="R39" i="1"/>
  <c r="Q3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P23" i="1"/>
  <c r="O23" i="1"/>
  <c r="O25" i="1" s="1"/>
  <c r="N13" i="1"/>
  <c r="M13" i="1"/>
  <c r="L23" i="1"/>
  <c r="K23" i="1"/>
  <c r="K25" i="1" s="1"/>
  <c r="J13" i="1"/>
  <c r="I13" i="1"/>
  <c r="H23" i="1"/>
  <c r="G23" i="1"/>
  <c r="G25" i="1" s="1"/>
  <c r="F13" i="1"/>
  <c r="E13" i="1"/>
  <c r="D23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P19" i="1"/>
  <c r="O19" i="1"/>
  <c r="O21" i="1" s="1"/>
  <c r="N9" i="1"/>
  <c r="M9" i="1"/>
  <c r="L19" i="1"/>
  <c r="K19" i="1"/>
  <c r="K21" i="1" s="1"/>
  <c r="J9" i="1"/>
  <c r="I9" i="1"/>
  <c r="H19" i="1"/>
  <c r="G19" i="1"/>
  <c r="G21" i="1" s="1"/>
  <c r="F9" i="1"/>
  <c r="E9" i="1"/>
  <c r="D19" i="1"/>
  <c r="E14" i="1" l="1"/>
  <c r="M14" i="1"/>
  <c r="G4" i="1"/>
  <c r="G18" i="1" s="1"/>
  <c r="K4" i="1"/>
  <c r="K18" i="1"/>
  <c r="O4" i="1"/>
  <c r="O18" i="1" s="1"/>
  <c r="E30" i="1"/>
  <c r="M30" i="1"/>
  <c r="D21" i="1"/>
  <c r="H21" i="1"/>
  <c r="L21" i="1"/>
  <c r="P21" i="1"/>
  <c r="J14" i="1"/>
  <c r="D18" i="1"/>
  <c r="D4" i="1"/>
  <c r="H4" i="1"/>
  <c r="H18" i="1" s="1"/>
  <c r="L18" i="1"/>
  <c r="L4" i="1"/>
  <c r="P4" i="1"/>
  <c r="P18" i="1" s="1"/>
  <c r="F30" i="1"/>
  <c r="N30" i="1"/>
  <c r="E10" i="1"/>
  <c r="E3" i="1"/>
  <c r="I10" i="1"/>
  <c r="I3" i="1"/>
  <c r="I14" i="1" s="1"/>
  <c r="M10" i="1"/>
  <c r="M3" i="1"/>
  <c r="E18" i="1"/>
  <c r="E5" i="1"/>
  <c r="E4" i="1"/>
  <c r="I5" i="1"/>
  <c r="I4" i="1"/>
  <c r="I18" i="1" s="1"/>
  <c r="M5" i="1"/>
  <c r="M4" i="1"/>
  <c r="M18" i="1" s="1"/>
  <c r="F3" i="1"/>
  <c r="F14" i="1" s="1"/>
  <c r="F10" i="1"/>
  <c r="J3" i="1"/>
  <c r="J30" i="1" s="1"/>
  <c r="J10" i="1"/>
  <c r="N3" i="1"/>
  <c r="N14" i="1" s="1"/>
  <c r="N10" i="1"/>
  <c r="D25" i="1"/>
  <c r="H25" i="1"/>
  <c r="L25" i="1"/>
  <c r="P25" i="1"/>
  <c r="F4" i="1"/>
  <c r="F5" i="1"/>
  <c r="F18" i="1"/>
  <c r="J4" i="1"/>
  <c r="J18" i="1" s="1"/>
  <c r="J5" i="1"/>
  <c r="N4" i="1"/>
  <c r="N18" i="1" s="1"/>
  <c r="N5" i="1"/>
  <c r="G9" i="1"/>
  <c r="G5" i="1" s="1"/>
  <c r="K9" i="1"/>
  <c r="O9" i="1"/>
  <c r="O5" i="1" s="1"/>
  <c r="G13" i="1"/>
  <c r="K13" i="1"/>
  <c r="O13" i="1"/>
  <c r="E19" i="1"/>
  <c r="E21" i="1" s="1"/>
  <c r="E22" i="1" s="1"/>
  <c r="I19" i="1"/>
  <c r="I21" i="1" s="1"/>
  <c r="I22" i="1" s="1"/>
  <c r="M19" i="1"/>
  <c r="M21" i="1" s="1"/>
  <c r="M22" i="1" s="1"/>
  <c r="E23" i="1"/>
  <c r="E25" i="1" s="1"/>
  <c r="E26" i="1" s="1"/>
  <c r="I23" i="1"/>
  <c r="I25" i="1" s="1"/>
  <c r="I26" i="1" s="1"/>
  <c r="M23" i="1"/>
  <c r="M25" i="1" s="1"/>
  <c r="M26" i="1" s="1"/>
  <c r="D9" i="1"/>
  <c r="D5" i="1" s="1"/>
  <c r="H9" i="1"/>
  <c r="L9" i="1"/>
  <c r="P9" i="1"/>
  <c r="D13" i="1"/>
  <c r="H13" i="1"/>
  <c r="L13" i="1"/>
  <c r="P13" i="1"/>
  <c r="F19" i="1"/>
  <c r="F21" i="1" s="1"/>
  <c r="F22" i="1" s="1"/>
  <c r="J19" i="1"/>
  <c r="J21" i="1" s="1"/>
  <c r="J22" i="1" s="1"/>
  <c r="N19" i="1"/>
  <c r="N21" i="1" s="1"/>
  <c r="N22" i="1" s="1"/>
  <c r="F23" i="1"/>
  <c r="F25" i="1" s="1"/>
  <c r="F26" i="1" s="1"/>
  <c r="J23" i="1"/>
  <c r="J25" i="1" s="1"/>
  <c r="J26" i="1" s="1"/>
  <c r="N23" i="1"/>
  <c r="N25" i="1" s="1"/>
  <c r="N26" i="1" s="1"/>
  <c r="P3" i="1" l="1"/>
  <c r="P30" i="1" s="1"/>
  <c r="P5" i="1"/>
  <c r="I30" i="1"/>
  <c r="L3" i="1"/>
  <c r="L30" i="1" s="1"/>
  <c r="O3" i="1"/>
  <c r="P26" i="1"/>
  <c r="H22" i="1"/>
  <c r="H3" i="1"/>
  <c r="H30" i="1" s="1"/>
  <c r="O14" i="1"/>
  <c r="K3" i="1"/>
  <c r="L26" i="1"/>
  <c r="H5" i="1"/>
  <c r="D3" i="1"/>
  <c r="D30" i="1" s="1"/>
  <c r="K14" i="1"/>
  <c r="G3" i="1"/>
  <c r="G14" i="1" s="1"/>
  <c r="G10" i="1"/>
  <c r="H26" i="1"/>
  <c r="L5" i="1"/>
  <c r="P22" i="1"/>
  <c r="K5" i="1"/>
  <c r="D22" i="1" l="1"/>
  <c r="K22" i="1"/>
  <c r="K26" i="1"/>
  <c r="K30" i="1"/>
  <c r="H14" i="1"/>
  <c r="O26" i="1"/>
  <c r="O30" i="1"/>
  <c r="O22" i="1"/>
  <c r="L22" i="1"/>
  <c r="D10" i="1"/>
  <c r="L10" i="1"/>
  <c r="P10" i="1"/>
  <c r="G22" i="1"/>
  <c r="G26" i="1"/>
  <c r="G30" i="1"/>
  <c r="D14" i="1"/>
  <c r="K10" i="1"/>
  <c r="H10" i="1"/>
  <c r="O10" i="1"/>
  <c r="L14" i="1"/>
  <c r="D26" i="1"/>
  <c r="P14" i="1"/>
</calcChain>
</file>

<file path=xl/sharedStrings.xml><?xml version="1.0" encoding="utf-8"?>
<sst xmlns="http://schemas.openxmlformats.org/spreadsheetml/2006/main" count="69" uniqueCount="22">
  <si>
    <t>Plate/battery</t>
  </si>
  <si>
    <t>panel</t>
  </si>
  <si>
    <t>Berat lead/battery</t>
  </si>
  <si>
    <t>kg</t>
  </si>
  <si>
    <t>Berat lead/panel</t>
  </si>
  <si>
    <t>Assembling</t>
  </si>
  <si>
    <t>pcs</t>
  </si>
  <si>
    <t>Grid Casting</t>
  </si>
  <si>
    <t>Pos</t>
  </si>
  <si>
    <t>Neg</t>
  </si>
  <si>
    <t>Total</t>
  </si>
  <si>
    <t>Battery</t>
  </si>
  <si>
    <t>Grid Punching</t>
  </si>
  <si>
    <t>Ball Mill</t>
  </si>
  <si>
    <t>Pasting Casting</t>
  </si>
  <si>
    <t>Pasting Punching</t>
  </si>
  <si>
    <t>Formation</t>
  </si>
  <si>
    <t>Asam Sulfat</t>
  </si>
  <si>
    <t>Batt</t>
  </si>
  <si>
    <t>Plate</t>
  </si>
  <si>
    <t>Casting</t>
  </si>
  <si>
    <t>Punching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</si>
</sst>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_-;\-* #,##0.0_-;_-* &quot;-&quot;_-;_-@_-"/>
    <numFmt numFmtId="165" formatCode="_-* #,##0.000_-;\-* #,##0.00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41" fontId="0" fillId="0" borderId="1" xfId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41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Resume!$A$6:$C$6</c:f>
              <c:strCache>
                <c:ptCount val="3"/>
                <c:pt idx="0">
                  <c:v>Assembling</c:v>
                </c:pt>
                <c:pt idx="2">
                  <c:v>pcs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Resume!$D$2:$P$2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Resume!$D$6:$P$6</c:f>
              <c:numCache>
                <c:formatCode>#,##0</c:formatCode>
                <c:ptCount val="13"/>
                <c:pt idx="0">
                  <c:v>2122574</c:v>
                </c:pt>
                <c:pt idx="1">
                  <c:v>2234366</c:v>
                </c:pt>
                <c:pt idx="2">
                  <c:v>2525352</c:v>
                </c:pt>
                <c:pt idx="3">
                  <c:v>2856223</c:v>
                </c:pt>
                <c:pt idx="4">
                  <c:v>2697833</c:v>
                </c:pt>
                <c:pt idx="5">
                  <c:v>3005954</c:v>
                </c:pt>
                <c:pt idx="6">
                  <c:v>2900230</c:v>
                </c:pt>
                <c:pt idx="7">
                  <c:v>2547107</c:v>
                </c:pt>
                <c:pt idx="8">
                  <c:v>2877262</c:v>
                </c:pt>
                <c:pt idx="9">
                  <c:v>2442878</c:v>
                </c:pt>
                <c:pt idx="10">
                  <c:v>2085047</c:v>
                </c:pt>
                <c:pt idx="11">
                  <c:v>2206699</c:v>
                </c:pt>
                <c:pt idx="12">
                  <c:v>2263416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7-4A94-9E09-7486DBA317EC}"/>
            </c:ext>
          </c:extLst>
        </c:ser>
        <c:ser>
          <c:idx val="0"/>
          <c:order val="1"/>
          <c:tx>
            <c:strRef>
              <c:f>Resume!$A$7</c:f>
              <c:strCache>
                <c:ptCount val="1"/>
                <c:pt idx="0">
                  <c:v>Grid Casting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Resume!$D$10:$P$10</c:f>
              <c:numCache>
                <c:formatCode>_(* #,##0_);_(* \(#,##0\);_(* "-"_);_(@_)</c:formatCode>
                <c:ptCount val="13"/>
                <c:pt idx="0">
                  <c:v>2122574</c:v>
                </c:pt>
                <c:pt idx="1">
                  <c:v>2234366</c:v>
                </c:pt>
                <c:pt idx="2">
                  <c:v>2525352</c:v>
                </c:pt>
                <c:pt idx="3">
                  <c:v>2856223</c:v>
                </c:pt>
                <c:pt idx="4">
                  <c:v>2697833</c:v>
                </c:pt>
                <c:pt idx="5">
                  <c:v>3005954</c:v>
                </c:pt>
                <c:pt idx="6">
                  <c:v>2893097.3345402014</c:v>
                </c:pt>
                <c:pt idx="7">
                  <c:v>2480912.1977670896</c:v>
                </c:pt>
                <c:pt idx="8">
                  <c:v>2782497.4906108114</c:v>
                </c:pt>
                <c:pt idx="9">
                  <c:v>2316899.9170368328</c:v>
                </c:pt>
                <c:pt idx="10">
                  <c:v>1952122.3300930187</c:v>
                </c:pt>
                <c:pt idx="11">
                  <c:v>1766452.0019658385</c:v>
                </c:pt>
                <c:pt idx="12">
                  <c:v>1818809.4284447134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7-4A94-9E09-7486DBA317EC}"/>
            </c:ext>
          </c:extLst>
        </c:ser>
        <c:ser>
          <c:idx val="1"/>
          <c:order val="2"/>
          <c:tx>
            <c:strRef>
              <c:f>Resume!$A$11</c:f>
              <c:strCache>
                <c:ptCount val="1"/>
                <c:pt idx="0">
                  <c:v>Grid Punching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Resume!$D$14:$P$14</c:f>
              <c:numCache>
                <c:formatCode>_(* #,##0_);_(* \(#,##0\);_(* "-"_);_(@_)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7132.665459799051</c:v>
                </c:pt>
                <c:pt idx="7">
                  <c:v>66194.802232910472</c:v>
                </c:pt>
                <c:pt idx="8">
                  <c:v>94764.509389188286</c:v>
                </c:pt>
                <c:pt idx="9">
                  <c:v>125978.0829631674</c:v>
                </c:pt>
                <c:pt idx="10">
                  <c:v>132924.66990698126</c:v>
                </c:pt>
                <c:pt idx="11">
                  <c:v>440246.99803416146</c:v>
                </c:pt>
                <c:pt idx="12">
                  <c:v>444606.57155528647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7-4A94-9E09-7486DBA317EC}"/>
            </c:ext>
          </c:extLst>
        </c:ser>
        <c:ser>
          <c:idx val="3"/>
          <c:order val="3"/>
          <c:tx>
            <c:strRef>
              <c:f>Resume!$A$27</c:f>
              <c:strCache>
                <c:ptCount val="1"/>
                <c:pt idx="0">
                  <c:v>Formation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Resume!$D$30:$P$30</c:f>
              <c:numCache>
                <c:formatCode>_(* #,##0_);_(* \(#,##0\);_(* "-"_);_(@_)</c:formatCode>
                <c:ptCount val="13"/>
                <c:pt idx="0">
                  <c:v>1516246.4178453437</c:v>
                </c:pt>
                <c:pt idx="1">
                  <c:v>1362551.3992934336</c:v>
                </c:pt>
                <c:pt idx="2">
                  <c:v>1475926.187279467</c:v>
                </c:pt>
                <c:pt idx="3">
                  <c:v>1612472.0207963823</c:v>
                </c:pt>
                <c:pt idx="4">
                  <c:v>1573749.0758686941</c:v>
                </c:pt>
                <c:pt idx="5">
                  <c:v>1726722.6961295702</c:v>
                </c:pt>
                <c:pt idx="6">
                  <c:v>1714390.6050226283</c:v>
                </c:pt>
                <c:pt idx="7">
                  <c:v>1410648.7495624041</c:v>
                </c:pt>
                <c:pt idx="8">
                  <c:v>1574804.1654672835</c:v>
                </c:pt>
                <c:pt idx="9">
                  <c:v>1232210.6618128347</c:v>
                </c:pt>
                <c:pt idx="10">
                  <c:v>1048986.1249197335</c:v>
                </c:pt>
                <c:pt idx="11">
                  <c:v>945795.72778897057</c:v>
                </c:pt>
                <c:pt idx="12">
                  <c:v>1001974.3353843987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87-4A94-9E09-7486DBA31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167712"/>
        <c:axId val="1895900448"/>
      </c:lineChart>
      <c:catAx>
        <c:axId val="149616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900448"/>
        <c:crosses val="autoZero"/>
        <c:auto val="1"/>
        <c:lblAlgn val="ctr"/>
        <c:lblOffset val="100"/>
        <c:noMultiLvlLbl val="0"/>
      </c:catAx>
      <c:valAx>
        <c:axId val="189590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16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331610</xdr:colOff>
      <xdr:row>30</xdr:row>
      <xdr:rowOff>112896</xdr:rowOff>
    </xdr:from>
    <xdr:to>
      <xdr:col>14</xdr:col>
      <xdr:colOff>197554</xdr:colOff>
      <xdr:row>45</xdr:row>
      <xdr:rowOff>104429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C6313-4E94-47A3-9A85-8DD39718E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FAR/16.%20Data/Plant%20Capacity/Loading%20Produksi%202013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_01\d\WINDOWS\TEMP\COSCAL-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yu/BU%20AGNES/PERUBAHAN%20STD/Perubahan%20Standar/Perubahan%20JKS/2019/2019%20KRW%20NEW%20JKS%20AMB1%20(ASSY%202019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g-win-tc02\users$\ara0630\My%20Documents\Dlama\DATA%20CONTROL%20POINT\Data%20Control%20Point%202018\12.desem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PS-2019-01\02-__.MPS\17.12%20MPS-ONLY-2017-12-R00-INT-R00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js3661/AppData/Local/Microsoft/Windows/INetCache/Content.Outlook/0PKDIO5E/tcibd0501m000_720_20231018-094452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te BaaN"/>
      <sheetName val="Data"/>
      <sheetName val="Data Pule"/>
      <sheetName val="Produksi (baan)"/>
      <sheetName val="Produksi (infor)"/>
      <sheetName val="Sheet7"/>
      <sheetName val="Sheet3"/>
      <sheetName val="Resume"/>
      <sheetName val="Sheet6"/>
      <sheetName val="Sheet4"/>
      <sheetName val="Sheet2"/>
      <sheetName val="PN BAAN"/>
      <sheetName val="PN BAAN VS INFOR"/>
      <sheetName val="DB Plate Baan"/>
      <sheetName val="Convert 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>
            <v>2013</v>
          </cell>
          <cell r="E2">
            <v>2014</v>
          </cell>
          <cell r="F2">
            <v>2015</v>
          </cell>
          <cell r="G2">
            <v>2016</v>
          </cell>
          <cell r="H2">
            <v>2017</v>
          </cell>
          <cell r="I2">
            <v>2018</v>
          </cell>
          <cell r="J2">
            <v>2019</v>
          </cell>
          <cell r="K2">
            <v>2020</v>
          </cell>
          <cell r="L2">
            <v>2021</v>
          </cell>
          <cell r="M2">
            <v>2022</v>
          </cell>
          <cell r="N2">
            <v>2023</v>
          </cell>
          <cell r="O2">
            <v>2024</v>
          </cell>
          <cell r="P2">
            <v>2025</v>
          </cell>
        </row>
        <row r="6">
          <cell r="A6" t="str">
            <v>Assembling</v>
          </cell>
          <cell r="C6" t="str">
            <v>pcs</v>
          </cell>
          <cell r="D6">
            <v>2122574</v>
          </cell>
          <cell r="E6">
            <v>2234366</v>
          </cell>
          <cell r="F6">
            <v>2525352</v>
          </cell>
          <cell r="G6">
            <v>2856223</v>
          </cell>
          <cell r="H6">
            <v>2697833</v>
          </cell>
          <cell r="I6">
            <v>3005954</v>
          </cell>
          <cell r="J6">
            <v>2900230</v>
          </cell>
          <cell r="K6">
            <v>2547107</v>
          </cell>
          <cell r="L6">
            <v>2877262</v>
          </cell>
          <cell r="M6">
            <v>2442878</v>
          </cell>
          <cell r="N6">
            <v>2085047</v>
          </cell>
          <cell r="O6">
            <v>2206699</v>
          </cell>
          <cell r="P6">
            <v>2263416</v>
          </cell>
        </row>
        <row r="7">
          <cell r="A7" t="str">
            <v>Grid Casting</v>
          </cell>
        </row>
        <row r="10">
          <cell r="D10">
            <v>2122574</v>
          </cell>
          <cell r="E10">
            <v>2234366</v>
          </cell>
          <cell r="F10">
            <v>2525352</v>
          </cell>
          <cell r="G10">
            <v>2856223</v>
          </cell>
          <cell r="H10">
            <v>2697833</v>
          </cell>
          <cell r="I10">
            <v>3005954</v>
          </cell>
          <cell r="J10">
            <v>2893097.3345402014</v>
          </cell>
          <cell r="K10">
            <v>2480912.1977670896</v>
          </cell>
          <cell r="L10">
            <v>2782497.4906108114</v>
          </cell>
          <cell r="M10">
            <v>2316899.9170368328</v>
          </cell>
          <cell r="N10">
            <v>1952122.3300930187</v>
          </cell>
          <cell r="O10">
            <v>1766452.0019658385</v>
          </cell>
          <cell r="P10">
            <v>1818809.4284447134</v>
          </cell>
        </row>
        <row r="11">
          <cell r="A11" t="str">
            <v>Grid Punching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7132.665459799051</v>
          </cell>
          <cell r="K14">
            <v>66194.802232910472</v>
          </cell>
          <cell r="L14">
            <v>94764.509389188286</v>
          </cell>
          <cell r="M14">
            <v>125978.0829631674</v>
          </cell>
          <cell r="N14">
            <v>132924.66990698126</v>
          </cell>
          <cell r="O14">
            <v>440246.99803416146</v>
          </cell>
          <cell r="P14">
            <v>444606.57155528647</v>
          </cell>
        </row>
        <row r="27">
          <cell r="A27" t="str">
            <v>Formation</v>
          </cell>
        </row>
        <row r="30">
          <cell r="D30">
            <v>1516246.4178453437</v>
          </cell>
          <cell r="E30">
            <v>1362551.3992934336</v>
          </cell>
          <cell r="F30">
            <v>1475926.187279467</v>
          </cell>
          <cell r="G30">
            <v>1612472.0207963823</v>
          </cell>
          <cell r="H30">
            <v>1573749.0758686941</v>
          </cell>
          <cell r="I30">
            <v>1726722.6961295702</v>
          </cell>
          <cell r="J30">
            <v>1714390.6050226283</v>
          </cell>
          <cell r="K30">
            <v>1410648.7495624041</v>
          </cell>
          <cell r="L30">
            <v>1574804.1654672835</v>
          </cell>
          <cell r="M30">
            <v>1232210.6618128347</v>
          </cell>
          <cell r="N30">
            <v>1048986.1249197335</v>
          </cell>
          <cell r="O30">
            <v>945795.72778897057</v>
          </cell>
          <cell r="P30">
            <v>1001974.3353843987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Validation"/>
      <sheetName val="Factor Konversi"/>
      <sheetName val="Raw Mat"/>
      <sheetName val="Pasta"/>
      <sheetName val="Lead Part"/>
      <sheetName val="AMB Lead Consumtion-01"/>
      <sheetName val="AMB Lead Consumtion-02"/>
      <sheetName val="Coscal10"/>
      <sheetName val="Plastic-AMB"/>
      <sheetName val="Plastic-MCB"/>
      <sheetName val="Plastic"/>
      <sheetName val="Platic"/>
      <sheetName val="Master Batch"/>
      <sheetName val="Revision-00"/>
      <sheetName val="Revision-96"/>
    </sheetNames>
    <sheetDataSet>
      <sheetData sheetId="0"/>
      <sheetData sheetId="1"/>
      <sheetData sheetId="2"/>
      <sheetData sheetId="3">
        <row r="11">
          <cell r="C11" t="str">
            <v>RAW MATERIAL CONSUMPTION (PLATE)</v>
          </cell>
        </row>
        <row r="13">
          <cell r="I13" t="str">
            <v xml:space="preserve">A C T I V E    M A T E R I A L </v>
          </cell>
        </row>
        <row r="14">
          <cell r="F14" t="str">
            <v>GRID</v>
          </cell>
        </row>
        <row r="15">
          <cell r="C15" t="str">
            <v>PLATE  TYPE</v>
          </cell>
          <cell r="G15" t="str">
            <v>INCLUDE</v>
          </cell>
          <cell r="H15" t="str">
            <v>FORMED</v>
          </cell>
          <cell r="I15" t="str">
            <v>LEAD POWDER</v>
          </cell>
          <cell r="K15" t="str">
            <v>PURE LEAD</v>
          </cell>
          <cell r="M15" t="str">
            <v>ADDITIVE  MATERIAL</v>
          </cell>
        </row>
        <row r="16">
          <cell r="F16" t="str">
            <v>DRAWING</v>
          </cell>
          <cell r="G16" t="str">
            <v xml:space="preserve"> </v>
          </cell>
          <cell r="H16" t="str">
            <v>DRAWING</v>
          </cell>
          <cell r="I16" t="str">
            <v>C =</v>
          </cell>
          <cell r="J16" t="str">
            <v>D =</v>
          </cell>
          <cell r="K16" t="str">
            <v>E =</v>
          </cell>
          <cell r="L16" t="str">
            <v>F =</v>
          </cell>
          <cell r="M16" t="str">
            <v>G =</v>
          </cell>
          <cell r="N16" t="str">
            <v>H =</v>
          </cell>
        </row>
        <row r="17">
          <cell r="G17" t="str">
            <v>LOSS 4%</v>
          </cell>
          <cell r="H17" t="str">
            <v>B</v>
          </cell>
          <cell r="I17" t="str">
            <v xml:space="preserve">+B  x  F2  </v>
          </cell>
          <cell r="J17" t="str">
            <v>C x 1.04</v>
          </cell>
          <cell r="K17" t="str">
            <v>+B  x  F4</v>
          </cell>
          <cell r="L17" t="str">
            <v>E x 1.05</v>
          </cell>
          <cell r="M17" t="str">
            <v xml:space="preserve">L65 : B  x  F6 </v>
          </cell>
          <cell r="N17" t="str">
            <v>I x 1.04</v>
          </cell>
        </row>
        <row r="18">
          <cell r="F18" t="str">
            <v>A</v>
          </cell>
          <cell r="G18" t="str">
            <v xml:space="preserve"> </v>
          </cell>
          <cell r="I18" t="str">
            <v>-B  x  F3</v>
          </cell>
          <cell r="J18" t="str">
            <v>INCLUDE</v>
          </cell>
          <cell r="K18" t="str">
            <v>-B  x  F5</v>
          </cell>
          <cell r="L18" t="str">
            <v xml:space="preserve">INCLUDE </v>
          </cell>
          <cell r="M18" t="str">
            <v>L87 : B  x  F7</v>
          </cell>
          <cell r="N18" t="str">
            <v>INCLUDE</v>
          </cell>
        </row>
        <row r="19">
          <cell r="C19" t="str">
            <v>GRID</v>
          </cell>
          <cell r="E19" t="str">
            <v>PASTE</v>
          </cell>
          <cell r="G19" t="str">
            <v>A x 1.04</v>
          </cell>
          <cell r="J19" t="str">
            <v>LOSS 4%</v>
          </cell>
          <cell r="L19" t="str">
            <v>LOSS 5%</v>
          </cell>
          <cell r="M19" t="str">
            <v>VT3P : B  x  F8</v>
          </cell>
          <cell r="N19" t="str">
            <v>LOSS 4%</v>
          </cell>
        </row>
        <row r="20">
          <cell r="C20" t="str">
            <v>TYPE</v>
          </cell>
          <cell r="E20" t="str">
            <v>TYPE</v>
          </cell>
        </row>
        <row r="21">
          <cell r="F21" t="str">
            <v>g</v>
          </cell>
          <cell r="G21" t="str">
            <v>g</v>
          </cell>
          <cell r="H21" t="str">
            <v>g</v>
          </cell>
          <cell r="I21" t="str">
            <v>g</v>
          </cell>
          <cell r="J21" t="str">
            <v>g</v>
          </cell>
          <cell r="K21" t="str">
            <v>g</v>
          </cell>
          <cell r="L21" t="str">
            <v>g</v>
          </cell>
          <cell r="M21" t="str">
            <v>g</v>
          </cell>
          <cell r="N21" t="str">
            <v>g</v>
          </cell>
        </row>
        <row r="22">
          <cell r="C22" t="str">
            <v xml:space="preserve"> + CA-82B</v>
          </cell>
          <cell r="D22" t="str">
            <v>x2</v>
          </cell>
          <cell r="E22" t="str">
            <v>L6 - 5</v>
          </cell>
          <cell r="F22">
            <v>106</v>
          </cell>
          <cell r="G22">
            <v>110.24000000000001</v>
          </cell>
          <cell r="H22">
            <v>184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39.964800000000004</v>
          </cell>
          <cell r="N22">
            <v>41.563392000000007</v>
          </cell>
        </row>
        <row r="23">
          <cell r="C23" t="str">
            <v xml:space="preserve">  - CA-86B-87</v>
          </cell>
          <cell r="D23" t="str">
            <v>x2</v>
          </cell>
          <cell r="E23" t="str">
            <v>VT - 3P</v>
          </cell>
          <cell r="F23">
            <v>86</v>
          </cell>
          <cell r="G23">
            <v>89.44</v>
          </cell>
          <cell r="H23">
            <v>140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30.408000000000001</v>
          </cell>
          <cell r="N23">
            <v>31.624320000000001</v>
          </cell>
        </row>
        <row r="24">
          <cell r="C24" t="str">
            <v xml:space="preserve"> + CG-80  </v>
          </cell>
          <cell r="D24" t="str">
            <v>x2</v>
          </cell>
          <cell r="E24" t="str">
            <v>L6 - 5</v>
          </cell>
          <cell r="F24">
            <v>95</v>
          </cell>
          <cell r="G24">
            <v>98.8</v>
          </cell>
          <cell r="H24">
            <v>174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37.7928</v>
          </cell>
          <cell r="N24">
            <v>39.304512000000003</v>
          </cell>
        </row>
        <row r="25">
          <cell r="C25" t="str">
            <v xml:space="preserve"> - CG-85  </v>
          </cell>
          <cell r="D25" t="str">
            <v>x2</v>
          </cell>
          <cell r="E25" t="str">
            <v>VT - 3P</v>
          </cell>
          <cell r="F25">
            <v>83</v>
          </cell>
          <cell r="G25">
            <v>86.320000000000007</v>
          </cell>
          <cell r="H25">
            <v>144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31.276800000000001</v>
          </cell>
          <cell r="N25">
            <v>32.527872000000002</v>
          </cell>
        </row>
        <row r="26">
          <cell r="C26" t="str">
            <v xml:space="preserve"> + CK-85A</v>
          </cell>
          <cell r="D26" t="str">
            <v>x2</v>
          </cell>
          <cell r="E26" t="str">
            <v>L6 - 5</v>
          </cell>
          <cell r="F26">
            <v>73</v>
          </cell>
          <cell r="G26">
            <v>75.92</v>
          </cell>
          <cell r="H26">
            <v>112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24.3264</v>
          </cell>
          <cell r="N26">
            <v>25.299455999999999</v>
          </cell>
        </row>
        <row r="27">
          <cell r="C27" t="str">
            <v xml:space="preserve"> - CK-87A-88</v>
          </cell>
          <cell r="D27" t="str">
            <v>x2</v>
          </cell>
          <cell r="E27" t="str">
            <v>VT - 3P</v>
          </cell>
          <cell r="F27">
            <v>63</v>
          </cell>
          <cell r="G27">
            <v>65.52</v>
          </cell>
          <cell r="H27">
            <v>104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22.588799999999999</v>
          </cell>
          <cell r="N27">
            <v>23.492352</v>
          </cell>
        </row>
        <row r="28">
          <cell r="C28" t="str">
            <v xml:space="preserve"> + CL82C   </v>
          </cell>
          <cell r="D28" t="str">
            <v>x2</v>
          </cell>
          <cell r="E28" t="str">
            <v>L8 - 7</v>
          </cell>
          <cell r="F28">
            <v>64</v>
          </cell>
          <cell r="G28">
            <v>66.56</v>
          </cell>
          <cell r="H28">
            <v>92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23.165600000000001</v>
          </cell>
          <cell r="N28">
            <v>24.092224000000002</v>
          </cell>
        </row>
        <row r="29">
          <cell r="C29" t="str">
            <v xml:space="preserve"> + CL84B   </v>
          </cell>
          <cell r="D29" t="str">
            <v>x2</v>
          </cell>
          <cell r="E29" t="str">
            <v>L8 - 7</v>
          </cell>
          <cell r="F29">
            <v>56</v>
          </cell>
          <cell r="G29">
            <v>58.24</v>
          </cell>
          <cell r="H29">
            <v>82.8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20.849040000000002</v>
          </cell>
          <cell r="N29">
            <v>21.683001600000004</v>
          </cell>
        </row>
        <row r="30">
          <cell r="C30" t="str">
            <v xml:space="preserve"> - CL-84B - 85   </v>
          </cell>
          <cell r="D30" t="str">
            <v>x2</v>
          </cell>
          <cell r="E30" t="str">
            <v>VT - 3P</v>
          </cell>
          <cell r="F30">
            <v>56</v>
          </cell>
          <cell r="G30">
            <v>58.24</v>
          </cell>
          <cell r="H30">
            <v>85.8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18.635760000000001</v>
          </cell>
          <cell r="N30">
            <v>19.381190400000001</v>
          </cell>
        </row>
        <row r="31">
          <cell r="C31" t="str">
            <v xml:space="preserve"> - CL86 - 87</v>
          </cell>
          <cell r="D31" t="str">
            <v>x2</v>
          </cell>
          <cell r="E31" t="str">
            <v>VT - 3P</v>
          </cell>
          <cell r="F31">
            <v>49</v>
          </cell>
          <cell r="G31">
            <v>50.96</v>
          </cell>
          <cell r="H31">
            <v>74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16.072800000000001</v>
          </cell>
          <cell r="N31">
            <v>16.715712</v>
          </cell>
        </row>
        <row r="32">
          <cell r="C32" t="str">
            <v xml:space="preserve"> + CR-79  </v>
          </cell>
          <cell r="D32" t="str">
            <v>x2</v>
          </cell>
          <cell r="E32" t="str">
            <v>L6 - 5</v>
          </cell>
          <cell r="F32">
            <v>115</v>
          </cell>
          <cell r="G32">
            <v>119.60000000000001</v>
          </cell>
          <cell r="H32">
            <v>158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34.317599999999999</v>
          </cell>
          <cell r="N32">
            <v>35.690303999999998</v>
          </cell>
        </row>
        <row r="33">
          <cell r="C33" t="str">
            <v xml:space="preserve"> - CR-85  </v>
          </cell>
          <cell r="D33" t="str">
            <v>x2</v>
          </cell>
          <cell r="E33" t="str">
            <v>VT - 3P</v>
          </cell>
          <cell r="F33">
            <v>78</v>
          </cell>
          <cell r="G33">
            <v>81.12</v>
          </cell>
          <cell r="H33">
            <v>122.6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26.628719999999998</v>
          </cell>
          <cell r="N33">
            <v>27.693868799999997</v>
          </cell>
        </row>
        <row r="34">
          <cell r="C34" t="str">
            <v xml:space="preserve"> + O3-79  </v>
          </cell>
          <cell r="D34" t="str">
            <v>x2</v>
          </cell>
          <cell r="E34" t="str">
            <v>L6 - 5</v>
          </cell>
          <cell r="F34">
            <v>145</v>
          </cell>
          <cell r="G34">
            <v>150.80000000000001</v>
          </cell>
          <cell r="H34">
            <v>200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43.44</v>
          </cell>
          <cell r="N34">
            <v>45.177599999999998</v>
          </cell>
        </row>
        <row r="35">
          <cell r="C35" t="str">
            <v xml:space="preserve"> -  O3-81  </v>
          </cell>
          <cell r="D35" t="str">
            <v>x2</v>
          </cell>
          <cell r="E35" t="str">
            <v>VT - 3P</v>
          </cell>
          <cell r="F35">
            <v>145</v>
          </cell>
          <cell r="G35">
            <v>150.80000000000001</v>
          </cell>
          <cell r="H35">
            <v>161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34.969200000000001</v>
          </cell>
          <cell r="N35">
            <v>36.367968000000005</v>
          </cell>
        </row>
        <row r="37">
          <cell r="C37" t="str">
            <v xml:space="preserve"> + MA-73  </v>
          </cell>
          <cell r="D37" t="str">
            <v>x9</v>
          </cell>
          <cell r="E37" t="str">
            <v>L8 - 7</v>
          </cell>
          <cell r="F37">
            <v>185</v>
          </cell>
          <cell r="G37">
            <v>192.4</v>
          </cell>
          <cell r="H37">
            <v>160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40.288000000000004</v>
          </cell>
          <cell r="N37">
            <v>41.899520000000003</v>
          </cell>
        </row>
        <row r="38">
          <cell r="C38" t="str">
            <v xml:space="preserve"> + MA-82  </v>
          </cell>
          <cell r="D38" t="str">
            <v>x9</v>
          </cell>
          <cell r="E38" t="str">
            <v>L8 - 7</v>
          </cell>
          <cell r="F38">
            <v>129</v>
          </cell>
          <cell r="G38">
            <v>134.16</v>
          </cell>
          <cell r="H38">
            <v>118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29.712400000000002</v>
          </cell>
          <cell r="N38">
            <v>30.900896000000003</v>
          </cell>
        </row>
        <row r="39">
          <cell r="C39" t="str">
            <v xml:space="preserve"> - MA-82  </v>
          </cell>
          <cell r="D39" t="str">
            <v>x9</v>
          </cell>
          <cell r="E39" t="str">
            <v>VT - 3P</v>
          </cell>
          <cell r="F39">
            <v>129</v>
          </cell>
          <cell r="G39">
            <v>134.16</v>
          </cell>
          <cell r="H39">
            <v>127.4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27.671280000000003</v>
          </cell>
          <cell r="N39">
            <v>28.778131200000004</v>
          </cell>
        </row>
        <row r="40">
          <cell r="C40" t="str">
            <v xml:space="preserve"> - MA-86</v>
          </cell>
          <cell r="D40" t="str">
            <v>x9</v>
          </cell>
          <cell r="E40" t="str">
            <v>VT - 3P</v>
          </cell>
          <cell r="F40">
            <v>94</v>
          </cell>
          <cell r="G40">
            <v>97.76</v>
          </cell>
          <cell r="H40">
            <v>104.2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22.632239999999999</v>
          </cell>
          <cell r="N40">
            <v>23.537529599999999</v>
          </cell>
        </row>
        <row r="41">
          <cell r="C41" t="str">
            <v xml:space="preserve"> + MB-82  </v>
          </cell>
          <cell r="D41" t="str">
            <v>x6</v>
          </cell>
          <cell r="E41" t="str">
            <v>L8 - 7</v>
          </cell>
          <cell r="F41">
            <v>130</v>
          </cell>
          <cell r="G41">
            <v>135.20000000000002</v>
          </cell>
          <cell r="H41">
            <v>131.6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33.136880000000005</v>
          </cell>
          <cell r="N41">
            <v>34.462355200000005</v>
          </cell>
        </row>
        <row r="42">
          <cell r="C42" t="str">
            <v xml:space="preserve"> - MB-86  </v>
          </cell>
          <cell r="D42" t="str">
            <v>x6</v>
          </cell>
          <cell r="E42" t="str">
            <v>VT - 3P</v>
          </cell>
          <cell r="F42">
            <v>96</v>
          </cell>
          <cell r="G42">
            <v>99.84</v>
          </cell>
          <cell r="H42">
            <v>119.4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25.933680000000003</v>
          </cell>
          <cell r="N42">
            <v>26.971027200000002</v>
          </cell>
        </row>
        <row r="43">
          <cell r="C43" t="str">
            <v xml:space="preserve"> + MD-80  </v>
          </cell>
          <cell r="D43" t="str">
            <v>x4</v>
          </cell>
          <cell r="E43" t="str">
            <v>L8 - 7</v>
          </cell>
          <cell r="F43">
            <v>102</v>
          </cell>
          <cell r="G43">
            <v>106.08</v>
          </cell>
          <cell r="H43">
            <v>104.7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26.363460000000003</v>
          </cell>
          <cell r="N43">
            <v>27.417998400000005</v>
          </cell>
        </row>
        <row r="44">
          <cell r="C44" t="str">
            <v xml:space="preserve"> - MD-86  </v>
          </cell>
          <cell r="D44" t="str">
            <v>x4</v>
          </cell>
          <cell r="E44" t="str">
            <v>VT - 3P</v>
          </cell>
          <cell r="F44">
            <v>63</v>
          </cell>
          <cell r="G44">
            <v>65.52</v>
          </cell>
          <cell r="H44">
            <v>82.1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17.83212</v>
          </cell>
          <cell r="N44">
            <v>18.5454048</v>
          </cell>
        </row>
        <row r="45">
          <cell r="C45" t="str">
            <v xml:space="preserve"> + MF-85 </v>
          </cell>
          <cell r="D45" t="str">
            <v>x4</v>
          </cell>
          <cell r="E45" t="str">
            <v>L8 - 7</v>
          </cell>
          <cell r="F45">
            <v>110</v>
          </cell>
          <cell r="G45">
            <v>114.4</v>
          </cell>
          <cell r="H45">
            <v>124.4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31.323920000000005</v>
          </cell>
          <cell r="N45">
            <v>32.576876800000008</v>
          </cell>
        </row>
        <row r="46">
          <cell r="C46" t="str">
            <v xml:space="preserve"> - MF-87  </v>
          </cell>
          <cell r="D46" t="str">
            <v>x4</v>
          </cell>
          <cell r="E46" t="str">
            <v>VT - 3P</v>
          </cell>
          <cell r="F46">
            <v>94</v>
          </cell>
          <cell r="G46">
            <v>97.76</v>
          </cell>
          <cell r="H46">
            <v>122.8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26.672160000000002</v>
          </cell>
          <cell r="N46">
            <v>27.739046400000003</v>
          </cell>
        </row>
        <row r="47">
          <cell r="C47" t="str">
            <v xml:space="preserve"> + MG-82  </v>
          </cell>
          <cell r="D47" t="str">
            <v>x9</v>
          </cell>
          <cell r="E47" t="str">
            <v>L8 - 7</v>
          </cell>
          <cell r="F47">
            <v>148</v>
          </cell>
          <cell r="G47">
            <v>153.92000000000002</v>
          </cell>
          <cell r="H47">
            <v>141.5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35.629700000000007</v>
          </cell>
          <cell r="N47">
            <v>37.054888000000005</v>
          </cell>
        </row>
        <row r="48">
          <cell r="C48" t="str">
            <v xml:space="preserve"> + MG-86  </v>
          </cell>
          <cell r="D48" t="str">
            <v>x9</v>
          </cell>
          <cell r="E48" t="str">
            <v>L8 - 7</v>
          </cell>
          <cell r="F48">
            <v>110</v>
          </cell>
          <cell r="G48">
            <v>114.4</v>
          </cell>
          <cell r="H48">
            <v>158.4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39.885120000000008</v>
          </cell>
          <cell r="N48">
            <v>41.480524800000012</v>
          </cell>
        </row>
        <row r="49">
          <cell r="C49" t="str">
            <v xml:space="preserve"> - MG-86  </v>
          </cell>
          <cell r="D49" t="str">
            <v>x9</v>
          </cell>
          <cell r="E49" t="str">
            <v>VT - 3P</v>
          </cell>
          <cell r="F49">
            <v>110</v>
          </cell>
          <cell r="G49">
            <v>114.4</v>
          </cell>
          <cell r="H49">
            <v>129.30000000000001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28.083960000000005</v>
          </cell>
          <cell r="N49">
            <v>29.207318400000005</v>
          </cell>
        </row>
        <row r="51">
          <cell r="C51" t="str">
            <v>REMARK :</v>
          </cell>
        </row>
        <row r="52">
          <cell r="C52" t="str">
            <v>CONVERSION FACTOR :</v>
          </cell>
        </row>
        <row r="53">
          <cell r="E53" t="str">
            <v xml:space="preserve">F1      =  </v>
          </cell>
          <cell r="F53">
            <v>0</v>
          </cell>
          <cell r="H53" t="str">
            <v xml:space="preserve">F2      =  </v>
          </cell>
          <cell r="I53">
            <v>0</v>
          </cell>
        </row>
        <row r="54">
          <cell r="E54" t="str">
            <v xml:space="preserve">F3      =  </v>
          </cell>
          <cell r="F54">
            <v>0</v>
          </cell>
          <cell r="H54" t="str">
            <v xml:space="preserve">F4      =  </v>
          </cell>
          <cell r="I54">
            <v>0</v>
          </cell>
        </row>
        <row r="55">
          <cell r="E55" t="str">
            <v xml:space="preserve">F5      =  </v>
          </cell>
          <cell r="F55">
            <v>0</v>
          </cell>
          <cell r="H55" t="str">
            <v xml:space="preserve">F6      = </v>
          </cell>
          <cell r="I55">
            <v>0</v>
          </cell>
        </row>
        <row r="56">
          <cell r="E56" t="str">
            <v xml:space="preserve">F7      =  </v>
          </cell>
          <cell r="F56">
            <v>0</v>
          </cell>
          <cell r="H56" t="str">
            <v xml:space="preserve">F8      =  </v>
          </cell>
          <cell r="I56">
            <v>0</v>
          </cell>
        </row>
        <row r="57">
          <cell r="C5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59">
          <cell r="D59" t="str">
            <v>Mulai Pebruari 1988, material aktif dinaikkan 30% dari design.</v>
          </cell>
        </row>
        <row r="60">
          <cell r="D60" t="str">
            <v>Dari 13.5 gr / plate  menjadi 17.6 gr / plate ; untuk menyesuaikan kapasitas  battery  GM5Z-3B.</v>
          </cell>
        </row>
        <row r="61">
          <cell r="D61" t="str">
            <v>Mulai  28 Nopember 1988, material aktif dinaikkan   9 %  dari design.</v>
          </cell>
        </row>
        <row r="62">
          <cell r="D62" t="str">
            <v>Dari 19.4 gr / plate  menjadi  21.1  gr / plate ; untuk menyesuaikkan kapasitas battery  GM2.5A-3C-2.</v>
          </cell>
        </row>
        <row r="64">
          <cell r="C64" t="str">
            <v>RAW MATERIAL CONSUMPTION (PLATE)</v>
          </cell>
        </row>
        <row r="66">
          <cell r="I66" t="str">
            <v xml:space="preserve">A C T I V E    M A T E R I A L </v>
          </cell>
        </row>
        <row r="67">
          <cell r="F67" t="str">
            <v>GRID</v>
          </cell>
        </row>
        <row r="68">
          <cell r="C68" t="str">
            <v>PLATE  TYPE</v>
          </cell>
          <cell r="G68" t="str">
            <v>INCLUDE</v>
          </cell>
          <cell r="H68" t="str">
            <v>FORMED</v>
          </cell>
          <cell r="I68" t="str">
            <v>LEAD POWDER</v>
          </cell>
          <cell r="K68" t="str">
            <v>PURE LEAD</v>
          </cell>
          <cell r="M68" t="str">
            <v>ADDITIVE  MATERIAL</v>
          </cell>
        </row>
        <row r="69">
          <cell r="F69" t="str">
            <v>DRAWING</v>
          </cell>
          <cell r="G69" t="str">
            <v xml:space="preserve"> </v>
          </cell>
          <cell r="H69" t="str">
            <v>DRAWING</v>
          </cell>
          <cell r="I69" t="str">
            <v>C =</v>
          </cell>
          <cell r="J69" t="str">
            <v>D =</v>
          </cell>
          <cell r="K69" t="str">
            <v>E =</v>
          </cell>
          <cell r="L69" t="str">
            <v>F =</v>
          </cell>
          <cell r="M69" t="str">
            <v>G =</v>
          </cell>
          <cell r="N69" t="str">
            <v>H =</v>
          </cell>
        </row>
        <row r="70">
          <cell r="G70" t="str">
            <v>LOSS 4%</v>
          </cell>
          <cell r="H70" t="str">
            <v>B</v>
          </cell>
          <cell r="I70" t="str">
            <v xml:space="preserve">+B  x  F2  </v>
          </cell>
          <cell r="J70" t="str">
            <v>C x 1.04</v>
          </cell>
          <cell r="K70" t="str">
            <v>+B  x  F4</v>
          </cell>
          <cell r="L70" t="str">
            <v>E x 1.05</v>
          </cell>
          <cell r="M70" t="str">
            <v xml:space="preserve">L65 : B  x  F6 </v>
          </cell>
          <cell r="N70" t="str">
            <v>I x 1.04</v>
          </cell>
        </row>
        <row r="71">
          <cell r="F71" t="str">
            <v>A</v>
          </cell>
          <cell r="G71" t="str">
            <v xml:space="preserve"> </v>
          </cell>
          <cell r="I71" t="str">
            <v>-B  x  F3</v>
          </cell>
          <cell r="J71" t="str">
            <v>INCLUDE</v>
          </cell>
          <cell r="K71" t="str">
            <v>-B  x  F5</v>
          </cell>
          <cell r="L71" t="str">
            <v xml:space="preserve">INCLUDE </v>
          </cell>
          <cell r="M71" t="str">
            <v>L87 : B  x  F7</v>
          </cell>
          <cell r="N71" t="str">
            <v>INCLUDE</v>
          </cell>
        </row>
        <row r="72">
          <cell r="C72" t="str">
            <v>GRID</v>
          </cell>
          <cell r="E72" t="str">
            <v>PASTE</v>
          </cell>
          <cell r="G72" t="str">
            <v>A x 1.04</v>
          </cell>
          <cell r="J72" t="str">
            <v>LOSS 4%</v>
          </cell>
          <cell r="L72" t="str">
            <v>LOSS 5%</v>
          </cell>
          <cell r="M72" t="str">
            <v>VT3P : B  x  F8</v>
          </cell>
          <cell r="N72" t="str">
            <v>LOSS 4%</v>
          </cell>
        </row>
        <row r="73">
          <cell r="C73" t="str">
            <v>TYPE</v>
          </cell>
          <cell r="E73" t="str">
            <v>TYPE</v>
          </cell>
        </row>
        <row r="74">
          <cell r="F74" t="str">
            <v>g</v>
          </cell>
          <cell r="G74" t="str">
            <v>g</v>
          </cell>
          <cell r="H74" t="str">
            <v>g</v>
          </cell>
          <cell r="I74" t="str">
            <v>g</v>
          </cell>
          <cell r="J74" t="str">
            <v>g</v>
          </cell>
          <cell r="K74" t="str">
            <v>g</v>
          </cell>
          <cell r="L74" t="str">
            <v>g</v>
          </cell>
          <cell r="M74" t="str">
            <v>g</v>
          </cell>
          <cell r="N74" t="str">
            <v>g</v>
          </cell>
        </row>
        <row r="75">
          <cell r="C75" t="str">
            <v xml:space="preserve"> + MH-82  </v>
          </cell>
          <cell r="D75" t="str">
            <v>x4</v>
          </cell>
          <cell r="E75" t="str">
            <v>L8 - 7</v>
          </cell>
          <cell r="F75">
            <v>117</v>
          </cell>
          <cell r="G75">
            <v>121.68</v>
          </cell>
          <cell r="H75">
            <v>135.19999999999999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34.04336</v>
          </cell>
          <cell r="N75">
            <v>35.405094400000003</v>
          </cell>
        </row>
        <row r="76">
          <cell r="C76" t="str">
            <v xml:space="preserve"> + MH-86  </v>
          </cell>
          <cell r="D76" t="str">
            <v>x4</v>
          </cell>
          <cell r="E76" t="str">
            <v>L8 - 7</v>
          </cell>
          <cell r="F76">
            <v>86</v>
          </cell>
          <cell r="G76">
            <v>89.44</v>
          </cell>
          <cell r="H76">
            <v>106.5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26.816700000000001</v>
          </cell>
          <cell r="N76">
            <v>27.889368000000001</v>
          </cell>
        </row>
        <row r="77">
          <cell r="C77" t="str">
            <v xml:space="preserve"> - MH-86  </v>
          </cell>
          <cell r="D77" t="str">
            <v>x4</v>
          </cell>
          <cell r="E77" t="str">
            <v>VT - 3P</v>
          </cell>
          <cell r="F77">
            <v>86</v>
          </cell>
          <cell r="G77">
            <v>89.44</v>
          </cell>
          <cell r="H77">
            <v>118.8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25.803360000000001</v>
          </cell>
          <cell r="N77">
            <v>26.835494400000002</v>
          </cell>
        </row>
        <row r="78">
          <cell r="C78" t="str">
            <v xml:space="preserve"> + MQ - 76</v>
          </cell>
          <cell r="D78" t="str">
            <v>x 12</v>
          </cell>
          <cell r="E78" t="str">
            <v>L8 - 7</v>
          </cell>
          <cell r="F78">
            <v>173</v>
          </cell>
          <cell r="G78">
            <v>179.92000000000002</v>
          </cell>
          <cell r="H78">
            <v>123.3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31.046940000000003</v>
          </cell>
          <cell r="N78">
            <v>32.288817600000002</v>
          </cell>
        </row>
        <row r="79">
          <cell r="C79" t="str">
            <v xml:space="preserve"> - MQ - 81</v>
          </cell>
          <cell r="D79" t="str">
            <v>x 12</v>
          </cell>
          <cell r="E79" t="str">
            <v>VT - 3P</v>
          </cell>
          <cell r="F79">
            <v>139</v>
          </cell>
          <cell r="G79">
            <v>144.56</v>
          </cell>
          <cell r="H79">
            <v>103.9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22.567080000000001</v>
          </cell>
          <cell r="N79">
            <v>23.469763200000003</v>
          </cell>
        </row>
        <row r="80">
          <cell r="C80" t="str">
            <v xml:space="preserve"> + MV-69 A </v>
          </cell>
          <cell r="D80" t="str">
            <v>x8</v>
          </cell>
          <cell r="E80" t="str">
            <v>L8 - 7</v>
          </cell>
          <cell r="F80">
            <v>176</v>
          </cell>
          <cell r="G80">
            <v>183.04000000000002</v>
          </cell>
          <cell r="H80">
            <v>168.8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42.503840000000004</v>
          </cell>
          <cell r="N80">
            <v>44.203993600000004</v>
          </cell>
        </row>
        <row r="81">
          <cell r="C81" t="str">
            <v xml:space="preserve"> + MV-71  </v>
          </cell>
          <cell r="D81" t="str">
            <v>x8</v>
          </cell>
          <cell r="E81" t="str">
            <v>L8 - 7</v>
          </cell>
          <cell r="F81">
            <v>165</v>
          </cell>
          <cell r="G81">
            <v>171.6</v>
          </cell>
          <cell r="H81">
            <v>140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35.252000000000002</v>
          </cell>
          <cell r="N81">
            <v>36.662080000000003</v>
          </cell>
        </row>
        <row r="82">
          <cell r="C82" t="str">
            <v xml:space="preserve"> + MV-82  A</v>
          </cell>
          <cell r="D82" t="str">
            <v>x8</v>
          </cell>
          <cell r="E82" t="str">
            <v>L8 - 7</v>
          </cell>
          <cell r="F82">
            <v>104</v>
          </cell>
          <cell r="G82">
            <v>108.16</v>
          </cell>
          <cell r="H82">
            <v>90.5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22.7879</v>
          </cell>
          <cell r="N82">
            <v>23.699416000000003</v>
          </cell>
        </row>
        <row r="83">
          <cell r="C83" t="str">
            <v xml:space="preserve"> - MV-84 A </v>
          </cell>
          <cell r="D83" t="str">
            <v>x8</v>
          </cell>
          <cell r="E83" t="str">
            <v>VT - 3P</v>
          </cell>
          <cell r="F83">
            <v>102</v>
          </cell>
          <cell r="G83">
            <v>106.08</v>
          </cell>
          <cell r="H83">
            <v>90.6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19.678319999999999</v>
          </cell>
          <cell r="N83">
            <v>20.465452800000001</v>
          </cell>
        </row>
        <row r="84">
          <cell r="C84" t="str">
            <v xml:space="preserve"> + MW-84  </v>
          </cell>
          <cell r="D84" t="str">
            <v>x4</v>
          </cell>
          <cell r="E84" t="str">
            <v>L8 - 7</v>
          </cell>
          <cell r="F84">
            <v>109</v>
          </cell>
          <cell r="G84">
            <v>113.36</v>
          </cell>
          <cell r="H84">
            <v>116.3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29.284340000000004</v>
          </cell>
          <cell r="N84">
            <v>30.455713600000006</v>
          </cell>
        </row>
        <row r="85">
          <cell r="C85" t="str">
            <v xml:space="preserve"> - MW-87  </v>
          </cell>
          <cell r="D85" t="str">
            <v>x4</v>
          </cell>
          <cell r="E85" t="str">
            <v>VT - 3P</v>
          </cell>
          <cell r="F85">
            <v>77</v>
          </cell>
          <cell r="G85">
            <v>80.08</v>
          </cell>
          <cell r="H85">
            <v>115.9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25.173480000000001</v>
          </cell>
          <cell r="N85">
            <v>26.180419200000003</v>
          </cell>
        </row>
        <row r="87">
          <cell r="C87" t="str">
            <v>REMARK :</v>
          </cell>
        </row>
        <row r="88">
          <cell r="C88" t="str">
            <v>CONVERSION FACTOR :</v>
          </cell>
        </row>
        <row r="89">
          <cell r="E89" t="str">
            <v xml:space="preserve">F1      =  </v>
          </cell>
          <cell r="F89">
            <v>0</v>
          </cell>
          <cell r="H89" t="str">
            <v xml:space="preserve">F2      =  </v>
          </cell>
          <cell r="I89">
            <v>0</v>
          </cell>
        </row>
        <row r="90">
          <cell r="E90" t="str">
            <v xml:space="preserve">F3      =  </v>
          </cell>
          <cell r="F90">
            <v>0</v>
          </cell>
          <cell r="H90" t="str">
            <v xml:space="preserve">F4      =  </v>
          </cell>
          <cell r="I90">
            <v>0</v>
          </cell>
        </row>
        <row r="91">
          <cell r="E91" t="str">
            <v xml:space="preserve">F5      =  </v>
          </cell>
          <cell r="F91">
            <v>0</v>
          </cell>
          <cell r="H91" t="str">
            <v xml:space="preserve">F6      = </v>
          </cell>
          <cell r="I91">
            <v>0</v>
          </cell>
        </row>
        <row r="92">
          <cell r="E92" t="str">
            <v xml:space="preserve">F7      =  </v>
          </cell>
          <cell r="F92">
            <v>0</v>
          </cell>
          <cell r="H92" t="str">
            <v xml:space="preserve">F8      =  </v>
          </cell>
          <cell r="I92">
            <v>0</v>
          </cell>
        </row>
        <row r="93">
          <cell r="C93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95">
          <cell r="D95" t="str">
            <v>Mulai Pebruari 1988, material aktif dinaikkan 30% dari design.</v>
          </cell>
        </row>
        <row r="96">
          <cell r="D96" t="str">
            <v>Dari 13.5 gr / plate  menjadi 17.6 gr / plate ; untuk menyesuaikan kapasitas  battery  GM5Z-3B.</v>
          </cell>
        </row>
        <row r="97">
          <cell r="D97" t="str">
            <v>Mulai  28 Nopember 1988, material aktif dinaikkan   9 %  dari design.</v>
          </cell>
        </row>
        <row r="98">
          <cell r="D98" t="str">
            <v>Dari 19.4 gr / plate  menjadi  21.1  gr / plate ; untuk menyesuaikkan kapasitas battery  GM2.5A-3C-2.</v>
          </cell>
        </row>
      </sheetData>
      <sheetData sheetId="4"/>
      <sheetData sheetId="5"/>
      <sheetData sheetId="6">
        <row r="1">
          <cell r="D1" t="str">
            <v>MATERIAL CONSUMPTION LEAD PARTS &amp; LEAD STICK</v>
          </cell>
        </row>
        <row r="2">
          <cell r="D2" t="str">
            <v xml:space="preserve"> (  B A T T E R Y    A M B   )</v>
          </cell>
        </row>
        <row r="4">
          <cell r="D4" t="str">
            <v>P S    T Y P E   :</v>
          </cell>
        </row>
        <row r="7">
          <cell r="H7" t="str">
            <v>L E A D   P A R T S</v>
          </cell>
          <cell r="T7" t="str">
            <v>LEAD STICK</v>
          </cell>
          <cell r="U7" t="str">
            <v>TOTAL</v>
          </cell>
        </row>
        <row r="8">
          <cell r="D8" t="str">
            <v>BATTERY</v>
          </cell>
          <cell r="G8" t="str">
            <v xml:space="preserve"> </v>
          </cell>
          <cell r="P8" t="str">
            <v>A   x   Q'TY</v>
          </cell>
          <cell r="S8" t="str">
            <v xml:space="preserve"> </v>
          </cell>
          <cell r="T8" t="str">
            <v>x</v>
          </cell>
          <cell r="U8" t="str">
            <v>K C R</v>
          </cell>
        </row>
        <row r="9">
          <cell r="D9" t="str">
            <v>TYPE</v>
          </cell>
          <cell r="G9" t="str">
            <v xml:space="preserve"> </v>
          </cell>
          <cell r="H9" t="str">
            <v>TYPE</v>
          </cell>
          <cell r="M9" t="str">
            <v>Q'TY</v>
          </cell>
          <cell r="O9" t="str">
            <v>Weight</v>
          </cell>
          <cell r="P9" t="str">
            <v>Plastic</v>
          </cell>
          <cell r="R9" t="str">
            <v>AMB</v>
          </cell>
          <cell r="S9" t="str">
            <v>TOTAL</v>
          </cell>
          <cell r="T9">
            <v>1.04</v>
          </cell>
          <cell r="U9" t="str">
            <v>WEIGHT</v>
          </cell>
        </row>
        <row r="10">
          <cell r="O10" t="str">
            <v xml:space="preserve"> / pc.</v>
          </cell>
          <cell r="P10" t="str">
            <v>Injection</v>
          </cell>
          <cell r="R10" t="str">
            <v>ASSY</v>
          </cell>
          <cell r="S10" t="str">
            <v>Weight</v>
          </cell>
          <cell r="T10" t="str">
            <v>(AMB ASSY)</v>
          </cell>
          <cell r="U10" t="str">
            <v xml:space="preserve"> </v>
          </cell>
        </row>
        <row r="12">
          <cell r="O12" t="str">
            <v>gr</v>
          </cell>
          <cell r="Q12" t="str">
            <v>gr</v>
          </cell>
          <cell r="R12" t="str">
            <v>gr</v>
          </cell>
          <cell r="S12" t="str">
            <v>gr</v>
          </cell>
          <cell r="T12" t="str">
            <v>gr</v>
          </cell>
          <cell r="U12" t="str">
            <v>gr</v>
          </cell>
        </row>
        <row r="13">
          <cell r="D13" t="str">
            <v>12N24</v>
          </cell>
          <cell r="G13" t="str">
            <v xml:space="preserve"> </v>
          </cell>
          <cell r="H13" t="str">
            <v>C8</v>
          </cell>
          <cell r="I13" t="str">
            <v xml:space="preserve"> -</v>
          </cell>
          <cell r="J13" t="str">
            <v>A</v>
          </cell>
          <cell r="K13" t="str">
            <v>29N</v>
          </cell>
          <cell r="N13">
            <v>2</v>
          </cell>
          <cell r="O13">
            <v>38.1</v>
          </cell>
          <cell r="P13">
            <v>79.248000000000005</v>
          </cell>
          <cell r="R13" t="str">
            <v xml:space="preserve"> -</v>
          </cell>
          <cell r="S13">
            <v>332.488</v>
          </cell>
          <cell r="T13">
            <v>187</v>
          </cell>
          <cell r="U13">
            <v>519.48800000000006</v>
          </cell>
        </row>
        <row r="14">
          <cell r="D14" t="str">
            <v>(28A-19)</v>
          </cell>
          <cell r="G14" t="str">
            <v xml:space="preserve"> </v>
          </cell>
          <cell r="H14" t="str">
            <v>C8</v>
          </cell>
          <cell r="I14" t="str">
            <v xml:space="preserve"> -</v>
          </cell>
          <cell r="J14" t="str">
            <v>A</v>
          </cell>
          <cell r="K14" t="str">
            <v>31N</v>
          </cell>
          <cell r="N14">
            <v>5</v>
          </cell>
          <cell r="O14">
            <v>48.7</v>
          </cell>
          <cell r="P14">
            <v>253.24</v>
          </cell>
          <cell r="R14" t="str">
            <v xml:space="preserve"> -</v>
          </cell>
        </row>
        <row r="16">
          <cell r="D16" t="str">
            <v>NS  40</v>
          </cell>
          <cell r="G16" t="str">
            <v xml:space="preserve"> </v>
          </cell>
          <cell r="H16" t="str">
            <v>C 9</v>
          </cell>
          <cell r="I16" t="str">
            <v xml:space="preserve"> -</v>
          </cell>
          <cell r="J16" t="str">
            <v>A</v>
          </cell>
          <cell r="K16">
            <v>4</v>
          </cell>
          <cell r="N16">
            <v>1</v>
          </cell>
          <cell r="O16">
            <v>78</v>
          </cell>
          <cell r="P16">
            <v>81.12</v>
          </cell>
          <cell r="R16" t="str">
            <v xml:space="preserve"> -</v>
          </cell>
          <cell r="S16">
            <v>402.48</v>
          </cell>
          <cell r="T16">
            <v>198</v>
          </cell>
          <cell r="U16">
            <v>600.48</v>
          </cell>
        </row>
        <row r="17">
          <cell r="H17" t="str">
            <v>C 9</v>
          </cell>
          <cell r="I17" t="str">
            <v xml:space="preserve"> -</v>
          </cell>
          <cell r="J17" t="str">
            <v>A</v>
          </cell>
          <cell r="K17">
            <v>5</v>
          </cell>
          <cell r="N17">
            <v>1</v>
          </cell>
          <cell r="O17">
            <v>69</v>
          </cell>
          <cell r="P17">
            <v>71.760000000000005</v>
          </cell>
          <cell r="R17" t="str">
            <v xml:space="preserve"> -</v>
          </cell>
        </row>
        <row r="18">
          <cell r="H18" t="str">
            <v>C 9</v>
          </cell>
          <cell r="I18" t="str">
            <v xml:space="preserve"> -</v>
          </cell>
          <cell r="J18" t="str">
            <v>A</v>
          </cell>
          <cell r="K18">
            <v>6</v>
          </cell>
          <cell r="N18">
            <v>5</v>
          </cell>
          <cell r="O18">
            <v>48</v>
          </cell>
          <cell r="P18">
            <v>249.60000000000002</v>
          </cell>
          <cell r="R18" t="str">
            <v xml:space="preserve"> -</v>
          </cell>
        </row>
        <row r="20">
          <cell r="D20" t="str">
            <v>NS  40Z</v>
          </cell>
          <cell r="G20" t="str">
            <v xml:space="preserve"> </v>
          </cell>
          <cell r="H20" t="str">
            <v>C 9</v>
          </cell>
          <cell r="I20" t="str">
            <v xml:space="preserve"> -</v>
          </cell>
          <cell r="J20" t="str">
            <v>A</v>
          </cell>
          <cell r="K20">
            <v>4</v>
          </cell>
          <cell r="N20">
            <v>1</v>
          </cell>
          <cell r="O20">
            <v>78</v>
          </cell>
          <cell r="P20">
            <v>81.12</v>
          </cell>
          <cell r="R20" t="str">
            <v xml:space="preserve"> -</v>
          </cell>
          <cell r="S20">
            <v>402.48</v>
          </cell>
          <cell r="T20">
            <v>210</v>
          </cell>
          <cell r="U20">
            <v>612.48</v>
          </cell>
        </row>
        <row r="21">
          <cell r="D21" t="str">
            <v>NS  40 / L JDN</v>
          </cell>
          <cell r="G21" t="str">
            <v xml:space="preserve"> </v>
          </cell>
          <cell r="H21" t="str">
            <v>C 9</v>
          </cell>
          <cell r="I21" t="str">
            <v xml:space="preserve"> -</v>
          </cell>
          <cell r="J21" t="str">
            <v>A</v>
          </cell>
          <cell r="K21">
            <v>5</v>
          </cell>
          <cell r="N21">
            <v>1</v>
          </cell>
          <cell r="O21">
            <v>69</v>
          </cell>
          <cell r="P21">
            <v>71.760000000000005</v>
          </cell>
          <cell r="R21" t="str">
            <v xml:space="preserve"> -</v>
          </cell>
        </row>
        <row r="22">
          <cell r="H22" t="str">
            <v>C 9</v>
          </cell>
          <cell r="I22" t="str">
            <v xml:space="preserve"> -</v>
          </cell>
          <cell r="J22" t="str">
            <v>A</v>
          </cell>
          <cell r="K22">
            <v>6</v>
          </cell>
          <cell r="N22">
            <v>5</v>
          </cell>
          <cell r="O22">
            <v>48</v>
          </cell>
          <cell r="P22">
            <v>249.60000000000002</v>
          </cell>
          <cell r="R22" t="str">
            <v xml:space="preserve"> -</v>
          </cell>
        </row>
        <row r="24">
          <cell r="D24" t="str">
            <v>NS  40 / L  (S)</v>
          </cell>
          <cell r="G24" t="str">
            <v xml:space="preserve"> </v>
          </cell>
          <cell r="H24" t="str">
            <v>C10</v>
          </cell>
          <cell r="I24" t="str">
            <v xml:space="preserve"> -</v>
          </cell>
          <cell r="J24" t="str">
            <v>A</v>
          </cell>
          <cell r="K24">
            <v>51</v>
          </cell>
          <cell r="N24">
            <v>1</v>
          </cell>
          <cell r="O24">
            <v>102.5</v>
          </cell>
          <cell r="P24">
            <v>106.60000000000001</v>
          </cell>
          <cell r="R24" t="str">
            <v xml:space="preserve"> -</v>
          </cell>
          <cell r="S24">
            <v>450.84000000000003</v>
          </cell>
          <cell r="T24">
            <v>198</v>
          </cell>
          <cell r="U24">
            <v>648.84</v>
          </cell>
        </row>
        <row r="25">
          <cell r="H25" t="str">
            <v>C10</v>
          </cell>
          <cell r="I25" t="str">
            <v xml:space="preserve"> -</v>
          </cell>
          <cell r="J25" t="str">
            <v>A</v>
          </cell>
          <cell r="K25">
            <v>52</v>
          </cell>
          <cell r="N25">
            <v>1</v>
          </cell>
          <cell r="O25">
            <v>91</v>
          </cell>
          <cell r="P25">
            <v>94.64</v>
          </cell>
          <cell r="R25" t="str">
            <v xml:space="preserve"> -</v>
          </cell>
        </row>
        <row r="26">
          <cell r="H26" t="str">
            <v>C 9</v>
          </cell>
          <cell r="I26" t="str">
            <v xml:space="preserve"> -</v>
          </cell>
          <cell r="J26" t="str">
            <v>A</v>
          </cell>
          <cell r="K26">
            <v>6</v>
          </cell>
          <cell r="N26">
            <v>5</v>
          </cell>
          <cell r="O26">
            <v>48</v>
          </cell>
          <cell r="P26">
            <v>249.60000000000002</v>
          </cell>
          <cell r="R26" t="str">
            <v xml:space="preserve"> -</v>
          </cell>
        </row>
        <row r="28">
          <cell r="D28" t="str">
            <v>NS  40Z / L(S)</v>
          </cell>
          <cell r="G28" t="str">
            <v xml:space="preserve"> </v>
          </cell>
          <cell r="H28" t="str">
            <v>C10</v>
          </cell>
          <cell r="I28" t="str">
            <v xml:space="preserve"> -</v>
          </cell>
          <cell r="J28" t="str">
            <v>A</v>
          </cell>
          <cell r="K28">
            <v>51</v>
          </cell>
          <cell r="N28">
            <v>1</v>
          </cell>
          <cell r="O28">
            <v>102.5</v>
          </cell>
          <cell r="P28">
            <v>106.60000000000001</v>
          </cell>
          <cell r="R28" t="str">
            <v xml:space="preserve"> -</v>
          </cell>
          <cell r="S28">
            <v>450.84000000000003</v>
          </cell>
          <cell r="T28">
            <v>210</v>
          </cell>
          <cell r="U28">
            <v>660.84</v>
          </cell>
        </row>
        <row r="29">
          <cell r="H29" t="str">
            <v>C10</v>
          </cell>
          <cell r="I29" t="str">
            <v xml:space="preserve"> -</v>
          </cell>
          <cell r="J29" t="str">
            <v>A</v>
          </cell>
          <cell r="K29">
            <v>52</v>
          </cell>
          <cell r="N29">
            <v>1</v>
          </cell>
          <cell r="O29">
            <v>91</v>
          </cell>
          <cell r="P29">
            <v>94.64</v>
          </cell>
          <cell r="R29" t="str">
            <v xml:space="preserve"> -</v>
          </cell>
        </row>
        <row r="30">
          <cell r="H30" t="str">
            <v>C9</v>
          </cell>
          <cell r="I30" t="str">
            <v xml:space="preserve"> -</v>
          </cell>
          <cell r="J30" t="str">
            <v>A</v>
          </cell>
          <cell r="K30">
            <v>6</v>
          </cell>
          <cell r="N30">
            <v>5</v>
          </cell>
          <cell r="O30">
            <v>48</v>
          </cell>
          <cell r="P30">
            <v>249.60000000000002</v>
          </cell>
          <cell r="R30" t="str">
            <v xml:space="preserve"> -</v>
          </cell>
        </row>
        <row r="32">
          <cell r="D32" t="str">
            <v>N  40</v>
          </cell>
          <cell r="G32" t="str">
            <v xml:space="preserve"> </v>
          </cell>
          <cell r="H32" t="str">
            <v>C10</v>
          </cell>
          <cell r="I32" t="str">
            <v xml:space="preserve"> -</v>
          </cell>
          <cell r="J32" t="str">
            <v>A</v>
          </cell>
          <cell r="K32">
            <v>41</v>
          </cell>
          <cell r="N32">
            <v>1</v>
          </cell>
          <cell r="O32">
            <v>109.5</v>
          </cell>
          <cell r="P32">
            <v>113.88000000000001</v>
          </cell>
          <cell r="R32" t="str">
            <v xml:space="preserve"> -</v>
          </cell>
          <cell r="S32">
            <v>600.6</v>
          </cell>
          <cell r="T32">
            <v>265</v>
          </cell>
          <cell r="U32">
            <v>865.6</v>
          </cell>
        </row>
        <row r="33">
          <cell r="H33" t="str">
            <v>C10</v>
          </cell>
          <cell r="I33" t="str">
            <v xml:space="preserve"> -</v>
          </cell>
          <cell r="J33" t="str">
            <v>A</v>
          </cell>
          <cell r="K33">
            <v>42</v>
          </cell>
          <cell r="N33">
            <v>1</v>
          </cell>
          <cell r="O33">
            <v>103</v>
          </cell>
          <cell r="P33">
            <v>107.12</v>
          </cell>
          <cell r="R33" t="str">
            <v xml:space="preserve"> -</v>
          </cell>
        </row>
        <row r="34">
          <cell r="H34" t="str">
            <v>C10</v>
          </cell>
          <cell r="I34" t="str">
            <v xml:space="preserve"> -</v>
          </cell>
          <cell r="J34" t="str">
            <v>A</v>
          </cell>
          <cell r="K34">
            <v>3</v>
          </cell>
          <cell r="N34">
            <v>5</v>
          </cell>
          <cell r="O34">
            <v>73</v>
          </cell>
          <cell r="P34">
            <v>379.6</v>
          </cell>
          <cell r="R34" t="str">
            <v xml:space="preserve"> -</v>
          </cell>
          <cell r="U34" t="str">
            <v xml:space="preserve"> </v>
          </cell>
        </row>
        <row r="36">
          <cell r="D36" t="str">
            <v>NS  60</v>
          </cell>
          <cell r="G36" t="str">
            <v xml:space="preserve"> </v>
          </cell>
          <cell r="H36" t="str">
            <v>C 9</v>
          </cell>
          <cell r="I36" t="str">
            <v xml:space="preserve"> -</v>
          </cell>
          <cell r="J36" t="str">
            <v>A</v>
          </cell>
          <cell r="K36">
            <v>7</v>
          </cell>
          <cell r="N36">
            <v>1</v>
          </cell>
          <cell r="O36">
            <v>89.5</v>
          </cell>
          <cell r="P36">
            <v>93.08</v>
          </cell>
          <cell r="R36" t="str">
            <v xml:space="preserve"> -</v>
          </cell>
          <cell r="S36">
            <v>575.64</v>
          </cell>
          <cell r="T36">
            <v>255</v>
          </cell>
          <cell r="U36">
            <v>830.64</v>
          </cell>
        </row>
        <row r="37">
          <cell r="H37" t="str">
            <v>C 9</v>
          </cell>
          <cell r="I37" t="str">
            <v xml:space="preserve"> -</v>
          </cell>
          <cell r="J37" t="str">
            <v>A</v>
          </cell>
          <cell r="K37">
            <v>8</v>
          </cell>
          <cell r="N37">
            <v>1</v>
          </cell>
          <cell r="O37">
            <v>84.5</v>
          </cell>
          <cell r="P37">
            <v>87.88000000000001</v>
          </cell>
          <cell r="R37" t="str">
            <v xml:space="preserve"> -</v>
          </cell>
        </row>
        <row r="38">
          <cell r="H38" t="str">
            <v>C10</v>
          </cell>
          <cell r="I38" t="str">
            <v xml:space="preserve"> -</v>
          </cell>
          <cell r="J38" t="str">
            <v>A</v>
          </cell>
          <cell r="K38">
            <v>3</v>
          </cell>
          <cell r="N38">
            <v>5</v>
          </cell>
          <cell r="O38">
            <v>75.900000000000006</v>
          </cell>
          <cell r="P38">
            <v>394.68</v>
          </cell>
          <cell r="R38" t="str">
            <v xml:space="preserve"> -</v>
          </cell>
        </row>
        <row r="40">
          <cell r="D40" t="str">
            <v>NS  60  (S)</v>
          </cell>
          <cell r="G40" t="str">
            <v xml:space="preserve"> </v>
          </cell>
          <cell r="H40" t="str">
            <v>C10</v>
          </cell>
          <cell r="I40" t="str">
            <v xml:space="preserve"> -</v>
          </cell>
          <cell r="J40" t="str">
            <v>A</v>
          </cell>
          <cell r="K40">
            <v>41</v>
          </cell>
          <cell r="N40">
            <v>1</v>
          </cell>
          <cell r="O40">
            <v>109.5</v>
          </cell>
          <cell r="P40">
            <v>113.88000000000001</v>
          </cell>
          <cell r="R40" t="str">
            <v xml:space="preserve"> -</v>
          </cell>
          <cell r="S40">
            <v>600.6</v>
          </cell>
          <cell r="T40">
            <v>255</v>
          </cell>
          <cell r="U40">
            <v>855.6</v>
          </cell>
        </row>
        <row r="41">
          <cell r="G41" t="str">
            <v xml:space="preserve"> </v>
          </cell>
          <cell r="H41" t="str">
            <v>C10</v>
          </cell>
          <cell r="I41" t="str">
            <v xml:space="preserve"> -</v>
          </cell>
          <cell r="J41" t="str">
            <v>A</v>
          </cell>
          <cell r="K41">
            <v>42</v>
          </cell>
          <cell r="N41">
            <v>1</v>
          </cell>
          <cell r="O41">
            <v>103</v>
          </cell>
          <cell r="P41">
            <v>107.12</v>
          </cell>
          <cell r="R41" t="str">
            <v xml:space="preserve"> -</v>
          </cell>
        </row>
        <row r="42">
          <cell r="H42" t="str">
            <v>C10</v>
          </cell>
          <cell r="I42" t="str">
            <v xml:space="preserve"> -</v>
          </cell>
          <cell r="J42" t="str">
            <v>A</v>
          </cell>
          <cell r="K42">
            <v>3</v>
          </cell>
          <cell r="N42">
            <v>5</v>
          </cell>
          <cell r="O42">
            <v>73</v>
          </cell>
          <cell r="P42">
            <v>379.6</v>
          </cell>
          <cell r="R42" t="str">
            <v xml:space="preserve"> -</v>
          </cell>
        </row>
        <row r="46">
          <cell r="D46" t="str">
            <v>MATERIAL CONSUMPTION LEAD PARTS &amp; LEAD STICK</v>
          </cell>
        </row>
        <row r="47">
          <cell r="D47" t="str">
            <v xml:space="preserve"> (  B A T T E R Y    A M B   )</v>
          </cell>
        </row>
        <row r="49">
          <cell r="D49" t="str">
            <v>P W    T Y P E   :</v>
          </cell>
        </row>
        <row r="52">
          <cell r="H52" t="str">
            <v>L E A D   P A R T S</v>
          </cell>
          <cell r="T52" t="str">
            <v>LEAD STICK</v>
          </cell>
          <cell r="U52" t="str">
            <v>TOTAL</v>
          </cell>
        </row>
        <row r="53">
          <cell r="D53" t="str">
            <v>BATTERY</v>
          </cell>
          <cell r="G53" t="str">
            <v xml:space="preserve"> </v>
          </cell>
          <cell r="P53" t="str">
            <v>A x 1.04 x Q'TY</v>
          </cell>
          <cell r="T53" t="str">
            <v>x</v>
          </cell>
          <cell r="U53" t="str">
            <v xml:space="preserve">K C R </v>
          </cell>
        </row>
        <row r="54">
          <cell r="D54" t="str">
            <v>TYPE</v>
          </cell>
          <cell r="G54" t="str">
            <v xml:space="preserve"> </v>
          </cell>
          <cell r="H54" t="str">
            <v>TYPE</v>
          </cell>
          <cell r="M54" t="str">
            <v>Q'TY</v>
          </cell>
          <cell r="O54" t="str">
            <v>Weight</v>
          </cell>
          <cell r="P54" t="str">
            <v>Plastic</v>
          </cell>
          <cell r="R54" t="str">
            <v>AMB</v>
          </cell>
          <cell r="S54" t="str">
            <v>TOTAL</v>
          </cell>
          <cell r="T54">
            <v>1.04</v>
          </cell>
          <cell r="U54" t="str">
            <v>WEIGHT</v>
          </cell>
        </row>
        <row r="55">
          <cell r="O55" t="str">
            <v xml:space="preserve"> / pcs</v>
          </cell>
          <cell r="P55" t="str">
            <v>Injection</v>
          </cell>
          <cell r="R55" t="str">
            <v>ASSY</v>
          </cell>
          <cell r="S55" t="str">
            <v>Weight</v>
          </cell>
          <cell r="T55" t="str">
            <v>(AMB ASSY)</v>
          </cell>
          <cell r="U55" t="str">
            <v xml:space="preserve"> </v>
          </cell>
        </row>
        <row r="57">
          <cell r="O57" t="str">
            <v>gr</v>
          </cell>
          <cell r="Q57" t="str">
            <v>gr</v>
          </cell>
          <cell r="R57" t="str">
            <v>gr</v>
          </cell>
          <cell r="S57" t="str">
            <v>gr</v>
          </cell>
          <cell r="T57" t="str">
            <v>gr</v>
          </cell>
          <cell r="U57" t="str">
            <v>gr</v>
          </cell>
        </row>
        <row r="58">
          <cell r="D58" t="str">
            <v>N 50Z</v>
          </cell>
          <cell r="G58" t="str">
            <v xml:space="preserve"> </v>
          </cell>
          <cell r="H58">
            <v>10</v>
          </cell>
          <cell r="I58" t="str">
            <v xml:space="preserve"> -</v>
          </cell>
          <cell r="J58" t="str">
            <v>A</v>
          </cell>
          <cell r="K58">
            <v>14</v>
          </cell>
          <cell r="N58">
            <v>1</v>
          </cell>
          <cell r="O58">
            <v>72</v>
          </cell>
          <cell r="P58">
            <v>74.88</v>
          </cell>
          <cell r="R58" t="str">
            <v xml:space="preserve"> -</v>
          </cell>
          <cell r="S58">
            <v>633.77599999999995</v>
          </cell>
          <cell r="T58">
            <v>231</v>
          </cell>
          <cell r="U58">
            <v>864.77599999999995</v>
          </cell>
        </row>
        <row r="59">
          <cell r="D59" t="str">
            <v>NS70</v>
          </cell>
          <cell r="G59" t="str">
            <v xml:space="preserve"> </v>
          </cell>
          <cell r="H59">
            <v>10</v>
          </cell>
          <cell r="I59" t="str">
            <v xml:space="preserve"> -</v>
          </cell>
          <cell r="J59" t="str">
            <v>A</v>
          </cell>
          <cell r="K59">
            <v>15</v>
          </cell>
          <cell r="N59">
            <v>1</v>
          </cell>
          <cell r="O59">
            <v>64</v>
          </cell>
          <cell r="P59">
            <v>66.56</v>
          </cell>
          <cell r="R59" t="str">
            <v xml:space="preserve"> -</v>
          </cell>
        </row>
        <row r="60">
          <cell r="D60" t="str">
            <v>N 50</v>
          </cell>
          <cell r="G60" t="str">
            <v xml:space="preserve"> </v>
          </cell>
          <cell r="H60" t="str">
            <v>B10</v>
          </cell>
          <cell r="I60" t="str">
            <v xml:space="preserve"> -</v>
          </cell>
          <cell r="J60" t="str">
            <v>A</v>
          </cell>
          <cell r="K60">
            <v>127</v>
          </cell>
          <cell r="N60">
            <v>2</v>
          </cell>
          <cell r="O60">
            <v>64.2</v>
          </cell>
          <cell r="P60" t="str">
            <v xml:space="preserve"> -</v>
          </cell>
          <cell r="R60">
            <v>133.536</v>
          </cell>
        </row>
        <row r="61">
          <cell r="H61" t="str">
            <v>RF10</v>
          </cell>
          <cell r="I61" t="str">
            <v xml:space="preserve"> -</v>
          </cell>
          <cell r="J61" t="str">
            <v>A</v>
          </cell>
          <cell r="K61">
            <v>13</v>
          </cell>
          <cell r="N61">
            <v>5</v>
          </cell>
          <cell r="O61">
            <v>34.5</v>
          </cell>
          <cell r="P61" t="str">
            <v xml:space="preserve"> -</v>
          </cell>
          <cell r="R61">
            <v>179.4</v>
          </cell>
        </row>
        <row r="62">
          <cell r="H62" t="str">
            <v>RF10</v>
          </cell>
          <cell r="I62" t="str">
            <v xml:space="preserve"> -</v>
          </cell>
          <cell r="J62" t="str">
            <v>A</v>
          </cell>
          <cell r="K62">
            <v>14</v>
          </cell>
          <cell r="N62">
            <v>5</v>
          </cell>
          <cell r="O62">
            <v>34.5</v>
          </cell>
          <cell r="P62" t="str">
            <v xml:space="preserve"> -</v>
          </cell>
          <cell r="R62">
            <v>179.4</v>
          </cell>
        </row>
        <row r="64">
          <cell r="D64" t="str">
            <v>566-17</v>
          </cell>
          <cell r="G64" t="str">
            <v xml:space="preserve"> </v>
          </cell>
          <cell r="H64">
            <v>10</v>
          </cell>
          <cell r="I64" t="str">
            <v xml:space="preserve"> -</v>
          </cell>
          <cell r="J64" t="str">
            <v>A</v>
          </cell>
          <cell r="K64">
            <v>16</v>
          </cell>
          <cell r="N64">
            <v>1</v>
          </cell>
          <cell r="O64">
            <v>73</v>
          </cell>
          <cell r="P64">
            <v>75.92</v>
          </cell>
          <cell r="R64" t="str">
            <v xml:space="preserve"> -</v>
          </cell>
          <cell r="S64">
            <v>633.36</v>
          </cell>
          <cell r="T64">
            <v>343</v>
          </cell>
          <cell r="U64">
            <v>976.36</v>
          </cell>
        </row>
        <row r="65">
          <cell r="D65" t="str">
            <v>(588-15)</v>
          </cell>
          <cell r="G65" t="str">
            <v xml:space="preserve"> </v>
          </cell>
          <cell r="H65">
            <v>10</v>
          </cell>
          <cell r="I65" t="str">
            <v xml:space="preserve"> -</v>
          </cell>
          <cell r="J65" t="str">
            <v>A</v>
          </cell>
          <cell r="K65">
            <v>17</v>
          </cell>
          <cell r="N65">
            <v>1</v>
          </cell>
          <cell r="O65">
            <v>65</v>
          </cell>
          <cell r="P65">
            <v>67.600000000000009</v>
          </cell>
          <cell r="R65" t="str">
            <v xml:space="preserve"> -</v>
          </cell>
          <cell r="T65" t="str">
            <v>(334)</v>
          </cell>
          <cell r="U65">
            <v>633.36</v>
          </cell>
        </row>
        <row r="66">
          <cell r="D66" t="str">
            <v>(580-24)</v>
          </cell>
          <cell r="G66" t="str">
            <v xml:space="preserve"> </v>
          </cell>
          <cell r="H66" t="str">
            <v>B10</v>
          </cell>
          <cell r="I66" t="str">
            <v xml:space="preserve"> -</v>
          </cell>
          <cell r="J66" t="str">
            <v>A</v>
          </cell>
          <cell r="K66">
            <v>120</v>
          </cell>
          <cell r="N66">
            <v>2</v>
          </cell>
          <cell r="O66">
            <v>63</v>
          </cell>
          <cell r="P66" t="str">
            <v xml:space="preserve"> -</v>
          </cell>
          <cell r="R66">
            <v>131.04</v>
          </cell>
          <cell r="T66" t="str">
            <v>(257)</v>
          </cell>
          <cell r="U66">
            <v>633.36</v>
          </cell>
        </row>
        <row r="67">
          <cell r="D67" t="str">
            <v>555-30</v>
          </cell>
          <cell r="G67" t="str">
            <v xml:space="preserve"> </v>
          </cell>
          <cell r="H67" t="str">
            <v>RF10</v>
          </cell>
          <cell r="I67" t="str">
            <v xml:space="preserve"> -</v>
          </cell>
          <cell r="J67" t="str">
            <v>A</v>
          </cell>
          <cell r="K67">
            <v>13</v>
          </cell>
          <cell r="N67">
            <v>5</v>
          </cell>
          <cell r="O67">
            <v>34.5</v>
          </cell>
          <cell r="P67" t="str">
            <v xml:space="preserve"> -</v>
          </cell>
          <cell r="R67">
            <v>179.4</v>
          </cell>
          <cell r="T67">
            <v>343</v>
          </cell>
          <cell r="U67">
            <v>976.36</v>
          </cell>
        </row>
        <row r="68">
          <cell r="H68" t="str">
            <v>RF10</v>
          </cell>
          <cell r="I68" t="str">
            <v xml:space="preserve"> -</v>
          </cell>
          <cell r="J68" t="str">
            <v>A</v>
          </cell>
          <cell r="K68">
            <v>14</v>
          </cell>
          <cell r="N68">
            <v>5</v>
          </cell>
          <cell r="O68">
            <v>34.5</v>
          </cell>
          <cell r="P68" t="str">
            <v xml:space="preserve"> -</v>
          </cell>
          <cell r="R68">
            <v>179.4</v>
          </cell>
        </row>
        <row r="70">
          <cell r="D70" t="str">
            <v>N 70</v>
          </cell>
          <cell r="G70" t="str">
            <v xml:space="preserve"> </v>
          </cell>
          <cell r="H70">
            <v>10</v>
          </cell>
          <cell r="I70" t="str">
            <v xml:space="preserve"> -</v>
          </cell>
          <cell r="J70" t="str">
            <v>A</v>
          </cell>
          <cell r="K70">
            <v>37</v>
          </cell>
          <cell r="N70">
            <v>1</v>
          </cell>
          <cell r="O70">
            <v>68.2</v>
          </cell>
          <cell r="P70">
            <v>70.928000000000011</v>
          </cell>
          <cell r="R70" t="str">
            <v xml:space="preserve"> -</v>
          </cell>
          <cell r="S70">
            <v>725.60799999999995</v>
          </cell>
          <cell r="T70">
            <v>433</v>
          </cell>
          <cell r="U70">
            <v>1158.6079999999999</v>
          </cell>
        </row>
        <row r="71">
          <cell r="G71" t="str">
            <v xml:space="preserve"> </v>
          </cell>
          <cell r="H71">
            <v>10</v>
          </cell>
          <cell r="I71" t="str">
            <v xml:space="preserve"> -</v>
          </cell>
          <cell r="J71" t="str">
            <v>A</v>
          </cell>
          <cell r="K71">
            <v>38</v>
          </cell>
          <cell r="N71">
            <v>1</v>
          </cell>
          <cell r="O71">
            <v>62.5</v>
          </cell>
          <cell r="P71">
            <v>65</v>
          </cell>
          <cell r="R71" t="str">
            <v xml:space="preserve"> -</v>
          </cell>
        </row>
        <row r="72">
          <cell r="H72" t="str">
            <v>B10</v>
          </cell>
          <cell r="I72" t="str">
            <v xml:space="preserve"> -</v>
          </cell>
          <cell r="J72" t="str">
            <v>A</v>
          </cell>
          <cell r="K72">
            <v>110</v>
          </cell>
          <cell r="N72">
            <v>2</v>
          </cell>
          <cell r="O72">
            <v>96</v>
          </cell>
          <cell r="P72" t="str">
            <v xml:space="preserve"> -</v>
          </cell>
          <cell r="R72">
            <v>199.68</v>
          </cell>
        </row>
        <row r="73">
          <cell r="G73" t="str">
            <v xml:space="preserve"> </v>
          </cell>
          <cell r="H73" t="str">
            <v>RT10</v>
          </cell>
          <cell r="I73" t="str">
            <v xml:space="preserve"> -</v>
          </cell>
          <cell r="J73" t="str">
            <v>A</v>
          </cell>
          <cell r="K73">
            <v>1</v>
          </cell>
          <cell r="N73">
            <v>5</v>
          </cell>
          <cell r="O73">
            <v>37.5</v>
          </cell>
          <cell r="P73" t="str">
            <v xml:space="preserve"> -</v>
          </cell>
          <cell r="R73">
            <v>195</v>
          </cell>
        </row>
        <row r="74">
          <cell r="G74" t="str">
            <v xml:space="preserve"> </v>
          </cell>
          <cell r="H74" t="str">
            <v>RT10</v>
          </cell>
          <cell r="I74" t="str">
            <v xml:space="preserve"> -</v>
          </cell>
          <cell r="J74" t="str">
            <v>A</v>
          </cell>
          <cell r="K74">
            <v>2</v>
          </cell>
          <cell r="N74">
            <v>5</v>
          </cell>
          <cell r="O74">
            <v>37.5</v>
          </cell>
          <cell r="P74" t="str">
            <v xml:space="preserve"> -</v>
          </cell>
          <cell r="R74">
            <v>195</v>
          </cell>
        </row>
        <row r="76">
          <cell r="D76" t="str">
            <v>N 70Z</v>
          </cell>
          <cell r="G76" t="str">
            <v xml:space="preserve"> </v>
          </cell>
          <cell r="H76">
            <v>10</v>
          </cell>
          <cell r="I76" t="str">
            <v xml:space="preserve"> -</v>
          </cell>
          <cell r="J76" t="str">
            <v>A</v>
          </cell>
          <cell r="K76">
            <v>37</v>
          </cell>
          <cell r="N76">
            <v>1</v>
          </cell>
          <cell r="O76">
            <v>68.2</v>
          </cell>
          <cell r="P76">
            <v>70.928000000000011</v>
          </cell>
          <cell r="R76" t="str">
            <v xml:space="preserve"> -</v>
          </cell>
          <cell r="S76">
            <v>725.60799999999995</v>
          </cell>
          <cell r="T76">
            <v>441</v>
          </cell>
          <cell r="U76">
            <v>1166.6079999999999</v>
          </cell>
        </row>
        <row r="77">
          <cell r="H77">
            <v>10</v>
          </cell>
          <cell r="I77" t="str">
            <v xml:space="preserve"> -</v>
          </cell>
          <cell r="J77" t="str">
            <v>A</v>
          </cell>
          <cell r="K77">
            <v>38</v>
          </cell>
          <cell r="N77">
            <v>1</v>
          </cell>
          <cell r="O77">
            <v>62.5</v>
          </cell>
          <cell r="P77">
            <v>65</v>
          </cell>
          <cell r="R77" t="str">
            <v xml:space="preserve"> -</v>
          </cell>
        </row>
        <row r="78">
          <cell r="G78" t="str">
            <v xml:space="preserve"> </v>
          </cell>
          <cell r="H78" t="str">
            <v>B10</v>
          </cell>
          <cell r="I78" t="str">
            <v xml:space="preserve"> -</v>
          </cell>
          <cell r="J78" t="str">
            <v>A</v>
          </cell>
          <cell r="K78">
            <v>110</v>
          </cell>
          <cell r="N78">
            <v>2</v>
          </cell>
          <cell r="O78">
            <v>96</v>
          </cell>
          <cell r="P78" t="str">
            <v xml:space="preserve"> -</v>
          </cell>
          <cell r="R78">
            <v>199.68</v>
          </cell>
        </row>
        <row r="79">
          <cell r="G79" t="str">
            <v xml:space="preserve"> </v>
          </cell>
          <cell r="H79" t="str">
            <v>RT10</v>
          </cell>
          <cell r="I79" t="str">
            <v xml:space="preserve"> -</v>
          </cell>
          <cell r="J79" t="str">
            <v>A</v>
          </cell>
          <cell r="K79">
            <v>1</v>
          </cell>
          <cell r="N79">
            <v>5</v>
          </cell>
          <cell r="O79">
            <v>37.5</v>
          </cell>
          <cell r="P79" t="str">
            <v xml:space="preserve"> -</v>
          </cell>
          <cell r="R79">
            <v>195</v>
          </cell>
        </row>
        <row r="80">
          <cell r="H80" t="str">
            <v>RT10</v>
          </cell>
          <cell r="I80" t="str">
            <v xml:space="preserve"> -</v>
          </cell>
          <cell r="J80" t="str">
            <v>A</v>
          </cell>
          <cell r="K80">
            <v>2</v>
          </cell>
          <cell r="N80">
            <v>5</v>
          </cell>
          <cell r="O80">
            <v>37.5</v>
          </cell>
          <cell r="P80" t="str">
            <v xml:space="preserve"> -</v>
          </cell>
          <cell r="R80">
            <v>195</v>
          </cell>
        </row>
        <row r="82">
          <cell r="D82" t="str">
            <v>N 70 / L / Z</v>
          </cell>
          <cell r="H82">
            <v>10</v>
          </cell>
          <cell r="I82" t="str">
            <v xml:space="preserve"> -</v>
          </cell>
          <cell r="J82" t="str">
            <v>A</v>
          </cell>
          <cell r="K82">
            <v>14</v>
          </cell>
          <cell r="N82">
            <v>1</v>
          </cell>
          <cell r="O82">
            <v>72</v>
          </cell>
          <cell r="P82">
            <v>74.88</v>
          </cell>
          <cell r="R82" t="str">
            <v xml:space="preserve"> -</v>
          </cell>
          <cell r="S82">
            <v>709.28</v>
          </cell>
          <cell r="T82">
            <v>441</v>
          </cell>
          <cell r="U82">
            <v>1150.28</v>
          </cell>
        </row>
        <row r="83">
          <cell r="D83" t="str">
            <v xml:space="preserve"> ( NEW )</v>
          </cell>
          <cell r="H83">
            <v>10</v>
          </cell>
          <cell r="I83" t="str">
            <v xml:space="preserve"> -</v>
          </cell>
          <cell r="J83" t="str">
            <v>A</v>
          </cell>
          <cell r="K83">
            <v>15</v>
          </cell>
          <cell r="N83">
            <v>1</v>
          </cell>
          <cell r="O83">
            <v>64</v>
          </cell>
          <cell r="P83">
            <v>66.56</v>
          </cell>
          <cell r="R83" t="str">
            <v xml:space="preserve"> -</v>
          </cell>
        </row>
        <row r="84">
          <cell r="H84" t="str">
            <v>B10</v>
          </cell>
          <cell r="I84" t="str">
            <v xml:space="preserve"> -</v>
          </cell>
          <cell r="J84" t="str">
            <v>A</v>
          </cell>
          <cell r="K84">
            <v>122</v>
          </cell>
          <cell r="N84">
            <v>2</v>
          </cell>
          <cell r="O84">
            <v>85.5</v>
          </cell>
          <cell r="P84" t="str">
            <v xml:space="preserve"> -</v>
          </cell>
          <cell r="R84">
            <v>177.84</v>
          </cell>
        </row>
        <row r="85">
          <cell r="H85" t="str">
            <v>RT10</v>
          </cell>
          <cell r="I85" t="str">
            <v xml:space="preserve"> -</v>
          </cell>
          <cell r="J85" t="str">
            <v>A</v>
          </cell>
          <cell r="K85">
            <v>1</v>
          </cell>
          <cell r="N85">
            <v>5</v>
          </cell>
          <cell r="O85">
            <v>37.5</v>
          </cell>
          <cell r="P85" t="str">
            <v xml:space="preserve"> -</v>
          </cell>
          <cell r="R85">
            <v>195</v>
          </cell>
        </row>
        <row r="86">
          <cell r="H86" t="str">
            <v>RT10</v>
          </cell>
          <cell r="I86" t="str">
            <v xml:space="preserve"> -</v>
          </cell>
          <cell r="J86" t="str">
            <v>A</v>
          </cell>
          <cell r="K86">
            <v>2</v>
          </cell>
          <cell r="N86">
            <v>5</v>
          </cell>
          <cell r="O86">
            <v>37.5</v>
          </cell>
          <cell r="P86" t="str">
            <v xml:space="preserve"> -</v>
          </cell>
          <cell r="R86">
            <v>195</v>
          </cell>
        </row>
        <row r="91">
          <cell r="D91" t="str">
            <v>MATERIAL CONSUMTION LEAD PARTS &amp; LEAD STICK</v>
          </cell>
        </row>
        <row r="92">
          <cell r="D92" t="str">
            <v xml:space="preserve"> (  B A T T E R Y    A M B   )</v>
          </cell>
        </row>
        <row r="94">
          <cell r="D94" t="str">
            <v>P S    T Y P E   :</v>
          </cell>
        </row>
        <row r="97">
          <cell r="H97" t="str">
            <v>L E A D   P A R T S</v>
          </cell>
          <cell r="T97" t="str">
            <v>LEAD STICK</v>
          </cell>
          <cell r="U97" t="str">
            <v>TOTAL</v>
          </cell>
        </row>
        <row r="98">
          <cell r="D98" t="str">
            <v>BATTERY</v>
          </cell>
          <cell r="G98" t="str">
            <v xml:space="preserve"> </v>
          </cell>
          <cell r="P98" t="str">
            <v>A x 1.04 x Q'TY</v>
          </cell>
          <cell r="T98" t="str">
            <v>x</v>
          </cell>
          <cell r="U98" t="str">
            <v>K C R</v>
          </cell>
        </row>
        <row r="99">
          <cell r="D99" t="str">
            <v>TYPE</v>
          </cell>
          <cell r="G99" t="str">
            <v xml:space="preserve"> </v>
          </cell>
          <cell r="H99" t="str">
            <v>TYPE</v>
          </cell>
          <cell r="M99" t="str">
            <v>Q'TY</v>
          </cell>
          <cell r="O99" t="str">
            <v>Weight</v>
          </cell>
          <cell r="P99" t="str">
            <v>Plastic</v>
          </cell>
          <cell r="R99" t="str">
            <v>AMB</v>
          </cell>
          <cell r="S99" t="str">
            <v>TOTAL</v>
          </cell>
          <cell r="T99">
            <v>1.04</v>
          </cell>
          <cell r="U99" t="str">
            <v>WEIGHT</v>
          </cell>
        </row>
        <row r="100">
          <cell r="O100" t="str">
            <v xml:space="preserve"> / pc.</v>
          </cell>
          <cell r="P100" t="str">
            <v>Injection</v>
          </cell>
          <cell r="R100" t="str">
            <v>ASSY</v>
          </cell>
          <cell r="S100" t="str">
            <v>Weight</v>
          </cell>
          <cell r="T100" t="str">
            <v>(AMB ASSY)</v>
          </cell>
          <cell r="U100" t="str">
            <v xml:space="preserve"> </v>
          </cell>
        </row>
        <row r="102">
          <cell r="O102" t="str">
            <v>gr</v>
          </cell>
          <cell r="Q102" t="str">
            <v>gr</v>
          </cell>
          <cell r="R102" t="str">
            <v>gr</v>
          </cell>
          <cell r="S102" t="str">
            <v>gr</v>
          </cell>
          <cell r="T102" t="str">
            <v>gr</v>
          </cell>
          <cell r="U102" t="str">
            <v>gr</v>
          </cell>
        </row>
        <row r="103">
          <cell r="D103" t="str">
            <v xml:space="preserve">N  50 / L  </v>
          </cell>
          <cell r="G103" t="str">
            <v xml:space="preserve"> </v>
          </cell>
          <cell r="H103" t="str">
            <v>C10</v>
          </cell>
          <cell r="I103" t="str">
            <v xml:space="preserve"> -</v>
          </cell>
          <cell r="J103" t="str">
            <v>A</v>
          </cell>
          <cell r="K103">
            <v>1</v>
          </cell>
          <cell r="N103">
            <v>1</v>
          </cell>
          <cell r="O103">
            <v>118</v>
          </cell>
          <cell r="P103">
            <v>122.72</v>
          </cell>
          <cell r="R103" t="str">
            <v xml:space="preserve"> -</v>
          </cell>
          <cell r="S103">
            <v>617.24</v>
          </cell>
          <cell r="T103">
            <v>335</v>
          </cell>
          <cell r="U103">
            <v>952.24</v>
          </cell>
        </row>
        <row r="104">
          <cell r="H104" t="str">
            <v>C10</v>
          </cell>
          <cell r="I104" t="str">
            <v xml:space="preserve"> -</v>
          </cell>
          <cell r="J104" t="str">
            <v>A</v>
          </cell>
          <cell r="K104">
            <v>2</v>
          </cell>
          <cell r="N104">
            <v>1</v>
          </cell>
          <cell r="O104">
            <v>110.5</v>
          </cell>
          <cell r="P104">
            <v>114.92</v>
          </cell>
          <cell r="R104" t="str">
            <v xml:space="preserve"> -</v>
          </cell>
        </row>
        <row r="105">
          <cell r="H105" t="str">
            <v>C10</v>
          </cell>
          <cell r="I105" t="str">
            <v xml:space="preserve"> -</v>
          </cell>
          <cell r="J105" t="str">
            <v>A</v>
          </cell>
          <cell r="K105">
            <v>3</v>
          </cell>
          <cell r="N105">
            <v>5</v>
          </cell>
          <cell r="O105">
            <v>73</v>
          </cell>
          <cell r="P105">
            <v>379.6</v>
          </cell>
          <cell r="R105" t="str">
            <v xml:space="preserve"> -</v>
          </cell>
        </row>
        <row r="107">
          <cell r="D107" t="str">
            <v>N  50 Z / L</v>
          </cell>
          <cell r="G107" t="str">
            <v xml:space="preserve"> </v>
          </cell>
          <cell r="H107" t="str">
            <v>C10</v>
          </cell>
          <cell r="I107" t="str">
            <v xml:space="preserve"> -</v>
          </cell>
          <cell r="J107" t="str">
            <v>A</v>
          </cell>
          <cell r="K107" t="str">
            <v>1 PLS</v>
          </cell>
          <cell r="N107">
            <v>1</v>
          </cell>
          <cell r="O107">
            <v>118.2</v>
          </cell>
          <cell r="P107">
            <v>122.92800000000001</v>
          </cell>
          <cell r="R107" t="str">
            <v xml:space="preserve"> -</v>
          </cell>
          <cell r="S107">
            <v>617.44800000000009</v>
          </cell>
          <cell r="T107">
            <v>311</v>
          </cell>
          <cell r="U107">
            <v>928.44800000000009</v>
          </cell>
        </row>
        <row r="108">
          <cell r="G108" t="str">
            <v xml:space="preserve"> </v>
          </cell>
          <cell r="H108" t="str">
            <v>C10</v>
          </cell>
          <cell r="I108" t="str">
            <v xml:space="preserve"> -</v>
          </cell>
          <cell r="J108" t="str">
            <v>A</v>
          </cell>
          <cell r="K108" t="str">
            <v>2 PLS</v>
          </cell>
          <cell r="N108">
            <v>1</v>
          </cell>
          <cell r="O108">
            <v>110.5</v>
          </cell>
          <cell r="P108">
            <v>114.92</v>
          </cell>
          <cell r="R108" t="str">
            <v xml:space="preserve"> -</v>
          </cell>
        </row>
        <row r="109">
          <cell r="H109" t="str">
            <v>C10</v>
          </cell>
          <cell r="I109" t="str">
            <v xml:space="preserve"> -</v>
          </cell>
          <cell r="J109" t="str">
            <v>A</v>
          </cell>
          <cell r="K109">
            <v>3</v>
          </cell>
          <cell r="N109">
            <v>5</v>
          </cell>
          <cell r="O109">
            <v>73</v>
          </cell>
          <cell r="P109">
            <v>379.6</v>
          </cell>
          <cell r="R109" t="str">
            <v xml:space="preserve"> -</v>
          </cell>
        </row>
        <row r="111">
          <cell r="D111" t="str">
            <v>MTV-500</v>
          </cell>
          <cell r="G111" t="str">
            <v xml:space="preserve"> </v>
          </cell>
          <cell r="H111" t="str">
            <v>C10</v>
          </cell>
          <cell r="I111" t="str">
            <v xml:space="preserve"> -</v>
          </cell>
          <cell r="J111" t="str">
            <v>A</v>
          </cell>
          <cell r="K111" t="str">
            <v>1  TV</v>
          </cell>
          <cell r="N111">
            <v>1</v>
          </cell>
          <cell r="O111">
            <v>104</v>
          </cell>
          <cell r="P111">
            <v>108.16</v>
          </cell>
          <cell r="R111" t="str">
            <v xml:space="preserve"> -</v>
          </cell>
          <cell r="S111">
            <v>591.24</v>
          </cell>
          <cell r="T111">
            <v>335</v>
          </cell>
          <cell r="U111">
            <v>926.24</v>
          </cell>
        </row>
        <row r="112">
          <cell r="H112" t="str">
            <v>C10</v>
          </cell>
          <cell r="I112" t="str">
            <v xml:space="preserve"> -</v>
          </cell>
          <cell r="J112" t="str">
            <v>A</v>
          </cell>
          <cell r="K112" t="str">
            <v>2  TV</v>
          </cell>
          <cell r="N112">
            <v>1</v>
          </cell>
          <cell r="O112">
            <v>99.5</v>
          </cell>
          <cell r="P112">
            <v>103.48</v>
          </cell>
          <cell r="R112" t="str">
            <v xml:space="preserve"> -</v>
          </cell>
        </row>
        <row r="113">
          <cell r="H113" t="str">
            <v>C10</v>
          </cell>
          <cell r="I113" t="str">
            <v xml:space="preserve"> -</v>
          </cell>
          <cell r="J113" t="str">
            <v>A</v>
          </cell>
          <cell r="K113">
            <v>3</v>
          </cell>
          <cell r="N113">
            <v>5</v>
          </cell>
          <cell r="O113">
            <v>73</v>
          </cell>
          <cell r="P113">
            <v>379.6</v>
          </cell>
          <cell r="R113" t="str">
            <v xml:space="preserve"> -</v>
          </cell>
        </row>
        <row r="115">
          <cell r="D115" t="str">
            <v>O  3</v>
          </cell>
          <cell r="G115" t="str">
            <v xml:space="preserve"> </v>
          </cell>
          <cell r="H115" t="str">
            <v>C10</v>
          </cell>
          <cell r="I115" t="str">
            <v xml:space="preserve"> -</v>
          </cell>
          <cell r="J115" t="str">
            <v>A</v>
          </cell>
          <cell r="K115" t="str">
            <v>1 PLS</v>
          </cell>
          <cell r="N115">
            <v>1</v>
          </cell>
          <cell r="O115">
            <v>104</v>
          </cell>
          <cell r="P115">
            <v>108.16</v>
          </cell>
          <cell r="R115" t="str">
            <v xml:space="preserve"> -</v>
          </cell>
          <cell r="S115">
            <v>363.48</v>
          </cell>
          <cell r="T115">
            <v>183</v>
          </cell>
          <cell r="U115">
            <v>546.48</v>
          </cell>
        </row>
        <row r="116">
          <cell r="H116" t="str">
            <v>C10</v>
          </cell>
          <cell r="I116" t="str">
            <v xml:space="preserve"> -</v>
          </cell>
          <cell r="J116" t="str">
            <v>A</v>
          </cell>
          <cell r="K116" t="str">
            <v>2 PLS</v>
          </cell>
          <cell r="N116">
            <v>1</v>
          </cell>
          <cell r="O116">
            <v>99.5</v>
          </cell>
          <cell r="P116">
            <v>103.48</v>
          </cell>
          <cell r="R116" t="str">
            <v xml:space="preserve"> -</v>
          </cell>
        </row>
        <row r="117">
          <cell r="H117" t="str">
            <v>C10</v>
          </cell>
          <cell r="I117" t="str">
            <v xml:space="preserve"> -</v>
          </cell>
          <cell r="J117" t="str">
            <v>A</v>
          </cell>
          <cell r="K117">
            <v>3</v>
          </cell>
          <cell r="N117">
            <v>2</v>
          </cell>
          <cell r="O117">
            <v>73</v>
          </cell>
          <cell r="P117">
            <v>151.84</v>
          </cell>
          <cell r="R117" t="str">
            <v xml:space="preserve"> -</v>
          </cell>
        </row>
        <row r="121">
          <cell r="D121" t="str">
            <v>MATERIAL CONSUMTION LEAD PARTS &amp; LEAD STICK</v>
          </cell>
        </row>
        <row r="122">
          <cell r="D122" t="str">
            <v xml:space="preserve"> (  B A T T E R Y    A M B   )</v>
          </cell>
        </row>
        <row r="124">
          <cell r="D124" t="str">
            <v>P W    T Y P E   :</v>
          </cell>
        </row>
        <row r="127">
          <cell r="H127" t="str">
            <v>L E A D   P A R T S</v>
          </cell>
          <cell r="T127" t="str">
            <v>LEAD STICK</v>
          </cell>
          <cell r="U127" t="str">
            <v>TOTAL</v>
          </cell>
        </row>
        <row r="128">
          <cell r="D128" t="str">
            <v>BATTERY</v>
          </cell>
          <cell r="G128" t="str">
            <v xml:space="preserve"> </v>
          </cell>
          <cell r="P128" t="str">
            <v>A x 1.04 x Q'TY</v>
          </cell>
          <cell r="T128" t="str">
            <v>x</v>
          </cell>
          <cell r="U128" t="str">
            <v>K C R</v>
          </cell>
        </row>
        <row r="129">
          <cell r="D129" t="str">
            <v>TYPE</v>
          </cell>
          <cell r="G129" t="str">
            <v xml:space="preserve"> </v>
          </cell>
          <cell r="H129" t="str">
            <v>TYPE</v>
          </cell>
          <cell r="M129" t="str">
            <v>Q'TY</v>
          </cell>
          <cell r="O129" t="str">
            <v>Weight</v>
          </cell>
          <cell r="P129" t="str">
            <v>Plastic</v>
          </cell>
          <cell r="R129" t="str">
            <v>AMB</v>
          </cell>
          <cell r="S129" t="str">
            <v>TOTAL</v>
          </cell>
          <cell r="T129">
            <v>1.04</v>
          </cell>
          <cell r="U129" t="str">
            <v>WEIGHT</v>
          </cell>
        </row>
        <row r="130">
          <cell r="O130" t="str">
            <v xml:space="preserve"> / pc.</v>
          </cell>
          <cell r="P130" t="str">
            <v>Injection</v>
          </cell>
          <cell r="R130" t="str">
            <v>ASSY</v>
          </cell>
          <cell r="S130" t="str">
            <v>Weight</v>
          </cell>
          <cell r="T130" t="str">
            <v>(AMB ASSY)</v>
          </cell>
          <cell r="U130" t="str">
            <v xml:space="preserve"> </v>
          </cell>
        </row>
        <row r="132">
          <cell r="O132" t="str">
            <v>gr</v>
          </cell>
          <cell r="Q132" t="str">
            <v>gr</v>
          </cell>
          <cell r="R132" t="str">
            <v>gr</v>
          </cell>
          <cell r="S132" t="str">
            <v>gr</v>
          </cell>
          <cell r="T132" t="str">
            <v>gr</v>
          </cell>
          <cell r="U132" t="str">
            <v>gr</v>
          </cell>
        </row>
        <row r="133">
          <cell r="D133" t="str">
            <v>N 100</v>
          </cell>
          <cell r="G133" t="str">
            <v xml:space="preserve"> </v>
          </cell>
          <cell r="H133">
            <v>14</v>
          </cell>
          <cell r="I133" t="str">
            <v xml:space="preserve"> -</v>
          </cell>
          <cell r="J133" t="str">
            <v>A</v>
          </cell>
          <cell r="K133">
            <v>20</v>
          </cell>
          <cell r="N133">
            <v>2</v>
          </cell>
          <cell r="O133">
            <v>50.5</v>
          </cell>
          <cell r="P133">
            <v>105.04</v>
          </cell>
          <cell r="R133" t="str">
            <v xml:space="preserve"> -</v>
          </cell>
          <cell r="S133">
            <v>1062.8800000000001</v>
          </cell>
          <cell r="T133">
            <v>596</v>
          </cell>
          <cell r="U133">
            <v>1658.88</v>
          </cell>
        </row>
        <row r="134">
          <cell r="H134" t="str">
            <v>B14</v>
          </cell>
          <cell r="I134" t="str">
            <v xml:space="preserve"> -</v>
          </cell>
          <cell r="J134" t="str">
            <v>A</v>
          </cell>
          <cell r="K134">
            <v>36</v>
          </cell>
          <cell r="N134">
            <v>2</v>
          </cell>
          <cell r="O134">
            <v>98</v>
          </cell>
          <cell r="P134" t="str">
            <v xml:space="preserve"> -</v>
          </cell>
          <cell r="R134">
            <v>203.84</v>
          </cell>
        </row>
        <row r="135">
          <cell r="H135" t="str">
            <v>RT14</v>
          </cell>
          <cell r="I135" t="str">
            <v xml:space="preserve"> -</v>
          </cell>
          <cell r="J135" t="str">
            <v>A</v>
          </cell>
          <cell r="K135">
            <v>1</v>
          </cell>
          <cell r="N135">
            <v>5</v>
          </cell>
          <cell r="O135">
            <v>72.5</v>
          </cell>
          <cell r="P135" t="str">
            <v xml:space="preserve"> -</v>
          </cell>
          <cell r="R135">
            <v>377</v>
          </cell>
        </row>
        <row r="136">
          <cell r="H136" t="str">
            <v>RT14</v>
          </cell>
          <cell r="I136" t="str">
            <v xml:space="preserve"> -</v>
          </cell>
          <cell r="J136" t="str">
            <v>A</v>
          </cell>
          <cell r="K136">
            <v>2</v>
          </cell>
          <cell r="N136">
            <v>5</v>
          </cell>
          <cell r="O136">
            <v>72.5</v>
          </cell>
          <cell r="P136" t="str">
            <v xml:space="preserve"> -</v>
          </cell>
          <cell r="R136">
            <v>377</v>
          </cell>
        </row>
        <row r="138">
          <cell r="D138" t="str">
            <v>N 120</v>
          </cell>
          <cell r="G138" t="str">
            <v xml:space="preserve"> </v>
          </cell>
          <cell r="H138">
            <v>12</v>
          </cell>
          <cell r="I138" t="str">
            <v xml:space="preserve"> -</v>
          </cell>
          <cell r="J138" t="str">
            <v>A</v>
          </cell>
          <cell r="K138">
            <v>19</v>
          </cell>
          <cell r="N138">
            <v>2</v>
          </cell>
          <cell r="O138">
            <v>45</v>
          </cell>
          <cell r="P138">
            <v>93.600000000000009</v>
          </cell>
          <cell r="R138" t="str">
            <v xml:space="preserve"> -</v>
          </cell>
          <cell r="S138">
            <v>930.8</v>
          </cell>
          <cell r="T138">
            <v>812</v>
          </cell>
          <cell r="U138">
            <v>1742.8</v>
          </cell>
        </row>
        <row r="139">
          <cell r="H139" t="str">
            <v>B14</v>
          </cell>
          <cell r="I139" t="str">
            <v xml:space="preserve"> -</v>
          </cell>
          <cell r="J139" t="str">
            <v>A</v>
          </cell>
          <cell r="K139">
            <v>38</v>
          </cell>
          <cell r="N139">
            <v>2</v>
          </cell>
          <cell r="O139">
            <v>134</v>
          </cell>
          <cell r="P139" t="str">
            <v xml:space="preserve"> -</v>
          </cell>
          <cell r="R139">
            <v>278.72000000000003</v>
          </cell>
        </row>
        <row r="140">
          <cell r="H140" t="str">
            <v>RT14</v>
          </cell>
          <cell r="I140" t="str">
            <v xml:space="preserve"> -</v>
          </cell>
          <cell r="J140" t="str">
            <v>A</v>
          </cell>
          <cell r="K140">
            <v>1</v>
          </cell>
          <cell r="N140">
            <v>1</v>
          </cell>
          <cell r="O140">
            <v>72.5</v>
          </cell>
          <cell r="P140" t="str">
            <v xml:space="preserve"> -</v>
          </cell>
          <cell r="R140">
            <v>75.400000000000006</v>
          </cell>
        </row>
        <row r="141">
          <cell r="H141" t="str">
            <v>RT14</v>
          </cell>
          <cell r="I141" t="str">
            <v xml:space="preserve"> -</v>
          </cell>
          <cell r="J141" t="str">
            <v>A</v>
          </cell>
          <cell r="K141">
            <v>2</v>
          </cell>
          <cell r="N141">
            <v>1</v>
          </cell>
          <cell r="O141">
            <v>72.5</v>
          </cell>
          <cell r="P141" t="str">
            <v xml:space="preserve"> -</v>
          </cell>
          <cell r="R141">
            <v>75.400000000000006</v>
          </cell>
        </row>
        <row r="142">
          <cell r="H142" t="str">
            <v>RT14</v>
          </cell>
          <cell r="I142" t="str">
            <v xml:space="preserve"> -</v>
          </cell>
          <cell r="J142" t="str">
            <v>A</v>
          </cell>
          <cell r="K142">
            <v>3</v>
          </cell>
          <cell r="N142">
            <v>4</v>
          </cell>
          <cell r="O142">
            <v>48.5</v>
          </cell>
          <cell r="P142" t="str">
            <v xml:space="preserve"> -</v>
          </cell>
          <cell r="R142">
            <v>201.76000000000002</v>
          </cell>
        </row>
        <row r="143">
          <cell r="H143" t="str">
            <v>RT14</v>
          </cell>
          <cell r="I143" t="str">
            <v xml:space="preserve"> -</v>
          </cell>
          <cell r="J143" t="str">
            <v>A</v>
          </cell>
          <cell r="K143">
            <v>4</v>
          </cell>
          <cell r="N143">
            <v>4</v>
          </cell>
          <cell r="O143">
            <v>49.5</v>
          </cell>
          <cell r="P143" t="str">
            <v xml:space="preserve"> -</v>
          </cell>
          <cell r="R143">
            <v>205.92000000000002</v>
          </cell>
        </row>
        <row r="145">
          <cell r="D145" t="str">
            <v>N 150</v>
          </cell>
          <cell r="G145" t="str">
            <v xml:space="preserve"> </v>
          </cell>
          <cell r="H145">
            <v>17</v>
          </cell>
          <cell r="I145" t="str">
            <v xml:space="preserve"> -</v>
          </cell>
          <cell r="J145" t="str">
            <v>A</v>
          </cell>
          <cell r="K145">
            <v>7</v>
          </cell>
          <cell r="N145">
            <v>2</v>
          </cell>
          <cell r="O145">
            <v>64</v>
          </cell>
          <cell r="P145">
            <v>133.12</v>
          </cell>
          <cell r="R145" t="str">
            <v xml:space="preserve"> -</v>
          </cell>
          <cell r="S145">
            <v>1389.44</v>
          </cell>
          <cell r="T145">
            <v>915</v>
          </cell>
          <cell r="U145">
            <v>2304.44</v>
          </cell>
        </row>
        <row r="146">
          <cell r="H146" t="str">
            <v>B16</v>
          </cell>
          <cell r="I146" t="str">
            <v xml:space="preserve"> -</v>
          </cell>
          <cell r="J146" t="str">
            <v>A</v>
          </cell>
          <cell r="K146">
            <v>16.75</v>
          </cell>
          <cell r="N146">
            <v>2</v>
          </cell>
          <cell r="O146">
            <v>183.5</v>
          </cell>
          <cell r="P146" t="str">
            <v xml:space="preserve"> -</v>
          </cell>
          <cell r="R146">
            <v>381.68</v>
          </cell>
        </row>
        <row r="147">
          <cell r="H147" t="str">
            <v>RT15</v>
          </cell>
          <cell r="I147" t="str">
            <v xml:space="preserve"> -</v>
          </cell>
          <cell r="J147" t="str">
            <v>A</v>
          </cell>
          <cell r="K147">
            <v>1</v>
          </cell>
          <cell r="N147">
            <v>1</v>
          </cell>
          <cell r="O147">
            <v>117.5</v>
          </cell>
          <cell r="P147" t="str">
            <v xml:space="preserve"> -</v>
          </cell>
          <cell r="R147">
            <v>122.2</v>
          </cell>
        </row>
        <row r="148">
          <cell r="H148" t="str">
            <v>RT15</v>
          </cell>
          <cell r="I148" t="str">
            <v xml:space="preserve"> -</v>
          </cell>
          <cell r="J148" t="str">
            <v>A</v>
          </cell>
          <cell r="K148">
            <v>2</v>
          </cell>
          <cell r="N148">
            <v>1</v>
          </cell>
          <cell r="O148">
            <v>119.5</v>
          </cell>
          <cell r="P148" t="str">
            <v xml:space="preserve"> -</v>
          </cell>
          <cell r="R148">
            <v>124.28</v>
          </cell>
        </row>
        <row r="149">
          <cell r="H149" t="str">
            <v>RT15</v>
          </cell>
          <cell r="I149" t="str">
            <v xml:space="preserve"> -</v>
          </cell>
          <cell r="J149" t="str">
            <v>A</v>
          </cell>
          <cell r="K149">
            <v>3</v>
          </cell>
          <cell r="N149">
            <v>4</v>
          </cell>
          <cell r="O149">
            <v>74.5</v>
          </cell>
          <cell r="P149" t="str">
            <v xml:space="preserve"> -</v>
          </cell>
          <cell r="R149">
            <v>309.92</v>
          </cell>
        </row>
        <row r="150">
          <cell r="H150" t="str">
            <v>RT15</v>
          </cell>
          <cell r="I150" t="str">
            <v xml:space="preserve"> -</v>
          </cell>
          <cell r="J150" t="str">
            <v>A</v>
          </cell>
          <cell r="K150">
            <v>4</v>
          </cell>
          <cell r="N150">
            <v>4</v>
          </cell>
          <cell r="O150">
            <v>76.5</v>
          </cell>
          <cell r="P150" t="str">
            <v xml:space="preserve"> -</v>
          </cell>
          <cell r="R150">
            <v>318.24</v>
          </cell>
        </row>
        <row r="152">
          <cell r="D152" t="str">
            <v>NS 40</v>
          </cell>
          <cell r="G152" t="str">
            <v xml:space="preserve"> </v>
          </cell>
          <cell r="H152">
            <v>7</v>
          </cell>
          <cell r="I152" t="str">
            <v xml:space="preserve"> -</v>
          </cell>
          <cell r="J152" t="str">
            <v>A</v>
          </cell>
          <cell r="K152">
            <v>13</v>
          </cell>
          <cell r="N152">
            <v>1</v>
          </cell>
          <cell r="O152">
            <v>47</v>
          </cell>
          <cell r="P152">
            <v>48.88</v>
          </cell>
          <cell r="R152" t="str">
            <v xml:space="preserve"> -</v>
          </cell>
          <cell r="S152">
            <v>479.44000000000005</v>
          </cell>
          <cell r="T152" t="str">
            <v xml:space="preserve"> ( 198 )</v>
          </cell>
          <cell r="U152">
            <v>479.44000000000005</v>
          </cell>
        </row>
        <row r="153">
          <cell r="H153">
            <v>7</v>
          </cell>
          <cell r="I153" t="str">
            <v xml:space="preserve"> -</v>
          </cell>
          <cell r="J153" t="str">
            <v>A</v>
          </cell>
          <cell r="K153">
            <v>14</v>
          </cell>
          <cell r="N153">
            <v>1</v>
          </cell>
          <cell r="O153">
            <v>40</v>
          </cell>
          <cell r="P153">
            <v>41.6</v>
          </cell>
          <cell r="R153" t="str">
            <v xml:space="preserve"> -</v>
          </cell>
          <cell r="S153" t="str">
            <v xml:space="preserve"> </v>
          </cell>
          <cell r="T153" t="str">
            <v xml:space="preserve"> </v>
          </cell>
          <cell r="U153" t="str">
            <v xml:space="preserve"> </v>
          </cell>
        </row>
        <row r="154">
          <cell r="H154" t="str">
            <v>B7</v>
          </cell>
          <cell r="I154" t="str">
            <v xml:space="preserve"> -</v>
          </cell>
          <cell r="J154" t="str">
            <v>A</v>
          </cell>
          <cell r="K154">
            <v>1</v>
          </cell>
          <cell r="N154">
            <v>2</v>
          </cell>
          <cell r="O154">
            <v>47</v>
          </cell>
          <cell r="P154" t="str">
            <v xml:space="preserve"> -</v>
          </cell>
          <cell r="R154">
            <v>97.76</v>
          </cell>
        </row>
        <row r="155">
          <cell r="H155" t="str">
            <v>RT9</v>
          </cell>
          <cell r="I155" t="str">
            <v xml:space="preserve"> -</v>
          </cell>
          <cell r="J155" t="str">
            <v>A</v>
          </cell>
          <cell r="K155">
            <v>1</v>
          </cell>
          <cell r="N155">
            <v>5</v>
          </cell>
          <cell r="O155">
            <v>28</v>
          </cell>
          <cell r="P155" t="str">
            <v xml:space="preserve"> -</v>
          </cell>
          <cell r="R155">
            <v>145.6</v>
          </cell>
        </row>
        <row r="156">
          <cell r="H156" t="str">
            <v>RT9</v>
          </cell>
          <cell r="I156" t="str">
            <v xml:space="preserve"> -</v>
          </cell>
          <cell r="J156" t="str">
            <v>A</v>
          </cell>
          <cell r="K156">
            <v>2</v>
          </cell>
          <cell r="N156">
            <v>5</v>
          </cell>
          <cell r="O156">
            <v>28</v>
          </cell>
          <cell r="P156" t="str">
            <v xml:space="preserve"> -</v>
          </cell>
          <cell r="R156">
            <v>145.6</v>
          </cell>
        </row>
        <row r="158">
          <cell r="D158" t="str">
            <v>NS 40Z</v>
          </cell>
          <cell r="G158" t="str">
            <v xml:space="preserve"> </v>
          </cell>
          <cell r="H158">
            <v>7</v>
          </cell>
          <cell r="I158" t="str">
            <v xml:space="preserve"> -</v>
          </cell>
          <cell r="J158" t="str">
            <v>A</v>
          </cell>
          <cell r="K158">
            <v>13</v>
          </cell>
          <cell r="N158">
            <v>1</v>
          </cell>
          <cell r="O158">
            <v>47</v>
          </cell>
          <cell r="P158">
            <v>48.88</v>
          </cell>
          <cell r="R158" t="str">
            <v xml:space="preserve"> -</v>
          </cell>
          <cell r="S158">
            <v>479.44000000000005</v>
          </cell>
          <cell r="T158" t="str">
            <v xml:space="preserve"> (210)</v>
          </cell>
          <cell r="U158">
            <v>479.44000000000005</v>
          </cell>
        </row>
        <row r="159">
          <cell r="H159">
            <v>7</v>
          </cell>
          <cell r="I159" t="str">
            <v xml:space="preserve"> -</v>
          </cell>
          <cell r="J159" t="str">
            <v>A</v>
          </cell>
          <cell r="K159">
            <v>14</v>
          </cell>
          <cell r="N159">
            <v>1</v>
          </cell>
          <cell r="O159">
            <v>40</v>
          </cell>
          <cell r="P159">
            <v>41.6</v>
          </cell>
          <cell r="R159" t="str">
            <v xml:space="preserve"> -</v>
          </cell>
          <cell r="S159" t="str">
            <v xml:space="preserve"> </v>
          </cell>
          <cell r="T159" t="str">
            <v xml:space="preserve"> </v>
          </cell>
          <cell r="U159" t="str">
            <v xml:space="preserve"> </v>
          </cell>
        </row>
        <row r="160">
          <cell r="H160" t="str">
            <v>B7</v>
          </cell>
          <cell r="I160" t="str">
            <v xml:space="preserve"> -</v>
          </cell>
          <cell r="J160" t="str">
            <v>A</v>
          </cell>
          <cell r="K160">
            <v>1</v>
          </cell>
          <cell r="N160">
            <v>2</v>
          </cell>
          <cell r="O160">
            <v>47</v>
          </cell>
          <cell r="P160" t="str">
            <v xml:space="preserve"> -</v>
          </cell>
          <cell r="R160">
            <v>97.76</v>
          </cell>
        </row>
        <row r="161">
          <cell r="H161" t="str">
            <v>RT9</v>
          </cell>
          <cell r="I161" t="str">
            <v xml:space="preserve"> -</v>
          </cell>
          <cell r="J161" t="str">
            <v>A</v>
          </cell>
          <cell r="K161">
            <v>1</v>
          </cell>
          <cell r="N161">
            <v>5</v>
          </cell>
          <cell r="O161">
            <v>28</v>
          </cell>
          <cell r="P161" t="str">
            <v xml:space="preserve"> -</v>
          </cell>
          <cell r="R161">
            <v>145.6</v>
          </cell>
        </row>
        <row r="162">
          <cell r="H162" t="str">
            <v>RT9</v>
          </cell>
          <cell r="I162" t="str">
            <v xml:space="preserve"> -</v>
          </cell>
          <cell r="J162" t="str">
            <v>A</v>
          </cell>
          <cell r="K162">
            <v>2</v>
          </cell>
          <cell r="N162">
            <v>5</v>
          </cell>
          <cell r="O162">
            <v>28</v>
          </cell>
          <cell r="P162" t="str">
            <v xml:space="preserve"> -</v>
          </cell>
          <cell r="R162">
            <v>145.6</v>
          </cell>
        </row>
        <row r="164">
          <cell r="D164" t="str">
            <v>NS 40 (S)</v>
          </cell>
          <cell r="G164" t="str">
            <v xml:space="preserve"> </v>
          </cell>
          <cell r="H164">
            <v>7</v>
          </cell>
          <cell r="I164" t="str">
            <v xml:space="preserve"> -</v>
          </cell>
          <cell r="J164" t="str">
            <v>A</v>
          </cell>
          <cell r="K164" t="str">
            <v>13 (S)</v>
          </cell>
          <cell r="N164">
            <v>1</v>
          </cell>
          <cell r="O164">
            <v>68</v>
          </cell>
          <cell r="P164">
            <v>70.72</v>
          </cell>
          <cell r="R164" t="str">
            <v xml:space="preserve"> -</v>
          </cell>
          <cell r="S164">
            <v>523.12</v>
          </cell>
          <cell r="T164" t="str">
            <v>(198)</v>
          </cell>
          <cell r="U164">
            <v>523.12</v>
          </cell>
        </row>
        <row r="165">
          <cell r="H165">
            <v>7</v>
          </cell>
          <cell r="I165" t="str">
            <v xml:space="preserve"> -</v>
          </cell>
          <cell r="J165" t="str">
            <v>A</v>
          </cell>
          <cell r="K165" t="str">
            <v>14 (S)</v>
          </cell>
          <cell r="N165">
            <v>1</v>
          </cell>
          <cell r="O165">
            <v>61</v>
          </cell>
          <cell r="P165">
            <v>63.440000000000005</v>
          </cell>
          <cell r="R165" t="str">
            <v xml:space="preserve"> -</v>
          </cell>
        </row>
        <row r="166">
          <cell r="H166" t="str">
            <v>B7</v>
          </cell>
          <cell r="I166" t="str">
            <v xml:space="preserve"> -</v>
          </cell>
          <cell r="J166" t="str">
            <v>A</v>
          </cell>
          <cell r="K166">
            <v>1</v>
          </cell>
          <cell r="N166">
            <v>2</v>
          </cell>
          <cell r="O166">
            <v>47</v>
          </cell>
          <cell r="P166" t="str">
            <v xml:space="preserve"> -</v>
          </cell>
          <cell r="R166">
            <v>97.76</v>
          </cell>
        </row>
        <row r="167">
          <cell r="H167" t="str">
            <v>RT9</v>
          </cell>
          <cell r="I167" t="str">
            <v xml:space="preserve"> -</v>
          </cell>
          <cell r="J167" t="str">
            <v>A</v>
          </cell>
          <cell r="K167">
            <v>1</v>
          </cell>
          <cell r="N167">
            <v>5</v>
          </cell>
          <cell r="O167">
            <v>28</v>
          </cell>
          <cell r="P167" t="str">
            <v xml:space="preserve"> -</v>
          </cell>
          <cell r="R167">
            <v>145.6</v>
          </cell>
        </row>
        <row r="168">
          <cell r="H168" t="str">
            <v>RT9</v>
          </cell>
          <cell r="I168" t="str">
            <v xml:space="preserve"> -</v>
          </cell>
          <cell r="J168" t="str">
            <v>A</v>
          </cell>
          <cell r="K168">
            <v>2</v>
          </cell>
          <cell r="N168">
            <v>5</v>
          </cell>
          <cell r="O168">
            <v>28</v>
          </cell>
          <cell r="P168" t="str">
            <v xml:space="preserve"> -</v>
          </cell>
          <cell r="R168">
            <v>145.6</v>
          </cell>
        </row>
        <row r="170">
          <cell r="D170" t="str">
            <v>NS 40Z (S)</v>
          </cell>
          <cell r="G170" t="str">
            <v xml:space="preserve"> </v>
          </cell>
          <cell r="H170">
            <v>7</v>
          </cell>
          <cell r="I170" t="str">
            <v xml:space="preserve"> -</v>
          </cell>
          <cell r="J170" t="str">
            <v>A</v>
          </cell>
          <cell r="K170" t="str">
            <v>13 (S)</v>
          </cell>
          <cell r="N170">
            <v>1</v>
          </cell>
          <cell r="O170">
            <v>68</v>
          </cell>
          <cell r="P170">
            <v>70.72</v>
          </cell>
          <cell r="R170" t="str">
            <v xml:space="preserve"> -</v>
          </cell>
          <cell r="S170">
            <v>523.12</v>
          </cell>
          <cell r="T170" t="str">
            <v>(210)</v>
          </cell>
          <cell r="U170">
            <v>523.12</v>
          </cell>
        </row>
        <row r="171">
          <cell r="H171">
            <v>7</v>
          </cell>
          <cell r="I171" t="str">
            <v xml:space="preserve"> -</v>
          </cell>
          <cell r="J171" t="str">
            <v>A</v>
          </cell>
          <cell r="K171" t="str">
            <v>14 (S)</v>
          </cell>
          <cell r="N171">
            <v>1</v>
          </cell>
          <cell r="O171">
            <v>61</v>
          </cell>
          <cell r="P171">
            <v>63.440000000000005</v>
          </cell>
          <cell r="R171" t="str">
            <v xml:space="preserve"> -</v>
          </cell>
        </row>
        <row r="172">
          <cell r="H172" t="str">
            <v>B7</v>
          </cell>
          <cell r="I172" t="str">
            <v xml:space="preserve"> -</v>
          </cell>
          <cell r="J172" t="str">
            <v>A</v>
          </cell>
          <cell r="K172">
            <v>1</v>
          </cell>
          <cell r="N172">
            <v>2</v>
          </cell>
          <cell r="O172">
            <v>47</v>
          </cell>
          <cell r="P172" t="str">
            <v xml:space="preserve"> -</v>
          </cell>
          <cell r="R172">
            <v>97.76</v>
          </cell>
        </row>
        <row r="173">
          <cell r="H173" t="str">
            <v>RT9</v>
          </cell>
          <cell r="I173" t="str">
            <v xml:space="preserve"> -</v>
          </cell>
          <cell r="J173" t="str">
            <v>A</v>
          </cell>
          <cell r="K173">
            <v>1</v>
          </cell>
          <cell r="N173">
            <v>5</v>
          </cell>
          <cell r="O173">
            <v>28</v>
          </cell>
          <cell r="P173" t="str">
            <v xml:space="preserve"> -</v>
          </cell>
          <cell r="R173">
            <v>145.6</v>
          </cell>
        </row>
        <row r="174">
          <cell r="H174" t="str">
            <v>RT9</v>
          </cell>
          <cell r="I174" t="str">
            <v xml:space="preserve"> -</v>
          </cell>
          <cell r="J174" t="str">
            <v>A</v>
          </cell>
          <cell r="K174">
            <v>2</v>
          </cell>
          <cell r="N174">
            <v>5</v>
          </cell>
          <cell r="O174">
            <v>28</v>
          </cell>
          <cell r="P174" t="str">
            <v xml:space="preserve"> -</v>
          </cell>
          <cell r="R174">
            <v>145.6</v>
          </cell>
        </row>
        <row r="176">
          <cell r="D176" t="str">
            <v>N 200</v>
          </cell>
          <cell r="G176" t="str">
            <v xml:space="preserve"> </v>
          </cell>
          <cell r="H176">
            <v>18</v>
          </cell>
          <cell r="I176" t="str">
            <v xml:space="preserve"> -</v>
          </cell>
          <cell r="J176" t="str">
            <v>A</v>
          </cell>
          <cell r="K176">
            <v>10</v>
          </cell>
          <cell r="N176">
            <v>2</v>
          </cell>
          <cell r="O176">
            <v>51.4</v>
          </cell>
          <cell r="P176">
            <v>106.91200000000001</v>
          </cell>
          <cell r="R176" t="str">
            <v xml:space="preserve"> -</v>
          </cell>
          <cell r="S176">
            <v>1438.1120000000001</v>
          </cell>
          <cell r="T176">
            <v>1256</v>
          </cell>
          <cell r="U176">
            <v>2694.1120000000001</v>
          </cell>
        </row>
        <row r="177">
          <cell r="D177" t="str">
            <v>PP</v>
          </cell>
          <cell r="G177" t="str">
            <v xml:space="preserve"> </v>
          </cell>
          <cell r="H177" t="str">
            <v>B18</v>
          </cell>
          <cell r="I177" t="str">
            <v xml:space="preserve"> -</v>
          </cell>
          <cell r="J177" t="str">
            <v>A</v>
          </cell>
          <cell r="K177">
            <v>13</v>
          </cell>
          <cell r="N177">
            <v>2</v>
          </cell>
          <cell r="O177">
            <v>249</v>
          </cell>
          <cell r="P177" t="str">
            <v>-</v>
          </cell>
          <cell r="R177">
            <v>517.92000000000007</v>
          </cell>
        </row>
        <row r="178">
          <cell r="H178" t="str">
            <v>RT15</v>
          </cell>
          <cell r="I178" t="str">
            <v xml:space="preserve"> -</v>
          </cell>
          <cell r="J178" t="str">
            <v>A</v>
          </cell>
          <cell r="K178">
            <v>7</v>
          </cell>
          <cell r="N178">
            <v>4</v>
          </cell>
          <cell r="O178">
            <v>63.8</v>
          </cell>
          <cell r="P178" t="str">
            <v xml:space="preserve"> -</v>
          </cell>
          <cell r="R178">
            <v>265.40800000000002</v>
          </cell>
        </row>
        <row r="179">
          <cell r="H179" t="str">
            <v>RT15</v>
          </cell>
          <cell r="I179" t="str">
            <v xml:space="preserve"> -</v>
          </cell>
          <cell r="J179" t="str">
            <v>A</v>
          </cell>
          <cell r="K179">
            <v>8</v>
          </cell>
          <cell r="N179">
            <v>4</v>
          </cell>
          <cell r="O179">
            <v>66.2</v>
          </cell>
          <cell r="P179" t="str">
            <v xml:space="preserve"> -</v>
          </cell>
          <cell r="R179">
            <v>275.392</v>
          </cell>
        </row>
        <row r="180">
          <cell r="H180" t="str">
            <v>RT15</v>
          </cell>
          <cell r="I180" t="str">
            <v xml:space="preserve"> -</v>
          </cell>
          <cell r="J180" t="str">
            <v>A</v>
          </cell>
          <cell r="K180">
            <v>9</v>
          </cell>
          <cell r="N180">
            <v>1</v>
          </cell>
          <cell r="O180">
            <v>131</v>
          </cell>
          <cell r="P180" t="str">
            <v xml:space="preserve"> -</v>
          </cell>
          <cell r="R180">
            <v>136.24</v>
          </cell>
        </row>
        <row r="181">
          <cell r="H181" t="str">
            <v>RT15</v>
          </cell>
          <cell r="I181" t="str">
            <v xml:space="preserve"> -</v>
          </cell>
          <cell r="J181" t="str">
            <v>A</v>
          </cell>
          <cell r="K181">
            <v>10</v>
          </cell>
          <cell r="N181">
            <v>1</v>
          </cell>
          <cell r="O181">
            <v>131</v>
          </cell>
          <cell r="P181" t="str">
            <v xml:space="preserve"> -</v>
          </cell>
          <cell r="R181">
            <v>136.24</v>
          </cell>
        </row>
      </sheetData>
      <sheetData sheetId="7"/>
      <sheetData sheetId="8">
        <row r="1">
          <cell r="C1" t="str">
            <v>MATERIAL CONSUMPTION LEAD PARTS &amp; LEAD STICK</v>
          </cell>
        </row>
        <row r="2">
          <cell r="C2" t="str">
            <v xml:space="preserve"> (  M C B  )</v>
          </cell>
        </row>
        <row r="5">
          <cell r="F5" t="str">
            <v xml:space="preserve">L E A D   P A R T S </v>
          </cell>
        </row>
        <row r="6">
          <cell r="F6" t="str">
            <v xml:space="preserve"> ( PLASTIC INJECTION )</v>
          </cell>
          <cell r="O6" t="str">
            <v>LEAD STICK</v>
          </cell>
          <cell r="P6" t="str">
            <v>TOTAL</v>
          </cell>
        </row>
        <row r="7">
          <cell r="C7" t="str">
            <v>BATTERY</v>
          </cell>
          <cell r="O7" t="str">
            <v>x</v>
          </cell>
          <cell r="P7" t="str">
            <v>K C R</v>
          </cell>
        </row>
        <row r="8">
          <cell r="C8" t="str">
            <v>TYPE</v>
          </cell>
          <cell r="F8" t="str">
            <v>TYPE</v>
          </cell>
          <cell r="J8" t="str">
            <v>GRAM</v>
          </cell>
          <cell r="K8" t="str">
            <v>Q'TY</v>
          </cell>
          <cell r="L8" t="str">
            <v>A x Q'TY</v>
          </cell>
          <cell r="M8" t="str">
            <v>TOTAL</v>
          </cell>
          <cell r="N8" t="str">
            <v>TOTAL</v>
          </cell>
          <cell r="O8">
            <v>1.04</v>
          </cell>
          <cell r="P8" t="str">
            <v>WEIGHT</v>
          </cell>
        </row>
        <row r="9">
          <cell r="J9" t="str">
            <v xml:space="preserve"> / PCS</v>
          </cell>
          <cell r="K9" t="str">
            <v xml:space="preserve"> </v>
          </cell>
          <cell r="M9" t="str">
            <v>WEIGHT</v>
          </cell>
          <cell r="N9" t="str">
            <v>WEIGHT</v>
          </cell>
          <cell r="O9" t="str">
            <v>(AMB ASSY)</v>
          </cell>
          <cell r="P9" t="str">
            <v xml:space="preserve"> </v>
          </cell>
        </row>
        <row r="10">
          <cell r="J10" t="str">
            <v xml:space="preserve"> ( A )</v>
          </cell>
          <cell r="N10" t="str">
            <v>x 1.04</v>
          </cell>
        </row>
        <row r="11">
          <cell r="J11" t="str">
            <v>gr</v>
          </cell>
          <cell r="L11" t="str">
            <v>gr</v>
          </cell>
          <cell r="M11" t="str">
            <v>gr</v>
          </cell>
          <cell r="N11" t="str">
            <v>gr</v>
          </cell>
          <cell r="O11" t="str">
            <v>gr</v>
          </cell>
          <cell r="P11" t="str">
            <v>gr</v>
          </cell>
        </row>
        <row r="12">
          <cell r="C12" t="str">
            <v>6N4-2A</v>
          </cell>
          <cell r="F12" t="str">
            <v>C5</v>
          </cell>
          <cell r="G12" t="str">
            <v xml:space="preserve"> -</v>
          </cell>
          <cell r="H12">
            <v>6</v>
          </cell>
          <cell r="J12">
            <v>5.7</v>
          </cell>
          <cell r="K12">
            <v>2</v>
          </cell>
          <cell r="L12">
            <v>11.4</v>
          </cell>
          <cell r="M12">
            <v>35.4</v>
          </cell>
          <cell r="N12">
            <v>36.816000000000003</v>
          </cell>
          <cell r="O12">
            <v>56</v>
          </cell>
          <cell r="P12">
            <v>92.816000000000003</v>
          </cell>
        </row>
        <row r="13">
          <cell r="F13" t="str">
            <v>C5</v>
          </cell>
          <cell r="G13" t="str">
            <v xml:space="preserve"> -</v>
          </cell>
          <cell r="H13" t="str">
            <v>2 PDK</v>
          </cell>
          <cell r="J13">
            <v>12</v>
          </cell>
          <cell r="K13">
            <v>2</v>
          </cell>
          <cell r="L13">
            <v>24</v>
          </cell>
        </row>
        <row r="15">
          <cell r="C15" t="str">
            <v>6N4A-4D</v>
          </cell>
          <cell r="F15" t="str">
            <v>C5</v>
          </cell>
          <cell r="G15" t="str">
            <v xml:space="preserve"> -</v>
          </cell>
          <cell r="H15">
            <v>4</v>
          </cell>
          <cell r="J15">
            <v>7</v>
          </cell>
          <cell r="K15">
            <v>2</v>
          </cell>
          <cell r="L15">
            <v>14</v>
          </cell>
          <cell r="M15">
            <v>38</v>
          </cell>
          <cell r="N15">
            <v>39.520000000000003</v>
          </cell>
          <cell r="O15">
            <v>35</v>
          </cell>
          <cell r="P15">
            <v>74.52000000000001</v>
          </cell>
        </row>
        <row r="16">
          <cell r="F16" t="str">
            <v>C5</v>
          </cell>
          <cell r="G16" t="str">
            <v xml:space="preserve"> -</v>
          </cell>
          <cell r="H16" t="str">
            <v>2 PJ</v>
          </cell>
          <cell r="J16">
            <v>12</v>
          </cell>
          <cell r="K16">
            <v>2</v>
          </cell>
          <cell r="L16">
            <v>24</v>
          </cell>
        </row>
        <row r="18">
          <cell r="C18" t="str">
            <v>6N4B-2A</v>
          </cell>
          <cell r="F18" t="str">
            <v>C5</v>
          </cell>
          <cell r="G18" t="str">
            <v xml:space="preserve"> -</v>
          </cell>
          <cell r="H18">
            <v>6</v>
          </cell>
          <cell r="J18">
            <v>5.7</v>
          </cell>
          <cell r="K18">
            <v>2</v>
          </cell>
          <cell r="L18">
            <v>11.4</v>
          </cell>
          <cell r="M18">
            <v>35.4</v>
          </cell>
          <cell r="N18">
            <v>36.816000000000003</v>
          </cell>
          <cell r="O18">
            <v>51</v>
          </cell>
          <cell r="P18">
            <v>87.816000000000003</v>
          </cell>
        </row>
        <row r="19">
          <cell r="F19" t="str">
            <v>C5</v>
          </cell>
          <cell r="G19" t="str">
            <v xml:space="preserve"> -</v>
          </cell>
          <cell r="H19" t="str">
            <v>2 PDK</v>
          </cell>
          <cell r="J19">
            <v>12</v>
          </cell>
          <cell r="K19">
            <v>2</v>
          </cell>
          <cell r="L19">
            <v>24</v>
          </cell>
        </row>
        <row r="21">
          <cell r="C21" t="str">
            <v>6N6-1B-1</v>
          </cell>
          <cell r="F21" t="str">
            <v>C5</v>
          </cell>
          <cell r="G21" t="str">
            <v xml:space="preserve"> -</v>
          </cell>
          <cell r="H21">
            <v>4</v>
          </cell>
          <cell r="J21">
            <v>7</v>
          </cell>
          <cell r="K21">
            <v>2</v>
          </cell>
          <cell r="L21">
            <v>14</v>
          </cell>
          <cell r="M21">
            <v>38</v>
          </cell>
          <cell r="N21">
            <v>39.520000000000003</v>
          </cell>
          <cell r="O21">
            <v>59</v>
          </cell>
          <cell r="P21">
            <v>98.52000000000001</v>
          </cell>
        </row>
        <row r="22">
          <cell r="F22" t="str">
            <v>C5</v>
          </cell>
          <cell r="G22" t="str">
            <v xml:space="preserve"> -</v>
          </cell>
          <cell r="H22" t="str">
            <v>2 PJ</v>
          </cell>
          <cell r="J22">
            <v>12</v>
          </cell>
          <cell r="K22">
            <v>2</v>
          </cell>
          <cell r="L22">
            <v>24</v>
          </cell>
        </row>
        <row r="24">
          <cell r="C24" t="str">
            <v>6N6-3B</v>
          </cell>
          <cell r="F24" t="str">
            <v>C5</v>
          </cell>
          <cell r="G24" t="str">
            <v xml:space="preserve"> -</v>
          </cell>
          <cell r="H24">
            <v>9</v>
          </cell>
          <cell r="J24">
            <v>12.5</v>
          </cell>
          <cell r="K24">
            <v>2</v>
          </cell>
          <cell r="L24">
            <v>25</v>
          </cell>
          <cell r="M24">
            <v>53</v>
          </cell>
          <cell r="N24">
            <v>55.120000000000005</v>
          </cell>
          <cell r="O24">
            <v>50</v>
          </cell>
          <cell r="P24">
            <v>105.12</v>
          </cell>
        </row>
        <row r="25">
          <cell r="F25" t="str">
            <v>C5</v>
          </cell>
          <cell r="G25" t="str">
            <v xml:space="preserve"> -</v>
          </cell>
          <cell r="H25" t="str">
            <v>2 PDK</v>
          </cell>
          <cell r="J25">
            <v>12</v>
          </cell>
          <cell r="K25">
            <v>1</v>
          </cell>
          <cell r="L25">
            <v>12</v>
          </cell>
        </row>
        <row r="26">
          <cell r="F26" t="str">
            <v>C5</v>
          </cell>
          <cell r="G26" t="str">
            <v xml:space="preserve"> -</v>
          </cell>
          <cell r="H26">
            <v>3</v>
          </cell>
          <cell r="J26">
            <v>16</v>
          </cell>
          <cell r="K26">
            <v>1</v>
          </cell>
          <cell r="L26">
            <v>16</v>
          </cell>
        </row>
        <row r="28">
          <cell r="C28" t="str">
            <v>6N6-3B-1</v>
          </cell>
          <cell r="F28" t="str">
            <v>C7</v>
          </cell>
          <cell r="G28" t="str">
            <v xml:space="preserve"> -</v>
          </cell>
          <cell r="H28">
            <v>17</v>
          </cell>
          <cell r="J28">
            <v>14.5</v>
          </cell>
          <cell r="K28">
            <v>2</v>
          </cell>
          <cell r="L28">
            <v>29</v>
          </cell>
          <cell r="M28">
            <v>80</v>
          </cell>
          <cell r="N28">
            <v>83.2</v>
          </cell>
          <cell r="O28">
            <v>48</v>
          </cell>
          <cell r="P28">
            <v>131.19999999999999</v>
          </cell>
        </row>
        <row r="29">
          <cell r="F29" t="str">
            <v>C7</v>
          </cell>
          <cell r="G29" t="str">
            <v xml:space="preserve"> -</v>
          </cell>
          <cell r="H29">
            <v>5</v>
          </cell>
          <cell r="J29">
            <v>35</v>
          </cell>
          <cell r="K29">
            <v>1</v>
          </cell>
          <cell r="L29">
            <v>35</v>
          </cell>
        </row>
        <row r="30">
          <cell r="F30" t="str">
            <v>C7</v>
          </cell>
          <cell r="G30" t="str">
            <v xml:space="preserve"> -</v>
          </cell>
          <cell r="H30">
            <v>18</v>
          </cell>
          <cell r="J30">
            <v>16</v>
          </cell>
          <cell r="K30">
            <v>1</v>
          </cell>
          <cell r="L30">
            <v>16</v>
          </cell>
        </row>
        <row r="32">
          <cell r="C32" t="str">
            <v>6N6-3B-1 (PP)</v>
          </cell>
          <cell r="F32" t="str">
            <v>C5</v>
          </cell>
          <cell r="G32" t="str">
            <v xml:space="preserve"> -</v>
          </cell>
          <cell r="H32">
            <v>9</v>
          </cell>
          <cell r="J32">
            <v>12.5</v>
          </cell>
          <cell r="K32">
            <v>2</v>
          </cell>
          <cell r="L32">
            <v>25</v>
          </cell>
          <cell r="M32">
            <v>53</v>
          </cell>
          <cell r="N32">
            <v>55.120000000000005</v>
          </cell>
          <cell r="O32">
            <v>50</v>
          </cell>
          <cell r="P32">
            <v>105.12</v>
          </cell>
        </row>
        <row r="33">
          <cell r="F33" t="str">
            <v>C5</v>
          </cell>
          <cell r="G33" t="str">
            <v xml:space="preserve"> -</v>
          </cell>
          <cell r="H33" t="str">
            <v>2 PJ</v>
          </cell>
          <cell r="J33">
            <v>12</v>
          </cell>
          <cell r="K33">
            <v>1</v>
          </cell>
          <cell r="L33">
            <v>12</v>
          </cell>
        </row>
        <row r="34">
          <cell r="F34" t="str">
            <v>C5</v>
          </cell>
          <cell r="G34" t="str">
            <v xml:space="preserve"> -</v>
          </cell>
          <cell r="H34">
            <v>3</v>
          </cell>
          <cell r="J34">
            <v>16</v>
          </cell>
          <cell r="K34">
            <v>1</v>
          </cell>
          <cell r="L34">
            <v>16</v>
          </cell>
        </row>
        <row r="36">
          <cell r="C36" t="str">
            <v>6N11-2D</v>
          </cell>
          <cell r="F36" t="str">
            <v>C7</v>
          </cell>
          <cell r="G36" t="str">
            <v xml:space="preserve"> -</v>
          </cell>
          <cell r="H36">
            <v>4</v>
          </cell>
          <cell r="J36">
            <v>22</v>
          </cell>
          <cell r="K36">
            <v>2</v>
          </cell>
          <cell r="L36">
            <v>44</v>
          </cell>
          <cell r="M36">
            <v>99</v>
          </cell>
          <cell r="N36">
            <v>102.96000000000001</v>
          </cell>
          <cell r="O36">
            <v>119</v>
          </cell>
          <cell r="P36">
            <v>221.96</v>
          </cell>
        </row>
        <row r="37">
          <cell r="C37" t="str">
            <v>(ABS/PP)</v>
          </cell>
          <cell r="F37" t="str">
            <v>C7</v>
          </cell>
          <cell r="G37" t="str">
            <v xml:space="preserve"> -</v>
          </cell>
          <cell r="H37">
            <v>9</v>
          </cell>
          <cell r="J37">
            <v>27.5</v>
          </cell>
          <cell r="K37">
            <v>2</v>
          </cell>
          <cell r="L37">
            <v>55</v>
          </cell>
        </row>
        <row r="43">
          <cell r="C43" t="str">
            <v>MATERIAL CONSUMPTION LEAD PARTS &amp; LEAD STICK</v>
          </cell>
        </row>
        <row r="44">
          <cell r="C44" t="str">
            <v xml:space="preserve"> (  M C B  )</v>
          </cell>
        </row>
        <row r="46">
          <cell r="F46" t="str">
            <v xml:space="preserve">L E A D   P A R T S </v>
          </cell>
        </row>
        <row r="47">
          <cell r="F47" t="str">
            <v xml:space="preserve"> ( PLASTIC INJECTION )</v>
          </cell>
          <cell r="O47" t="str">
            <v>LEAD STICK</v>
          </cell>
          <cell r="P47" t="str">
            <v>TOTAL</v>
          </cell>
        </row>
        <row r="48">
          <cell r="C48" t="str">
            <v>BATTERY</v>
          </cell>
          <cell r="O48" t="str">
            <v>x</v>
          </cell>
          <cell r="P48" t="str">
            <v>K C R</v>
          </cell>
        </row>
        <row r="49">
          <cell r="C49" t="str">
            <v>TYPE</v>
          </cell>
          <cell r="F49" t="str">
            <v>TYPE</v>
          </cell>
          <cell r="J49" t="str">
            <v>GRAM</v>
          </cell>
          <cell r="K49" t="str">
            <v>Q'TY</v>
          </cell>
          <cell r="L49" t="str">
            <v>A x Q'TY</v>
          </cell>
          <cell r="M49" t="str">
            <v>TOTAL</v>
          </cell>
          <cell r="N49" t="str">
            <v>TOTAL</v>
          </cell>
          <cell r="O49">
            <v>1.04</v>
          </cell>
          <cell r="P49" t="str">
            <v>WEIGHT</v>
          </cell>
        </row>
        <row r="50">
          <cell r="J50" t="str">
            <v xml:space="preserve"> / PCS</v>
          </cell>
          <cell r="K50" t="str">
            <v xml:space="preserve"> </v>
          </cell>
          <cell r="M50" t="str">
            <v>WEIGHT</v>
          </cell>
          <cell r="N50" t="str">
            <v>WEIGHT</v>
          </cell>
          <cell r="O50" t="str">
            <v>(AMB ASSY)</v>
          </cell>
        </row>
        <row r="51">
          <cell r="N51" t="str">
            <v>x 1.04</v>
          </cell>
        </row>
        <row r="52">
          <cell r="C52" t="str">
            <v>12N5.5-4B</v>
          </cell>
          <cell r="F52" t="str">
            <v>C7</v>
          </cell>
          <cell r="G52" t="str">
            <v xml:space="preserve"> -</v>
          </cell>
          <cell r="H52">
            <v>2</v>
          </cell>
          <cell r="J52">
            <v>19</v>
          </cell>
          <cell r="K52">
            <v>2</v>
          </cell>
          <cell r="L52">
            <v>38</v>
          </cell>
          <cell r="M52">
            <v>177</v>
          </cell>
          <cell r="N52">
            <v>184.08</v>
          </cell>
          <cell r="O52">
            <v>98</v>
          </cell>
          <cell r="P52">
            <v>282.08000000000004</v>
          </cell>
        </row>
        <row r="53">
          <cell r="F53" t="str">
            <v>C7</v>
          </cell>
          <cell r="G53" t="str">
            <v xml:space="preserve"> -</v>
          </cell>
          <cell r="H53">
            <v>9</v>
          </cell>
          <cell r="I53" t="str">
            <v xml:space="preserve"> </v>
          </cell>
          <cell r="J53">
            <v>27.5</v>
          </cell>
          <cell r="K53">
            <v>2</v>
          </cell>
          <cell r="L53">
            <v>55</v>
          </cell>
        </row>
        <row r="54">
          <cell r="F54" t="str">
            <v>C7</v>
          </cell>
          <cell r="G54" t="str">
            <v xml:space="preserve"> -</v>
          </cell>
          <cell r="H54" t="str">
            <v>9-3E</v>
          </cell>
          <cell r="J54">
            <v>28</v>
          </cell>
          <cell r="K54">
            <v>3</v>
          </cell>
          <cell r="L54">
            <v>84</v>
          </cell>
        </row>
        <row r="56">
          <cell r="C56" t="str">
            <v>12N5.5-4B (PP)</v>
          </cell>
          <cell r="F56" t="str">
            <v>C7</v>
          </cell>
          <cell r="G56" t="str">
            <v>-</v>
          </cell>
          <cell r="H56">
            <v>8</v>
          </cell>
          <cell r="J56">
            <v>22.8</v>
          </cell>
          <cell r="K56">
            <v>2</v>
          </cell>
          <cell r="L56">
            <v>45.6</v>
          </cell>
          <cell r="M56">
            <v>158.6</v>
          </cell>
          <cell r="N56">
            <v>164.94399999999999</v>
          </cell>
          <cell r="O56">
            <v>98</v>
          </cell>
          <cell r="P56">
            <v>262.94399999999996</v>
          </cell>
        </row>
        <row r="57">
          <cell r="F57" t="str">
            <v>C7</v>
          </cell>
          <cell r="G57" t="str">
            <v xml:space="preserve"> -</v>
          </cell>
          <cell r="H57" t="str">
            <v>9-3E</v>
          </cell>
          <cell r="J57">
            <v>28</v>
          </cell>
          <cell r="K57">
            <v>3</v>
          </cell>
          <cell r="L57">
            <v>84</v>
          </cell>
        </row>
        <row r="58">
          <cell r="F58" t="str">
            <v>C7</v>
          </cell>
          <cell r="G58" t="str">
            <v xml:space="preserve"> -</v>
          </cell>
          <cell r="H58">
            <v>17</v>
          </cell>
          <cell r="J58">
            <v>14.5</v>
          </cell>
          <cell r="K58">
            <v>2</v>
          </cell>
          <cell r="L58">
            <v>29</v>
          </cell>
        </row>
        <row r="60">
          <cell r="C60" t="str">
            <v>12N7C-3D</v>
          </cell>
          <cell r="F60" t="str">
            <v>C7</v>
          </cell>
          <cell r="G60" t="str">
            <v xml:space="preserve"> -</v>
          </cell>
          <cell r="H60">
            <v>4</v>
          </cell>
          <cell r="I60" t="str">
            <v xml:space="preserve"> </v>
          </cell>
          <cell r="J60">
            <v>22</v>
          </cell>
          <cell r="K60">
            <v>2</v>
          </cell>
          <cell r="L60">
            <v>44</v>
          </cell>
          <cell r="M60">
            <v>177</v>
          </cell>
          <cell r="N60">
            <v>184.08</v>
          </cell>
          <cell r="O60">
            <v>105</v>
          </cell>
          <cell r="P60">
            <v>289.08000000000004</v>
          </cell>
        </row>
        <row r="61">
          <cell r="F61" t="str">
            <v>C7</v>
          </cell>
          <cell r="G61" t="str">
            <v xml:space="preserve"> -</v>
          </cell>
          <cell r="H61">
            <v>9</v>
          </cell>
          <cell r="J61">
            <v>27.5</v>
          </cell>
          <cell r="K61">
            <v>2</v>
          </cell>
          <cell r="L61">
            <v>55</v>
          </cell>
        </row>
        <row r="62">
          <cell r="F62" t="str">
            <v>C7</v>
          </cell>
          <cell r="G62" t="str">
            <v xml:space="preserve"> -</v>
          </cell>
          <cell r="H62" t="str">
            <v>9-3D</v>
          </cell>
          <cell r="J62">
            <v>26</v>
          </cell>
          <cell r="K62">
            <v>3</v>
          </cell>
          <cell r="L62">
            <v>78</v>
          </cell>
        </row>
        <row r="64">
          <cell r="C64" t="str">
            <v>12N9-4B-1</v>
          </cell>
          <cell r="F64" t="str">
            <v>C7</v>
          </cell>
          <cell r="G64" t="str">
            <v xml:space="preserve"> -</v>
          </cell>
          <cell r="H64">
            <v>4</v>
          </cell>
          <cell r="J64">
            <v>22</v>
          </cell>
          <cell r="K64">
            <v>2</v>
          </cell>
          <cell r="L64">
            <v>44</v>
          </cell>
          <cell r="M64">
            <v>183</v>
          </cell>
          <cell r="N64">
            <v>190.32</v>
          </cell>
          <cell r="O64">
            <v>131</v>
          </cell>
          <cell r="P64">
            <v>321.32</v>
          </cell>
        </row>
        <row r="65">
          <cell r="F65" t="str">
            <v>C7</v>
          </cell>
          <cell r="G65" t="str">
            <v xml:space="preserve"> -</v>
          </cell>
          <cell r="H65">
            <v>9</v>
          </cell>
          <cell r="J65">
            <v>27.5</v>
          </cell>
          <cell r="K65">
            <v>2</v>
          </cell>
          <cell r="L65">
            <v>55</v>
          </cell>
        </row>
        <row r="66">
          <cell r="F66" t="str">
            <v>C7</v>
          </cell>
          <cell r="G66" t="str">
            <v xml:space="preserve"> -</v>
          </cell>
          <cell r="H66" t="str">
            <v>9-3E</v>
          </cell>
          <cell r="J66">
            <v>28</v>
          </cell>
          <cell r="K66">
            <v>3</v>
          </cell>
          <cell r="L66">
            <v>84</v>
          </cell>
        </row>
        <row r="68">
          <cell r="C68" t="str">
            <v>GM2.5A-3C-2</v>
          </cell>
          <cell r="F68" t="str">
            <v>C4.5   -   5</v>
          </cell>
          <cell r="I68" t="str">
            <v xml:space="preserve"> </v>
          </cell>
          <cell r="J68">
            <v>6</v>
          </cell>
          <cell r="K68">
            <v>2</v>
          </cell>
          <cell r="L68">
            <v>12</v>
          </cell>
          <cell r="M68">
            <v>57</v>
          </cell>
          <cell r="N68">
            <v>59.28</v>
          </cell>
          <cell r="O68">
            <v>60</v>
          </cell>
          <cell r="P68">
            <v>119.28</v>
          </cell>
        </row>
        <row r="69">
          <cell r="C69" t="str">
            <v xml:space="preserve"> ( PP/ABS )</v>
          </cell>
          <cell r="F69" t="str">
            <v>C4.5   -   6</v>
          </cell>
          <cell r="I69" t="str">
            <v xml:space="preserve"> </v>
          </cell>
          <cell r="J69">
            <v>9</v>
          </cell>
          <cell r="K69">
            <v>5</v>
          </cell>
          <cell r="L69">
            <v>45</v>
          </cell>
        </row>
        <row r="71">
          <cell r="C71" t="str">
            <v>GM4-3B</v>
          </cell>
          <cell r="F71" t="str">
            <v>C5</v>
          </cell>
          <cell r="G71" t="str">
            <v xml:space="preserve"> -</v>
          </cell>
          <cell r="H71">
            <v>15</v>
          </cell>
          <cell r="J71">
            <v>14.5</v>
          </cell>
          <cell r="K71">
            <v>2</v>
          </cell>
          <cell r="L71">
            <v>29</v>
          </cell>
          <cell r="M71">
            <v>89</v>
          </cell>
          <cell r="N71">
            <v>92.56</v>
          </cell>
          <cell r="O71">
            <v>89</v>
          </cell>
          <cell r="P71">
            <v>181.56</v>
          </cell>
        </row>
        <row r="72">
          <cell r="F72" t="str">
            <v>C5</v>
          </cell>
          <cell r="G72" t="str">
            <v xml:space="preserve"> -</v>
          </cell>
          <cell r="H72" t="str">
            <v>2 PJ</v>
          </cell>
          <cell r="J72">
            <v>12</v>
          </cell>
          <cell r="K72">
            <v>5</v>
          </cell>
          <cell r="L72">
            <v>60</v>
          </cell>
        </row>
        <row r="74">
          <cell r="C74" t="str">
            <v>GM5Z-3B</v>
          </cell>
          <cell r="F74" t="str">
            <v>C5</v>
          </cell>
          <cell r="G74" t="str">
            <v xml:space="preserve"> -</v>
          </cell>
          <cell r="H74" t="str">
            <v>9 GM</v>
          </cell>
          <cell r="J74">
            <v>12.5</v>
          </cell>
          <cell r="K74">
            <v>2</v>
          </cell>
          <cell r="L74">
            <v>25</v>
          </cell>
          <cell r="M74">
            <v>85</v>
          </cell>
          <cell r="N74">
            <v>88.4</v>
          </cell>
          <cell r="O74">
            <v>72</v>
          </cell>
          <cell r="P74">
            <v>160.4</v>
          </cell>
        </row>
        <row r="75">
          <cell r="C75" t="str">
            <v>12N5-3B</v>
          </cell>
          <cell r="F75" t="str">
            <v>C5</v>
          </cell>
          <cell r="G75" t="str">
            <v xml:space="preserve"> -</v>
          </cell>
          <cell r="H75" t="str">
            <v>2 PDK</v>
          </cell>
          <cell r="J75">
            <v>12</v>
          </cell>
          <cell r="K75">
            <v>5</v>
          </cell>
          <cell r="L75">
            <v>60</v>
          </cell>
        </row>
        <row r="76">
          <cell r="C76" t="str">
            <v>GM3-3B   *</v>
          </cell>
        </row>
        <row r="78">
          <cell r="C78" t="str">
            <v>12N10 - 3A</v>
          </cell>
          <cell r="F78" t="str">
            <v>C7</v>
          </cell>
          <cell r="G78" t="str">
            <v>-</v>
          </cell>
          <cell r="H78">
            <v>8</v>
          </cell>
          <cell r="J78">
            <v>22.8</v>
          </cell>
          <cell r="K78">
            <v>5</v>
          </cell>
          <cell r="L78">
            <v>114</v>
          </cell>
          <cell r="M78">
            <v>155.80000000000001</v>
          </cell>
          <cell r="N78">
            <v>162.03200000000001</v>
          </cell>
          <cell r="P78">
            <v>162.03200000000001</v>
          </cell>
        </row>
        <row r="79">
          <cell r="F79" t="str">
            <v>C7</v>
          </cell>
          <cell r="G79" t="str">
            <v>-</v>
          </cell>
          <cell r="H79">
            <v>19</v>
          </cell>
          <cell r="J79">
            <v>20.9</v>
          </cell>
          <cell r="K79">
            <v>2</v>
          </cell>
          <cell r="L79">
            <v>41.8</v>
          </cell>
        </row>
        <row r="81">
          <cell r="C81" t="str">
            <v>GM7B - 4B</v>
          </cell>
          <cell r="F81" t="str">
            <v>C7</v>
          </cell>
          <cell r="G81" t="str">
            <v>-</v>
          </cell>
          <cell r="H81">
            <v>8</v>
          </cell>
          <cell r="J81">
            <v>22.8</v>
          </cell>
          <cell r="K81">
            <v>5</v>
          </cell>
          <cell r="L81">
            <v>114</v>
          </cell>
          <cell r="M81">
            <v>155.80000000000001</v>
          </cell>
          <cell r="N81">
            <v>162.03200000000001</v>
          </cell>
          <cell r="P81">
            <v>162.03200000000001</v>
          </cell>
        </row>
        <row r="82">
          <cell r="F82" t="str">
            <v>C7</v>
          </cell>
          <cell r="G82" t="str">
            <v>-</v>
          </cell>
          <cell r="H82">
            <v>19</v>
          </cell>
          <cell r="J82">
            <v>20.9</v>
          </cell>
          <cell r="K82">
            <v>2</v>
          </cell>
          <cell r="L82">
            <v>41.8</v>
          </cell>
        </row>
        <row r="85">
          <cell r="C85" t="str">
            <v>*</v>
          </cell>
          <cell r="D85" t="str">
            <v>Revisi  Des. 95</v>
          </cell>
        </row>
      </sheetData>
      <sheetData sheetId="9"/>
      <sheetData sheetId="10">
        <row r="2">
          <cell r="B2" t="str">
            <v>WEIGHT   OF   PLASTIC   PRODUCT</v>
          </cell>
        </row>
        <row r="3">
          <cell r="B3" t="str">
            <v xml:space="preserve"> (     M   C   B     )</v>
          </cell>
        </row>
        <row r="5">
          <cell r="B5" t="str">
            <v>BATTERY</v>
          </cell>
          <cell r="C5" t="str">
            <v>C  O  N  T  A  I  N  E  R</v>
          </cell>
          <cell r="F5" t="str">
            <v>C   O   V   E   R</v>
          </cell>
        </row>
        <row r="6">
          <cell r="B6" t="str">
            <v>TYPE</v>
          </cell>
          <cell r="C6" t="str">
            <v>WEIGHT / PC</v>
          </cell>
          <cell r="D6" t="str">
            <v>RUNNER</v>
          </cell>
          <cell r="E6" t="str">
            <v>TOTAL</v>
          </cell>
          <cell r="F6" t="str">
            <v>INCLUDE LEAD</v>
          </cell>
          <cell r="G6" t="str">
            <v>LEAD PARTS</v>
          </cell>
          <cell r="H6" t="str">
            <v>PLASTIC MAT.</v>
          </cell>
        </row>
        <row r="7">
          <cell r="E7" t="str">
            <v>WEIGHT</v>
          </cell>
          <cell r="F7" t="str">
            <v>PART  ( B )</v>
          </cell>
          <cell r="G7" t="str">
            <v xml:space="preserve"> ( C )</v>
          </cell>
          <cell r="H7" t="str">
            <v xml:space="preserve"> ( B - C )</v>
          </cell>
        </row>
        <row r="8">
          <cell r="C8" t="str">
            <v>gr</v>
          </cell>
          <cell r="D8" t="str">
            <v>gr</v>
          </cell>
          <cell r="E8" t="str">
            <v>gr</v>
          </cell>
          <cell r="F8" t="str">
            <v>gr</v>
          </cell>
          <cell r="G8" t="str">
            <v>gr</v>
          </cell>
          <cell r="H8" t="str">
            <v>gr</v>
          </cell>
        </row>
        <row r="9">
          <cell r="B9" t="str">
            <v>6N4-2A</v>
          </cell>
          <cell r="C9">
            <v>84</v>
          </cell>
          <cell r="D9">
            <v>0</v>
          </cell>
          <cell r="E9">
            <v>84</v>
          </cell>
          <cell r="F9">
            <v>69.400000000000006</v>
          </cell>
          <cell r="G9">
            <v>35.4</v>
          </cell>
          <cell r="H9">
            <v>34</v>
          </cell>
        </row>
        <row r="10">
          <cell r="B10" t="str">
            <v>6N4-2A ( PP )</v>
          </cell>
          <cell r="C10">
            <v>58</v>
          </cell>
          <cell r="D10">
            <v>0</v>
          </cell>
          <cell r="E10">
            <v>58</v>
          </cell>
          <cell r="F10">
            <v>70.400000000000006</v>
          </cell>
          <cell r="G10">
            <v>35.4</v>
          </cell>
          <cell r="H10">
            <v>35</v>
          </cell>
        </row>
        <row r="11">
          <cell r="B11" t="str">
            <v>6N4A-4D</v>
          </cell>
          <cell r="C11">
            <v>95</v>
          </cell>
          <cell r="D11">
            <v>0</v>
          </cell>
          <cell r="E11">
            <v>95</v>
          </cell>
          <cell r="F11">
            <v>63</v>
          </cell>
          <cell r="G11">
            <v>38</v>
          </cell>
          <cell r="H11">
            <v>25</v>
          </cell>
        </row>
        <row r="12">
          <cell r="B12" t="str">
            <v>6N4B-2A</v>
          </cell>
          <cell r="C12">
            <v>83</v>
          </cell>
          <cell r="D12">
            <v>8</v>
          </cell>
          <cell r="E12">
            <v>91</v>
          </cell>
          <cell r="F12">
            <v>69.400000000000006</v>
          </cell>
          <cell r="G12">
            <v>35.4</v>
          </cell>
          <cell r="H12">
            <v>34</v>
          </cell>
        </row>
        <row r="13">
          <cell r="B13" t="str">
            <v>6N6-1B-1</v>
          </cell>
          <cell r="C13">
            <v>102</v>
          </cell>
          <cell r="D13">
            <v>9</v>
          </cell>
          <cell r="E13">
            <v>111</v>
          </cell>
          <cell r="F13">
            <v>77</v>
          </cell>
          <cell r="G13">
            <v>38</v>
          </cell>
          <cell r="H13">
            <v>39</v>
          </cell>
        </row>
        <row r="14">
          <cell r="B14" t="str">
            <v>6N6-3B</v>
          </cell>
          <cell r="C14">
            <v>108</v>
          </cell>
          <cell r="D14">
            <v>9</v>
          </cell>
          <cell r="E14">
            <v>117</v>
          </cell>
          <cell r="F14">
            <v>96</v>
          </cell>
          <cell r="G14">
            <v>53</v>
          </cell>
          <cell r="H14">
            <v>43</v>
          </cell>
        </row>
        <row r="15">
          <cell r="B15" t="str">
            <v xml:space="preserve"> 6N6-3B ( PP )</v>
          </cell>
          <cell r="C15">
            <v>57</v>
          </cell>
          <cell r="D15">
            <v>9</v>
          </cell>
          <cell r="E15">
            <v>66</v>
          </cell>
          <cell r="F15">
            <v>96</v>
          </cell>
          <cell r="G15">
            <v>53</v>
          </cell>
          <cell r="H15">
            <v>43</v>
          </cell>
        </row>
        <row r="16">
          <cell r="B16" t="str">
            <v>6N6-3B-1</v>
          </cell>
          <cell r="C16">
            <v>100</v>
          </cell>
          <cell r="D16">
            <v>0</v>
          </cell>
          <cell r="E16">
            <v>100</v>
          </cell>
          <cell r="F16">
            <v>118</v>
          </cell>
          <cell r="G16">
            <v>80</v>
          </cell>
          <cell r="H16">
            <v>38</v>
          </cell>
        </row>
        <row r="17">
          <cell r="B17" t="str">
            <v>6N6-3B-1 (PP) **</v>
          </cell>
          <cell r="C17">
            <v>61.5</v>
          </cell>
          <cell r="D17">
            <v>0</v>
          </cell>
          <cell r="E17">
            <v>61.5</v>
          </cell>
          <cell r="F17">
            <v>96</v>
          </cell>
          <cell r="G17">
            <v>53</v>
          </cell>
          <cell r="H17">
            <v>43</v>
          </cell>
        </row>
        <row r="18">
          <cell r="B18" t="str">
            <v>6N11-2D</v>
          </cell>
          <cell r="C18">
            <v>145</v>
          </cell>
          <cell r="D18">
            <v>0</v>
          </cell>
          <cell r="E18">
            <v>145</v>
          </cell>
          <cell r="F18">
            <v>157</v>
          </cell>
          <cell r="G18">
            <v>99</v>
          </cell>
          <cell r="H18">
            <v>58</v>
          </cell>
        </row>
        <row r="19">
          <cell r="B19" t="str">
            <v>6N11-2D (PP) **</v>
          </cell>
          <cell r="C19">
            <v>84</v>
          </cell>
          <cell r="D19">
            <v>0</v>
          </cell>
          <cell r="E19">
            <v>84</v>
          </cell>
          <cell r="F19">
            <v>160</v>
          </cell>
          <cell r="G19">
            <v>99</v>
          </cell>
          <cell r="H19">
            <v>61</v>
          </cell>
        </row>
        <row r="20">
          <cell r="B20" t="str">
            <v>12N5.5-4B</v>
          </cell>
          <cell r="C20">
            <v>183</v>
          </cell>
          <cell r="D20">
            <v>0</v>
          </cell>
          <cell r="E20">
            <v>183</v>
          </cell>
          <cell r="F20">
            <v>236</v>
          </cell>
          <cell r="G20">
            <v>177</v>
          </cell>
          <cell r="H20">
            <v>59</v>
          </cell>
        </row>
        <row r="21">
          <cell r="B21" t="str">
            <v>12N5.5-4B (PP) **</v>
          </cell>
          <cell r="C21">
            <v>119</v>
          </cell>
          <cell r="D21">
            <v>0</v>
          </cell>
          <cell r="E21">
            <v>119</v>
          </cell>
          <cell r="F21">
            <v>204.6</v>
          </cell>
          <cell r="G21">
            <v>158.6</v>
          </cell>
          <cell r="H21">
            <v>46</v>
          </cell>
        </row>
        <row r="22">
          <cell r="B22" t="str">
            <v>12N7C-3D</v>
          </cell>
          <cell r="C22">
            <v>210</v>
          </cell>
          <cell r="D22">
            <v>0</v>
          </cell>
          <cell r="E22">
            <v>210</v>
          </cell>
          <cell r="F22">
            <v>245</v>
          </cell>
          <cell r="G22">
            <v>177</v>
          </cell>
          <cell r="H22">
            <v>68</v>
          </cell>
        </row>
        <row r="23">
          <cell r="B23" t="str">
            <v>12N9-4B-1</v>
          </cell>
          <cell r="C23">
            <v>229</v>
          </cell>
          <cell r="D23">
            <v>0</v>
          </cell>
          <cell r="E23">
            <v>229</v>
          </cell>
          <cell r="F23">
            <v>261</v>
          </cell>
          <cell r="G23">
            <v>183</v>
          </cell>
          <cell r="H23">
            <v>78</v>
          </cell>
        </row>
        <row r="24">
          <cell r="B24" t="str">
            <v>GM2.5A-3C-2 (PP)</v>
          </cell>
          <cell r="C24">
            <v>83</v>
          </cell>
          <cell r="D24">
            <v>0</v>
          </cell>
          <cell r="E24">
            <v>83</v>
          </cell>
          <cell r="F24">
            <v>98</v>
          </cell>
          <cell r="G24">
            <v>57</v>
          </cell>
          <cell r="H24">
            <v>41</v>
          </cell>
        </row>
        <row r="25">
          <cell r="B25" t="str">
            <v>GM4-3B (PP)</v>
          </cell>
          <cell r="C25">
            <v>91</v>
          </cell>
          <cell r="D25">
            <v>0</v>
          </cell>
          <cell r="E25">
            <v>91</v>
          </cell>
          <cell r="F25">
            <v>136</v>
          </cell>
          <cell r="G25">
            <v>89</v>
          </cell>
          <cell r="H25">
            <v>47</v>
          </cell>
        </row>
        <row r="26">
          <cell r="B26" t="str">
            <v>GM5Z-3B (PP)</v>
          </cell>
          <cell r="C26">
            <v>107</v>
          </cell>
          <cell r="D26">
            <v>0</v>
          </cell>
          <cell r="E26">
            <v>107</v>
          </cell>
          <cell r="F26">
            <v>136</v>
          </cell>
          <cell r="G26">
            <v>85</v>
          </cell>
          <cell r="H26">
            <v>51</v>
          </cell>
        </row>
        <row r="27">
          <cell r="B27" t="str">
            <v>12N5 - 3B (PP)</v>
          </cell>
          <cell r="C27">
            <v>107</v>
          </cell>
          <cell r="D27">
            <v>0</v>
          </cell>
          <cell r="E27">
            <v>107</v>
          </cell>
          <cell r="F27">
            <v>136</v>
          </cell>
          <cell r="G27">
            <v>85</v>
          </cell>
          <cell r="H27">
            <v>51</v>
          </cell>
        </row>
        <row r="28">
          <cell r="B28" t="str">
            <v>12N10 - 3B (PP)</v>
          </cell>
          <cell r="C28">
            <v>177</v>
          </cell>
          <cell r="D28">
            <v>0</v>
          </cell>
          <cell r="E28">
            <v>177</v>
          </cell>
          <cell r="F28">
            <v>228</v>
          </cell>
          <cell r="G28">
            <v>0</v>
          </cell>
          <cell r="H28">
            <v>72</v>
          </cell>
        </row>
        <row r="29">
          <cell r="B29" t="str">
            <v>GM7B - 4B (PP)</v>
          </cell>
          <cell r="C29">
            <v>130</v>
          </cell>
          <cell r="D29">
            <v>0</v>
          </cell>
          <cell r="E29">
            <v>130</v>
          </cell>
          <cell r="F29">
            <v>210</v>
          </cell>
          <cell r="G29">
            <v>0</v>
          </cell>
          <cell r="H29">
            <v>54</v>
          </cell>
        </row>
        <row r="30">
          <cell r="B30" t="str">
            <v>GM3 - 3B  *</v>
          </cell>
          <cell r="C30">
            <v>78</v>
          </cell>
          <cell r="D30">
            <v>0</v>
          </cell>
          <cell r="E30">
            <v>78</v>
          </cell>
          <cell r="F30">
            <v>122</v>
          </cell>
          <cell r="G30">
            <v>85</v>
          </cell>
          <cell r="H30">
            <v>37</v>
          </cell>
        </row>
        <row r="32">
          <cell r="B32" t="str">
            <v>Remark    :</v>
          </cell>
          <cell r="C32" t="str">
            <v>Runner Material ABS Stylac  ( untuk cover MCB ) diperhitungkan.</v>
          </cell>
        </row>
        <row r="33">
          <cell r="C33" t="str">
            <v>Karena runner tidak di recycle.</v>
          </cell>
        </row>
        <row r="34">
          <cell r="C34" t="str">
            <v>**   Mulai Produksi th. 1995.</v>
          </cell>
        </row>
        <row r="35">
          <cell r="C35" t="str">
            <v>*    Revisi Des. 1995</v>
          </cell>
        </row>
        <row r="37">
          <cell r="B37" t="str">
            <v>WEIGHT   OF   PLASTIC   PRODUCT</v>
          </cell>
        </row>
        <row r="38">
          <cell r="B38" t="str">
            <v xml:space="preserve"> (     O  T  H  E  R  S     )</v>
          </cell>
        </row>
        <row r="40">
          <cell r="B40" t="str">
            <v>TYPE</v>
          </cell>
          <cell r="D40" t="str">
            <v>WEIGHT</v>
          </cell>
          <cell r="F40" t="str">
            <v>WEIGHT</v>
          </cell>
          <cell r="G40" t="str">
            <v>TOTAL</v>
          </cell>
        </row>
        <row r="41">
          <cell r="C41" t="str">
            <v xml:space="preserve"> </v>
          </cell>
          <cell r="D41" t="str">
            <v>PRODUCT</v>
          </cell>
          <cell r="F41" t="str">
            <v>RUNNER</v>
          </cell>
          <cell r="G41" t="str">
            <v>WEIGHT</v>
          </cell>
        </row>
        <row r="42">
          <cell r="E42" t="str">
            <v>gr</v>
          </cell>
          <cell r="F42" t="str">
            <v>gr</v>
          </cell>
          <cell r="G42" t="str">
            <v>gr</v>
          </cell>
        </row>
        <row r="43">
          <cell r="B43" t="str">
            <v>Handle N100</v>
          </cell>
          <cell r="D43">
            <v>14</v>
          </cell>
          <cell r="F43">
            <v>5</v>
          </cell>
          <cell r="G43">
            <v>19</v>
          </cell>
        </row>
        <row r="44">
          <cell r="B44" t="str">
            <v>V. Plug G18 - A13</v>
          </cell>
          <cell r="D44">
            <v>3</v>
          </cell>
          <cell r="F44">
            <v>0</v>
          </cell>
          <cell r="G44">
            <v>3</v>
          </cell>
        </row>
        <row r="45">
          <cell r="B45" t="str">
            <v>V.  Plug G18 - A20</v>
          </cell>
          <cell r="D45">
            <v>4</v>
          </cell>
          <cell r="F45">
            <v>0</v>
          </cell>
          <cell r="G45">
            <v>4</v>
          </cell>
        </row>
        <row r="46">
          <cell r="B46" t="str">
            <v>V.  Plug G22 - A14</v>
          </cell>
          <cell r="D46">
            <v>6</v>
          </cell>
          <cell r="F46">
            <v>0</v>
          </cell>
          <cell r="G46">
            <v>6</v>
          </cell>
        </row>
        <row r="47">
          <cell r="B47" t="str">
            <v>V.  Plug G30 - A 9</v>
          </cell>
          <cell r="D47">
            <v>9</v>
          </cell>
          <cell r="F47">
            <v>0</v>
          </cell>
          <cell r="G47">
            <v>9</v>
          </cell>
        </row>
        <row r="48">
          <cell r="B48" t="str">
            <v>V.  Plug K9 - 1</v>
          </cell>
          <cell r="D48">
            <v>0.8</v>
          </cell>
          <cell r="F48">
            <v>0.2</v>
          </cell>
          <cell r="G48">
            <v>1</v>
          </cell>
        </row>
        <row r="49">
          <cell r="B49" t="str">
            <v>Elbow  2 - 4</v>
          </cell>
          <cell r="D49">
            <v>1</v>
          </cell>
          <cell r="F49">
            <v>0.4</v>
          </cell>
          <cell r="G49">
            <v>1.4</v>
          </cell>
        </row>
        <row r="50">
          <cell r="B50" t="str">
            <v>Elbow  2 - 6</v>
          </cell>
          <cell r="D50">
            <v>1.2</v>
          </cell>
          <cell r="F50">
            <v>1.2</v>
          </cell>
          <cell r="G50">
            <v>2.4</v>
          </cell>
        </row>
        <row r="51">
          <cell r="B51" t="str">
            <v>Fuse  Box  6N6 - 1B - 1</v>
          </cell>
          <cell r="D51">
            <v>4</v>
          </cell>
          <cell r="F51">
            <v>0</v>
          </cell>
          <cell r="G51">
            <v>4</v>
          </cell>
        </row>
        <row r="52">
          <cell r="B52" t="str">
            <v>Fuse  Box  Cup 6N6 - 1B - 1</v>
          </cell>
          <cell r="D52">
            <v>0.9</v>
          </cell>
          <cell r="F52">
            <v>0</v>
          </cell>
          <cell r="G52">
            <v>0.9</v>
          </cell>
        </row>
        <row r="53">
          <cell r="B53" t="str">
            <v>Fuse  Box  6N4</v>
          </cell>
          <cell r="D53">
            <v>2.5</v>
          </cell>
          <cell r="F53">
            <v>0</v>
          </cell>
          <cell r="G53">
            <v>2.5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 Power"/>
      <sheetName val="Database"/>
      <sheetName val="JKS RATA-RATA"/>
      <sheetName val="JKS COS"/>
      <sheetName val="JKS SAW"/>
      <sheetName val="Grafik"/>
    </sheetNames>
    <sheetDataSet>
      <sheetData sheetId="0">
        <row r="17">
          <cell r="G17">
            <v>51.572222222222216</v>
          </cell>
        </row>
      </sheetData>
      <sheetData sheetId="1">
        <row r="6">
          <cell r="B6">
            <v>1</v>
          </cell>
          <cell r="C6" t="str">
            <v>NS40</v>
          </cell>
          <cell r="D6" t="str">
            <v>CC-NS40PE7</v>
          </cell>
          <cell r="E6" t="str">
            <v>SPAC</v>
          </cell>
          <cell r="F6" t="str">
            <v>SAW</v>
          </cell>
          <cell r="G6">
            <v>20.555294117647058</v>
          </cell>
          <cell r="H6">
            <v>20.555294117647058</v>
          </cell>
          <cell r="J6">
            <v>1</v>
          </cell>
          <cell r="K6" t="str">
            <v>NS40</v>
          </cell>
          <cell r="L6" t="str">
            <v>CC-NS40PE7</v>
          </cell>
          <cell r="M6" t="str">
            <v>SPAC</v>
          </cell>
          <cell r="N6" t="str">
            <v>COS</v>
          </cell>
          <cell r="O6">
            <v>35.207823960880198</v>
          </cell>
          <cell r="P6">
            <v>35.207823960880198</v>
          </cell>
        </row>
        <row r="7">
          <cell r="B7">
            <v>2</v>
          </cell>
          <cell r="D7" t="str">
            <v>CC-NS40LPE7</v>
          </cell>
          <cell r="E7" t="str">
            <v>SPAC</v>
          </cell>
          <cell r="F7" t="str">
            <v>SAW</v>
          </cell>
          <cell r="G7">
            <v>20.555294117647058</v>
          </cell>
          <cell r="H7">
            <v>20.555294117647058</v>
          </cell>
          <cell r="J7">
            <v>2</v>
          </cell>
          <cell r="L7" t="str">
            <v>CC-NS40LPE7</v>
          </cell>
          <cell r="M7" t="str">
            <v>SPAC</v>
          </cell>
          <cell r="N7" t="str">
            <v>COS</v>
          </cell>
          <cell r="O7">
            <v>35.207823960880198</v>
          </cell>
          <cell r="P7">
            <v>35.207823960880198</v>
          </cell>
        </row>
        <row r="8">
          <cell r="B8">
            <v>3</v>
          </cell>
          <cell r="D8" t="str">
            <v>CC-NS40LSPE7</v>
          </cell>
          <cell r="E8" t="str">
            <v>SPAC</v>
          </cell>
          <cell r="F8" t="str">
            <v>SAW</v>
          </cell>
          <cell r="G8">
            <v>20.555294117647058</v>
          </cell>
          <cell r="H8">
            <v>20.555294117647058</v>
          </cell>
          <cell r="J8">
            <v>3</v>
          </cell>
          <cell r="L8" t="str">
            <v>CC-NS40LSPE7</v>
          </cell>
          <cell r="M8" t="str">
            <v>SPAC</v>
          </cell>
          <cell r="N8" t="str">
            <v>COS</v>
          </cell>
          <cell r="O8">
            <v>35.207823960880198</v>
          </cell>
          <cell r="P8">
            <v>35.207823960880198</v>
          </cell>
        </row>
        <row r="9">
          <cell r="B9">
            <v>4</v>
          </cell>
          <cell r="D9" t="str">
            <v>CC-NS40PE9</v>
          </cell>
          <cell r="F9" t="str">
            <v>SAW</v>
          </cell>
          <cell r="G9">
            <v>20.555294117647058</v>
          </cell>
          <cell r="H9">
            <v>20.555294117647058</v>
          </cell>
          <cell r="J9">
            <v>4</v>
          </cell>
          <cell r="L9" t="str">
            <v>CC-NS40PE9</v>
          </cell>
          <cell r="N9" t="str">
            <v>COS</v>
          </cell>
          <cell r="O9">
            <v>24.153911140125185</v>
          </cell>
          <cell r="P9">
            <v>24.153911140125185</v>
          </cell>
        </row>
        <row r="10">
          <cell r="B10">
            <v>5</v>
          </cell>
          <cell r="D10" t="str">
            <v>CC-NS40LPE9</v>
          </cell>
          <cell r="F10" t="str">
            <v>SAW</v>
          </cell>
          <cell r="G10">
            <v>20.555294117647058</v>
          </cell>
          <cell r="H10">
            <v>20.555294117647058</v>
          </cell>
          <cell r="J10">
            <v>5</v>
          </cell>
          <cell r="L10" t="str">
            <v>CC-NS40LPE9</v>
          </cell>
          <cell r="N10" t="str">
            <v>COS</v>
          </cell>
          <cell r="O10">
            <v>24.153911140125185</v>
          </cell>
          <cell r="P10">
            <v>24.153911140125185</v>
          </cell>
        </row>
        <row r="11">
          <cell r="B11">
            <v>6</v>
          </cell>
          <cell r="D11" t="str">
            <v>CC-NS40LSPE9</v>
          </cell>
          <cell r="F11" t="str">
            <v>SAW</v>
          </cell>
          <cell r="G11">
            <v>20.555294117647058</v>
          </cell>
          <cell r="H11">
            <v>20.555294117647058</v>
          </cell>
          <cell r="J11">
            <v>6</v>
          </cell>
          <cell r="L11" t="str">
            <v>CC-NS40LSPE9</v>
          </cell>
          <cell r="N11" t="str">
            <v>COS</v>
          </cell>
          <cell r="O11">
            <v>24.153911140125185</v>
          </cell>
          <cell r="P11">
            <v>24.153911140125185</v>
          </cell>
        </row>
        <row r="12">
          <cell r="B12">
            <v>7</v>
          </cell>
          <cell r="D12" t="str">
            <v>CC-NS40ZPE9</v>
          </cell>
          <cell r="F12" t="str">
            <v>SAW</v>
          </cell>
          <cell r="G12">
            <v>20.555294117647058</v>
          </cell>
          <cell r="H12">
            <v>20.555294117647058</v>
          </cell>
          <cell r="J12">
            <v>7</v>
          </cell>
          <cell r="L12" t="str">
            <v>CC-NS40ZPE9</v>
          </cell>
          <cell r="N12" t="str">
            <v>COS</v>
          </cell>
          <cell r="O12">
            <v>24.153911140125185</v>
          </cell>
          <cell r="P12">
            <v>24.153911140125185</v>
          </cell>
        </row>
        <row r="13">
          <cell r="B13">
            <v>8</v>
          </cell>
          <cell r="D13" t="str">
            <v>CC-NS40ZLPE9</v>
          </cell>
          <cell r="F13" t="str">
            <v>SAW</v>
          </cell>
          <cell r="G13">
            <v>20.555294117647058</v>
          </cell>
          <cell r="H13">
            <v>20.555294117647058</v>
          </cell>
          <cell r="J13">
            <v>8</v>
          </cell>
          <cell r="L13" t="str">
            <v>CC-NS40ZLPE9</v>
          </cell>
          <cell r="N13" t="str">
            <v>COS</v>
          </cell>
          <cell r="O13">
            <v>24.153911140125185</v>
          </cell>
          <cell r="P13">
            <v>24.153911140125185</v>
          </cell>
        </row>
        <row r="14">
          <cell r="B14">
            <v>9</v>
          </cell>
          <cell r="D14" t="str">
            <v>CC-NS40ZLSPE9</v>
          </cell>
          <cell r="F14" t="str">
            <v>SAW</v>
          </cell>
          <cell r="G14">
            <v>20.555294117647058</v>
          </cell>
          <cell r="H14">
            <v>20.555294117647058</v>
          </cell>
          <cell r="J14">
            <v>9</v>
          </cell>
          <cell r="L14" t="str">
            <v>CC-NS40ZLSPE9</v>
          </cell>
          <cell r="N14" t="str">
            <v>COS</v>
          </cell>
          <cell r="O14">
            <v>24.153911140125185</v>
          </cell>
          <cell r="P14">
            <v>24.153911140125185</v>
          </cell>
        </row>
        <row r="15">
          <cell r="B15">
            <v>10</v>
          </cell>
          <cell r="D15" t="str">
            <v>CC-NS40ZPE11</v>
          </cell>
          <cell r="F15" t="str">
            <v>SAW</v>
          </cell>
          <cell r="G15">
            <v>21.305151915455749</v>
          </cell>
          <cell r="H15">
            <v>21.305151915455749</v>
          </cell>
          <cell r="J15">
            <v>10</v>
          </cell>
          <cell r="L15" t="str">
            <v>CC-NS40ZPE11</v>
          </cell>
          <cell r="N15" t="str">
            <v>COS</v>
          </cell>
          <cell r="O15">
            <v>28.626857647555774</v>
          </cell>
          <cell r="P15">
            <v>28.626857647555774</v>
          </cell>
        </row>
        <row r="16">
          <cell r="B16">
            <v>11</v>
          </cell>
          <cell r="D16" t="str">
            <v>CC-NS40ZLPE11</v>
          </cell>
          <cell r="F16" t="str">
            <v>SAW</v>
          </cell>
          <cell r="G16">
            <v>21.305151915455749</v>
          </cell>
          <cell r="H16">
            <v>21.305151915455749</v>
          </cell>
          <cell r="J16">
            <v>11</v>
          </cell>
          <cell r="L16" t="str">
            <v>CC-NS40ZLPE11</v>
          </cell>
          <cell r="N16" t="str">
            <v>COS</v>
          </cell>
          <cell r="O16">
            <v>28.626857647555774</v>
          </cell>
          <cell r="P16">
            <v>28.626857647555774</v>
          </cell>
        </row>
        <row r="17">
          <cell r="B17">
            <v>12</v>
          </cell>
          <cell r="D17" t="str">
            <v>CC-NS40ZLSPE11</v>
          </cell>
          <cell r="F17" t="str">
            <v>SAW</v>
          </cell>
          <cell r="G17">
            <v>21.305151915455749</v>
          </cell>
          <cell r="H17">
            <v>21.305151915455749</v>
          </cell>
          <cell r="J17">
            <v>12</v>
          </cell>
          <cell r="L17" t="str">
            <v>CC-NS40ZLSPE11</v>
          </cell>
          <cell r="N17" t="str">
            <v>COS</v>
          </cell>
          <cell r="O17">
            <v>28.626857647555774</v>
          </cell>
          <cell r="P17">
            <v>28.626857647555774</v>
          </cell>
        </row>
        <row r="18">
          <cell r="B18">
            <v>13</v>
          </cell>
          <cell r="D18" t="str">
            <v>CC-NS40ZPE12</v>
          </cell>
          <cell r="F18" t="str">
            <v>SAW</v>
          </cell>
          <cell r="G18">
            <v>25.566182298546895</v>
          </cell>
          <cell r="H18">
            <v>25.566182298546895</v>
          </cell>
          <cell r="J18">
            <v>13</v>
          </cell>
          <cell r="L18" t="str">
            <v>CC-NS40ZPE12</v>
          </cell>
          <cell r="N18" t="str">
            <v>COS</v>
          </cell>
          <cell r="O18">
            <v>30.86333090127107</v>
          </cell>
          <cell r="P18">
            <v>30.86333090127107</v>
          </cell>
        </row>
        <row r="19">
          <cell r="B19">
            <v>14</v>
          </cell>
          <cell r="D19" t="str">
            <v>CC-NS40ZLPE12</v>
          </cell>
          <cell r="F19" t="str">
            <v>SAW</v>
          </cell>
          <cell r="G19">
            <v>25.566182298546895</v>
          </cell>
          <cell r="H19">
            <v>25.566182298546895</v>
          </cell>
          <cell r="J19">
            <v>14</v>
          </cell>
          <cell r="L19" t="str">
            <v>CC-NS40ZLPE12</v>
          </cell>
          <cell r="N19" t="str">
            <v>COS</v>
          </cell>
          <cell r="O19">
            <v>30.86333090127107</v>
          </cell>
          <cell r="P19">
            <v>30.86333090127107</v>
          </cell>
        </row>
        <row r="20">
          <cell r="B20">
            <v>15</v>
          </cell>
          <cell r="D20" t="str">
            <v>HC-NS40PE8</v>
          </cell>
          <cell r="E20" t="str">
            <v>SPAC</v>
          </cell>
          <cell r="F20" t="str">
            <v>SAW</v>
          </cell>
          <cell r="G20">
            <v>22.139225469232596</v>
          </cell>
          <cell r="H20">
            <v>22.139225469232596</v>
          </cell>
          <cell r="J20">
            <v>15</v>
          </cell>
          <cell r="L20" t="str">
            <v>HC-NS40PE8</v>
          </cell>
          <cell r="M20" t="str">
            <v>SPAC</v>
          </cell>
          <cell r="N20" t="str">
            <v>COS</v>
          </cell>
          <cell r="O20">
            <v>35.207823960880198</v>
          </cell>
          <cell r="P20">
            <v>35.207823960880198</v>
          </cell>
        </row>
        <row r="21">
          <cell r="B21">
            <v>17</v>
          </cell>
          <cell r="D21" t="str">
            <v>HC-NS40SPE8</v>
          </cell>
          <cell r="E21" t="str">
            <v>SPAC</v>
          </cell>
          <cell r="F21" t="str">
            <v>SAW</v>
          </cell>
          <cell r="G21">
            <v>20.790000000000003</v>
          </cell>
          <cell r="H21">
            <v>20.790000000000003</v>
          </cell>
          <cell r="J21">
            <v>17</v>
          </cell>
          <cell r="L21" t="str">
            <v>HC-NS40SPE8</v>
          </cell>
          <cell r="M21" t="str">
            <v>SPAC</v>
          </cell>
          <cell r="N21" t="str">
            <v>COS</v>
          </cell>
          <cell r="O21">
            <v>35.207823960880198</v>
          </cell>
          <cell r="P21">
            <v>35.207823960880198</v>
          </cell>
        </row>
        <row r="22">
          <cell r="B22">
            <v>16</v>
          </cell>
          <cell r="D22" t="str">
            <v>HC-NS40LPE8</v>
          </cell>
          <cell r="E22" t="str">
            <v>SPAC</v>
          </cell>
          <cell r="F22" t="str">
            <v>SAW</v>
          </cell>
          <cell r="G22">
            <v>20.790000000000003</v>
          </cell>
          <cell r="H22">
            <v>20.790000000000003</v>
          </cell>
          <cell r="J22">
            <v>16</v>
          </cell>
          <cell r="L22" t="str">
            <v>HC-NS40LPE8</v>
          </cell>
          <cell r="M22" t="str">
            <v>SPAC</v>
          </cell>
          <cell r="N22" t="str">
            <v>COS</v>
          </cell>
          <cell r="O22">
            <v>35.207823960880198</v>
          </cell>
          <cell r="P22">
            <v>35.207823960880198</v>
          </cell>
        </row>
        <row r="23">
          <cell r="B23">
            <v>18</v>
          </cell>
          <cell r="D23" t="str">
            <v>HC-NS40ZPE11</v>
          </cell>
          <cell r="F23" t="str">
            <v>SAW</v>
          </cell>
          <cell r="G23">
            <v>21.305151915455749</v>
          </cell>
          <cell r="H23">
            <v>21.305151915455749</v>
          </cell>
          <cell r="J23">
            <v>18</v>
          </cell>
          <cell r="L23" t="str">
            <v>HC-NS40ZPE11</v>
          </cell>
          <cell r="N23" t="str">
            <v>COS</v>
          </cell>
          <cell r="O23">
            <v>28.626857647555774</v>
          </cell>
          <cell r="P23">
            <v>28.626857647555774</v>
          </cell>
        </row>
        <row r="24">
          <cell r="B24">
            <v>19</v>
          </cell>
          <cell r="D24" t="str">
            <v>HC-NS40ZLPE11</v>
          </cell>
          <cell r="F24" t="str">
            <v>SAW</v>
          </cell>
          <cell r="G24">
            <v>21.305151915455749</v>
          </cell>
          <cell r="H24">
            <v>21.305151915455749</v>
          </cell>
          <cell r="J24">
            <v>19</v>
          </cell>
          <cell r="L24" t="str">
            <v>HC-NS40ZLPE11</v>
          </cell>
          <cell r="N24" t="str">
            <v>COS</v>
          </cell>
          <cell r="O24">
            <v>28.626857647555774</v>
          </cell>
          <cell r="P24">
            <v>28.626857647555774</v>
          </cell>
        </row>
        <row r="25">
          <cell r="B25">
            <v>20</v>
          </cell>
          <cell r="D25" t="str">
            <v>HC-34B20PE11</v>
          </cell>
          <cell r="F25" t="str">
            <v>SAW</v>
          </cell>
          <cell r="G25">
            <v>25.566182298546895</v>
          </cell>
          <cell r="H25">
            <v>25.566182298546895</v>
          </cell>
          <cell r="J25">
            <v>20</v>
          </cell>
          <cell r="L25" t="str">
            <v>HC-34B20PE11</v>
          </cell>
          <cell r="N25" t="str">
            <v>COS</v>
          </cell>
          <cell r="O25">
            <v>28.626857647555774</v>
          </cell>
          <cell r="P25">
            <v>28.626857647555774</v>
          </cell>
        </row>
        <row r="26">
          <cell r="B26">
            <v>21</v>
          </cell>
          <cell r="D26" t="str">
            <v>HC-34B20LPE11</v>
          </cell>
          <cell r="F26" t="str">
            <v>SAW</v>
          </cell>
          <cell r="G26">
            <v>25.566182298546895</v>
          </cell>
          <cell r="H26">
            <v>25.566182298546895</v>
          </cell>
          <cell r="J26">
            <v>21</v>
          </cell>
          <cell r="L26" t="str">
            <v>HC-34B20LPE11</v>
          </cell>
          <cell r="N26" t="str">
            <v>COS</v>
          </cell>
          <cell r="O26">
            <v>28.626857647555774</v>
          </cell>
          <cell r="P26">
            <v>28.626857647555774</v>
          </cell>
        </row>
        <row r="27">
          <cell r="B27">
            <v>22</v>
          </cell>
          <cell r="D27" t="str">
            <v>C-MFNS40ZLPE7</v>
          </cell>
          <cell r="E27" t="str">
            <v>SPAC</v>
          </cell>
          <cell r="F27" t="str">
            <v>SAW</v>
          </cell>
          <cell r="G27">
            <v>24.741818181818179</v>
          </cell>
          <cell r="H27">
            <v>24.741818181818179</v>
          </cell>
          <cell r="J27">
            <v>22</v>
          </cell>
          <cell r="L27" t="str">
            <v>C-MFNS40ZLPE7</v>
          </cell>
          <cell r="M27" t="str">
            <v>SPAC</v>
          </cell>
          <cell r="N27" t="str">
            <v>COS</v>
          </cell>
          <cell r="O27">
            <v>35.207823960880198</v>
          </cell>
          <cell r="P27">
            <v>35.207823960880198</v>
          </cell>
        </row>
        <row r="28">
          <cell r="B28">
            <v>23</v>
          </cell>
          <cell r="D28" t="str">
            <v>C-MFNS40ZPE9</v>
          </cell>
          <cell r="E28" t="str">
            <v>SPAC</v>
          </cell>
          <cell r="F28" t="str">
            <v>SAW</v>
          </cell>
          <cell r="G28">
            <v>24.741818181818179</v>
          </cell>
          <cell r="H28">
            <v>24.741818181818179</v>
          </cell>
          <cell r="J28">
            <v>23</v>
          </cell>
          <cell r="L28" t="str">
            <v>C-MFNS40ZPE9</v>
          </cell>
          <cell r="M28" t="str">
            <v>SPAC</v>
          </cell>
          <cell r="N28" t="str">
            <v>COS</v>
          </cell>
          <cell r="O28">
            <v>35.207823960880198</v>
          </cell>
          <cell r="P28">
            <v>35.207823960880198</v>
          </cell>
        </row>
        <row r="29">
          <cell r="B29">
            <v>24</v>
          </cell>
          <cell r="D29" t="str">
            <v>C-MFNS40ZLPE9</v>
          </cell>
          <cell r="E29" t="str">
            <v>SPAC</v>
          </cell>
          <cell r="F29" t="str">
            <v>SAW</v>
          </cell>
          <cell r="G29">
            <v>24.741818181818179</v>
          </cell>
          <cell r="H29">
            <v>24.741818181818179</v>
          </cell>
          <cell r="J29">
            <v>24</v>
          </cell>
          <cell r="L29" t="str">
            <v>C-MFNS40ZLPE9</v>
          </cell>
          <cell r="M29" t="str">
            <v>SPAC</v>
          </cell>
          <cell r="N29" t="str">
            <v>COS</v>
          </cell>
          <cell r="O29">
            <v>35.207823960880198</v>
          </cell>
          <cell r="P29">
            <v>35.207823960880198</v>
          </cell>
        </row>
        <row r="30">
          <cell r="B30">
            <v>25</v>
          </cell>
          <cell r="D30" t="str">
            <v>C-MFNS40PE9</v>
          </cell>
          <cell r="E30" t="str">
            <v>SPAC</v>
          </cell>
          <cell r="F30" t="str">
            <v>SAW</v>
          </cell>
          <cell r="G30">
            <v>24.741818181818179</v>
          </cell>
          <cell r="H30">
            <v>24.741818181818179</v>
          </cell>
          <cell r="J30">
            <v>25</v>
          </cell>
          <cell r="L30" t="str">
            <v>C-MFNS40PE9</v>
          </cell>
          <cell r="M30" t="str">
            <v>SPAC</v>
          </cell>
          <cell r="N30" t="str">
            <v>COS</v>
          </cell>
          <cell r="O30">
            <v>35.207823960880198</v>
          </cell>
          <cell r="P30">
            <v>35.207823960880198</v>
          </cell>
        </row>
        <row r="31">
          <cell r="B31">
            <v>26</v>
          </cell>
          <cell r="D31" t="str">
            <v>C-MFNS40LPE9</v>
          </cell>
          <cell r="E31" t="str">
            <v>SPAC</v>
          </cell>
          <cell r="F31" t="str">
            <v>SAW</v>
          </cell>
          <cell r="G31">
            <v>24.741818181818179</v>
          </cell>
          <cell r="H31">
            <v>24.741818181818179</v>
          </cell>
          <cell r="J31">
            <v>26</v>
          </cell>
          <cell r="L31" t="str">
            <v>C-MFNS40LPE9</v>
          </cell>
          <cell r="M31" t="str">
            <v>SPAC</v>
          </cell>
          <cell r="N31" t="str">
            <v>COS</v>
          </cell>
          <cell r="O31">
            <v>35.207823960880198</v>
          </cell>
          <cell r="P31">
            <v>35.207823960880198</v>
          </cell>
        </row>
        <row r="32">
          <cell r="B32">
            <v>27</v>
          </cell>
          <cell r="D32" t="str">
            <v>C-MFNS40ZPE11</v>
          </cell>
          <cell r="E32" t="str">
            <v>SPAC</v>
          </cell>
          <cell r="F32" t="str">
            <v>SAW</v>
          </cell>
          <cell r="G32">
            <v>24.741818181818179</v>
          </cell>
          <cell r="H32">
            <v>24.741818181818179</v>
          </cell>
          <cell r="J32">
            <v>27</v>
          </cell>
          <cell r="L32" t="str">
            <v>C-MFNS40ZPE11</v>
          </cell>
          <cell r="M32" t="str">
            <v>SPAC</v>
          </cell>
          <cell r="N32" t="str">
            <v>COS</v>
          </cell>
          <cell r="O32">
            <v>35.207823960880198</v>
          </cell>
          <cell r="P32">
            <v>35.207823960880198</v>
          </cell>
        </row>
        <row r="33">
          <cell r="B33">
            <v>28</v>
          </cell>
          <cell r="D33" t="str">
            <v>C-MFNS40ZLPE11</v>
          </cell>
          <cell r="E33" t="str">
            <v>SPAC</v>
          </cell>
          <cell r="F33" t="str">
            <v>SAW</v>
          </cell>
          <cell r="G33">
            <v>24.741818181818179</v>
          </cell>
          <cell r="H33">
            <v>24.741818181818179</v>
          </cell>
          <cell r="J33">
            <v>28</v>
          </cell>
          <cell r="L33" t="str">
            <v>C-MFNS40ZLPE11</v>
          </cell>
          <cell r="M33" t="str">
            <v>SPAC</v>
          </cell>
          <cell r="N33" t="str">
            <v>COS</v>
          </cell>
          <cell r="O33">
            <v>35.207823960880198</v>
          </cell>
          <cell r="P33">
            <v>35.207823960880198</v>
          </cell>
        </row>
        <row r="34">
          <cell r="B34">
            <v>29</v>
          </cell>
          <cell r="D34" t="str">
            <v>C-MFNS40ZLSPE11</v>
          </cell>
          <cell r="E34" t="str">
            <v>SPAC</v>
          </cell>
          <cell r="F34" t="str">
            <v>SAW</v>
          </cell>
          <cell r="G34">
            <v>24.741818181818179</v>
          </cell>
          <cell r="H34">
            <v>24.741818181818179</v>
          </cell>
          <cell r="J34">
            <v>29</v>
          </cell>
          <cell r="L34" t="str">
            <v>C-MFNS40ZLSPE11</v>
          </cell>
          <cell r="M34" t="str">
            <v>SPAC</v>
          </cell>
          <cell r="N34" t="str">
            <v>COS</v>
          </cell>
          <cell r="O34">
            <v>35.207823960880198</v>
          </cell>
          <cell r="P34">
            <v>35.207823960880198</v>
          </cell>
        </row>
        <row r="35">
          <cell r="B35">
            <v>30</v>
          </cell>
          <cell r="C35" t="str">
            <v>NS60</v>
          </cell>
          <cell r="D35" t="str">
            <v>CC-N40PE9</v>
          </cell>
          <cell r="E35" t="str">
            <v>SPAC</v>
          </cell>
          <cell r="F35" t="str">
            <v>SAW</v>
          </cell>
          <cell r="G35">
            <v>20.555294117647058</v>
          </cell>
          <cell r="H35">
            <v>20.555294117647058</v>
          </cell>
          <cell r="J35">
            <v>30</v>
          </cell>
          <cell r="K35" t="str">
            <v>NS60</v>
          </cell>
          <cell r="L35" t="str">
            <v>CC-N40PE9</v>
          </cell>
          <cell r="M35" t="str">
            <v>SPAC</v>
          </cell>
          <cell r="N35" t="str">
            <v>COS</v>
          </cell>
          <cell r="O35">
            <v>35.207823960880198</v>
          </cell>
          <cell r="P35">
            <v>35.207823960880198</v>
          </cell>
        </row>
        <row r="36">
          <cell r="B36">
            <v>31</v>
          </cell>
          <cell r="D36" t="str">
            <v>CC-N40LPE9</v>
          </cell>
          <cell r="E36" t="str">
            <v>SPAC</v>
          </cell>
          <cell r="F36" t="str">
            <v>SAW</v>
          </cell>
          <cell r="G36">
            <v>20.555294117647058</v>
          </cell>
          <cell r="H36">
            <v>20.555294117647058</v>
          </cell>
          <cell r="J36">
            <v>31</v>
          </cell>
          <cell r="L36" t="str">
            <v>CC-N40LPE9</v>
          </cell>
          <cell r="M36" t="str">
            <v>SPAC</v>
          </cell>
          <cell r="N36" t="str">
            <v>COS</v>
          </cell>
          <cell r="O36">
            <v>35.207823960880198</v>
          </cell>
          <cell r="P36">
            <v>35.207823960880198</v>
          </cell>
        </row>
        <row r="37">
          <cell r="B37">
            <v>32</v>
          </cell>
          <cell r="D37" t="str">
            <v>CC-N40PE11</v>
          </cell>
          <cell r="E37" t="str">
            <v>SPAC</v>
          </cell>
          <cell r="F37" t="str">
            <v>SAW</v>
          </cell>
          <cell r="G37">
            <v>21.305151915455749</v>
          </cell>
          <cell r="H37">
            <v>21.305151915455749</v>
          </cell>
          <cell r="J37">
            <v>32</v>
          </cell>
          <cell r="L37" t="str">
            <v>CC-N40PE11</v>
          </cell>
          <cell r="M37" t="str">
            <v>SPAC</v>
          </cell>
          <cell r="N37" t="str">
            <v>COS</v>
          </cell>
          <cell r="O37">
            <v>35.207823960880198</v>
          </cell>
          <cell r="P37">
            <v>35.207823960880198</v>
          </cell>
        </row>
        <row r="38">
          <cell r="B38">
            <v>33</v>
          </cell>
          <cell r="D38" t="str">
            <v>CC-N40LPE11</v>
          </cell>
          <cell r="E38" t="str">
            <v>SPAC</v>
          </cell>
          <cell r="F38" t="str">
            <v>SAW</v>
          </cell>
          <cell r="G38">
            <v>21.305151915455749</v>
          </cell>
          <cell r="H38">
            <v>21.305151915455749</v>
          </cell>
          <cell r="J38">
            <v>33</v>
          </cell>
          <cell r="L38" t="str">
            <v>CC-N40LPE11</v>
          </cell>
          <cell r="M38" t="str">
            <v>SPAC</v>
          </cell>
          <cell r="N38" t="str">
            <v>COS</v>
          </cell>
          <cell r="O38">
            <v>35.207823960880198</v>
          </cell>
          <cell r="P38">
            <v>35.207823960880198</v>
          </cell>
        </row>
        <row r="39">
          <cell r="B39">
            <v>34</v>
          </cell>
          <cell r="D39" t="str">
            <v>CC-NS60PE11</v>
          </cell>
          <cell r="E39" t="str">
            <v>SPAC</v>
          </cell>
          <cell r="F39" t="str">
            <v>SAW</v>
          </cell>
          <cell r="G39">
            <v>21.305151915455749</v>
          </cell>
          <cell r="H39">
            <v>21.305151915455749</v>
          </cell>
          <cell r="J39">
            <v>34</v>
          </cell>
          <cell r="L39" t="str">
            <v>CC-NS60PE11</v>
          </cell>
          <cell r="M39" t="str">
            <v>SPAC</v>
          </cell>
          <cell r="N39" t="str">
            <v>COS</v>
          </cell>
          <cell r="O39">
            <v>35.207823960880198</v>
          </cell>
          <cell r="P39">
            <v>35.207823960880198</v>
          </cell>
        </row>
        <row r="40">
          <cell r="B40">
            <v>35</v>
          </cell>
          <cell r="D40" t="str">
            <v>CC-NS60LPE11</v>
          </cell>
          <cell r="E40" t="str">
            <v>SPAC</v>
          </cell>
          <cell r="F40" t="str">
            <v>SAW</v>
          </cell>
          <cell r="G40">
            <v>21.305151915455749</v>
          </cell>
          <cell r="H40">
            <v>21.305151915455749</v>
          </cell>
          <cell r="J40">
            <v>35</v>
          </cell>
          <cell r="L40" t="str">
            <v>CC-NS60LPE11</v>
          </cell>
          <cell r="M40" t="str">
            <v>SPAC</v>
          </cell>
          <cell r="N40" t="str">
            <v>COS</v>
          </cell>
          <cell r="O40">
            <v>35.207823960880198</v>
          </cell>
          <cell r="P40">
            <v>35.207823960880198</v>
          </cell>
        </row>
        <row r="41">
          <cell r="B41">
            <v>36</v>
          </cell>
          <cell r="D41" t="str">
            <v>CC-NS60SPE11</v>
          </cell>
          <cell r="E41" t="str">
            <v>SPAC</v>
          </cell>
          <cell r="F41" t="str">
            <v>SAW</v>
          </cell>
          <cell r="G41">
            <v>21.305151915455749</v>
          </cell>
          <cell r="H41">
            <v>21.305151915455749</v>
          </cell>
          <cell r="J41">
            <v>36</v>
          </cell>
          <cell r="L41" t="str">
            <v>CC-NS60SPE11</v>
          </cell>
          <cell r="M41" t="str">
            <v>SPAC</v>
          </cell>
          <cell r="N41" t="str">
            <v>COS</v>
          </cell>
          <cell r="O41">
            <v>35.207823960880198</v>
          </cell>
          <cell r="P41">
            <v>35.207823960880198</v>
          </cell>
        </row>
        <row r="42">
          <cell r="B42">
            <v>37</v>
          </cell>
          <cell r="D42" t="str">
            <v>CC-NS60LSPE11</v>
          </cell>
          <cell r="E42" t="str">
            <v>SPAC</v>
          </cell>
          <cell r="F42" t="str">
            <v>SAW</v>
          </cell>
          <cell r="G42">
            <v>21.305151915455749</v>
          </cell>
          <cell r="H42">
            <v>21.305151915455749</v>
          </cell>
          <cell r="J42">
            <v>37</v>
          </cell>
          <cell r="L42" t="str">
            <v>CC-NS60LSPE11</v>
          </cell>
          <cell r="M42" t="str">
            <v>SPAC</v>
          </cell>
          <cell r="N42" t="str">
            <v>COS</v>
          </cell>
          <cell r="O42">
            <v>35.207823960880198</v>
          </cell>
          <cell r="P42">
            <v>35.207823960880198</v>
          </cell>
        </row>
        <row r="43">
          <cell r="B43">
            <v>38</v>
          </cell>
          <cell r="D43" t="str">
            <v>CC-NS60PE13</v>
          </cell>
          <cell r="F43" t="str">
            <v>SAW</v>
          </cell>
          <cell r="G43">
            <v>25.566182298546895</v>
          </cell>
          <cell r="H43">
            <v>25.566182298546895</v>
          </cell>
          <cell r="J43">
            <v>38</v>
          </cell>
          <cell r="L43" t="str">
            <v>CC-NS60PE13</v>
          </cell>
          <cell r="N43" t="str">
            <v>COS</v>
          </cell>
          <cell r="O43">
            <v>33.099804154986366</v>
          </cell>
          <cell r="P43">
            <v>33.099804154986366</v>
          </cell>
        </row>
        <row r="44">
          <cell r="B44">
            <v>39</v>
          </cell>
          <cell r="D44" t="str">
            <v>CC-NS60LPE13</v>
          </cell>
          <cell r="F44" t="str">
            <v>SAW</v>
          </cell>
          <cell r="G44">
            <v>25.566182298546895</v>
          </cell>
          <cell r="H44">
            <v>25.566182298546895</v>
          </cell>
          <cell r="J44">
            <v>39</v>
          </cell>
          <cell r="L44" t="str">
            <v>CC-NS60LPE13</v>
          </cell>
          <cell r="N44" t="str">
            <v>COS</v>
          </cell>
          <cell r="O44">
            <v>33.099804154986366</v>
          </cell>
          <cell r="P44">
            <v>33.099804154986366</v>
          </cell>
        </row>
        <row r="45">
          <cell r="B45">
            <v>40</v>
          </cell>
          <cell r="D45" t="str">
            <v>CC-NS60SPE13</v>
          </cell>
          <cell r="F45" t="str">
            <v>SAW</v>
          </cell>
          <cell r="G45">
            <v>25.566182298546895</v>
          </cell>
          <cell r="H45">
            <v>25.566182298546895</v>
          </cell>
          <cell r="J45">
            <v>40</v>
          </cell>
          <cell r="L45" t="str">
            <v>CC-NS60SPE13</v>
          </cell>
          <cell r="N45" t="str">
            <v>COS</v>
          </cell>
          <cell r="O45">
            <v>33.099804154986366</v>
          </cell>
          <cell r="P45">
            <v>33.099804154986366</v>
          </cell>
        </row>
        <row r="46">
          <cell r="B46">
            <v>41</v>
          </cell>
          <cell r="D46" t="str">
            <v>CC-NS60LSPE13</v>
          </cell>
          <cell r="F46" t="str">
            <v>SAW</v>
          </cell>
          <cell r="G46">
            <v>25.566182298546895</v>
          </cell>
          <cell r="H46">
            <v>25.566182298546895</v>
          </cell>
          <cell r="J46">
            <v>41</v>
          </cell>
          <cell r="L46" t="str">
            <v>CC-NS60LSPE13</v>
          </cell>
          <cell r="N46" t="str">
            <v>COS</v>
          </cell>
          <cell r="O46">
            <v>33.099804154986366</v>
          </cell>
          <cell r="P46">
            <v>33.099804154986366</v>
          </cell>
        </row>
        <row r="47">
          <cell r="B47">
            <v>42</v>
          </cell>
          <cell r="D47" t="str">
            <v>HC-NS60PE12</v>
          </cell>
          <cell r="F47" t="str">
            <v>SAW</v>
          </cell>
          <cell r="G47">
            <v>25.566182298546895</v>
          </cell>
          <cell r="H47">
            <v>25.566182298546895</v>
          </cell>
          <cell r="J47">
            <v>42</v>
          </cell>
          <cell r="L47" t="str">
            <v>HC-NS60PE12</v>
          </cell>
          <cell r="N47" t="str">
            <v>COS</v>
          </cell>
          <cell r="O47">
            <v>30.86333090127107</v>
          </cell>
          <cell r="P47">
            <v>30.86333090127107</v>
          </cell>
        </row>
        <row r="48">
          <cell r="B48">
            <v>43</v>
          </cell>
          <cell r="D48" t="str">
            <v>HC-NS60LPE12</v>
          </cell>
          <cell r="F48" t="str">
            <v>SAW</v>
          </cell>
          <cell r="G48">
            <v>25.566182298546895</v>
          </cell>
          <cell r="H48">
            <v>25.566182298546895</v>
          </cell>
          <cell r="J48">
            <v>43</v>
          </cell>
          <cell r="L48" t="str">
            <v>HC-NS60LPE12</v>
          </cell>
          <cell r="N48" t="str">
            <v>COS</v>
          </cell>
          <cell r="O48">
            <v>30.86333090127107</v>
          </cell>
          <cell r="P48">
            <v>30.86333090127107</v>
          </cell>
        </row>
        <row r="49">
          <cell r="B49">
            <v>44</v>
          </cell>
          <cell r="D49" t="str">
            <v>HC-NS60SPE12</v>
          </cell>
          <cell r="F49" t="str">
            <v>SAW</v>
          </cell>
          <cell r="G49">
            <v>25.566182298546895</v>
          </cell>
          <cell r="H49">
            <v>25.566182298546895</v>
          </cell>
          <cell r="J49">
            <v>44</v>
          </cell>
          <cell r="L49" t="str">
            <v>HC-NS60SPE12</v>
          </cell>
          <cell r="N49" t="str">
            <v>COS</v>
          </cell>
          <cell r="O49">
            <v>30.86333090127107</v>
          </cell>
          <cell r="P49">
            <v>30.86333090127107</v>
          </cell>
        </row>
        <row r="50">
          <cell r="B50">
            <v>45</v>
          </cell>
          <cell r="D50" t="str">
            <v>HC-NS60LSPE12</v>
          </cell>
          <cell r="F50" t="str">
            <v>SAW</v>
          </cell>
          <cell r="G50">
            <v>25.566182298546895</v>
          </cell>
          <cell r="H50">
            <v>25.566182298546895</v>
          </cell>
          <cell r="J50">
            <v>45</v>
          </cell>
          <cell r="L50" t="str">
            <v>HC-NS60LSPE12</v>
          </cell>
          <cell r="N50" t="str">
            <v>COS</v>
          </cell>
          <cell r="O50">
            <v>30.86333090127107</v>
          </cell>
          <cell r="P50">
            <v>30.86333090127107</v>
          </cell>
        </row>
        <row r="51">
          <cell r="B51">
            <v>46</v>
          </cell>
          <cell r="D51" t="str">
            <v>C-MFNS60SPE9</v>
          </cell>
          <cell r="E51" t="str">
            <v>SPAC</v>
          </cell>
          <cell r="F51" t="str">
            <v>SAW</v>
          </cell>
          <cell r="G51">
            <v>24.741818181818179</v>
          </cell>
          <cell r="H51">
            <v>24.741818181818179</v>
          </cell>
          <cell r="J51">
            <v>46</v>
          </cell>
          <cell r="L51" t="str">
            <v>C-MFNS60SPE9</v>
          </cell>
          <cell r="M51" t="str">
            <v>SPAC</v>
          </cell>
          <cell r="N51" t="str">
            <v>COS</v>
          </cell>
          <cell r="O51">
            <v>35.207823960880198</v>
          </cell>
          <cell r="P51">
            <v>35.207823960880198</v>
          </cell>
        </row>
        <row r="52">
          <cell r="B52">
            <v>47</v>
          </cell>
          <cell r="D52" t="str">
            <v>C-MFNS60LSPE9</v>
          </cell>
          <cell r="E52" t="str">
            <v>SPAC</v>
          </cell>
          <cell r="F52" t="str">
            <v>SAW</v>
          </cell>
          <cell r="G52">
            <v>24.741818181818179</v>
          </cell>
          <cell r="H52">
            <v>24.741818181818179</v>
          </cell>
          <cell r="J52">
            <v>47</v>
          </cell>
          <cell r="L52" t="str">
            <v>C-MFNS60LSPE9</v>
          </cell>
          <cell r="M52" t="str">
            <v>SPAC</v>
          </cell>
          <cell r="N52" t="str">
            <v>COS</v>
          </cell>
          <cell r="O52">
            <v>35.207823960880198</v>
          </cell>
          <cell r="P52">
            <v>35.207823960880198</v>
          </cell>
        </row>
        <row r="53">
          <cell r="B53">
            <v>48</v>
          </cell>
          <cell r="D53" t="str">
            <v>C-MFN40PE11</v>
          </cell>
          <cell r="E53" t="str">
            <v>SPAC</v>
          </cell>
          <cell r="F53" t="str">
            <v>SAW</v>
          </cell>
          <cell r="G53">
            <v>24.741818181818179</v>
          </cell>
          <cell r="H53">
            <v>24.741818181818179</v>
          </cell>
          <cell r="J53">
            <v>48</v>
          </cell>
          <cell r="L53" t="str">
            <v>C-MFN40PE11</v>
          </cell>
          <cell r="M53" t="str">
            <v>SPAC</v>
          </cell>
          <cell r="N53" t="str">
            <v>COS</v>
          </cell>
          <cell r="O53">
            <v>35.207823960880198</v>
          </cell>
          <cell r="P53">
            <v>35.207823960880198</v>
          </cell>
        </row>
        <row r="54">
          <cell r="B54">
            <v>49</v>
          </cell>
          <cell r="D54" t="str">
            <v>C-MFN40LPE11</v>
          </cell>
          <cell r="E54" t="str">
            <v>SPAC</v>
          </cell>
          <cell r="F54" t="str">
            <v>SAW</v>
          </cell>
          <cell r="G54">
            <v>24.741818181818179</v>
          </cell>
          <cell r="H54">
            <v>24.741818181818179</v>
          </cell>
          <cell r="J54">
            <v>49</v>
          </cell>
          <cell r="L54" t="str">
            <v>C-MFN40LPE11</v>
          </cell>
          <cell r="M54" t="str">
            <v>SPAC</v>
          </cell>
          <cell r="N54" t="str">
            <v>COS</v>
          </cell>
          <cell r="O54">
            <v>35.207823960880198</v>
          </cell>
          <cell r="P54">
            <v>35.207823960880198</v>
          </cell>
        </row>
        <row r="55">
          <cell r="B55">
            <v>50</v>
          </cell>
          <cell r="D55" t="str">
            <v>C-MFNS60PE11</v>
          </cell>
          <cell r="E55" t="str">
            <v>SPAC</v>
          </cell>
          <cell r="F55" t="str">
            <v>SAW</v>
          </cell>
          <cell r="G55">
            <v>24.741818181818179</v>
          </cell>
          <cell r="H55">
            <v>24.741818181818179</v>
          </cell>
          <cell r="J55">
            <v>50</v>
          </cell>
          <cell r="L55" t="str">
            <v>C-MFNS60PE11</v>
          </cell>
          <cell r="M55" t="str">
            <v>SPAC</v>
          </cell>
          <cell r="N55" t="str">
            <v>COS</v>
          </cell>
          <cell r="O55">
            <v>35.207823960880198</v>
          </cell>
          <cell r="P55">
            <v>35.207823960880198</v>
          </cell>
        </row>
        <row r="56">
          <cell r="B56">
            <v>51</v>
          </cell>
          <cell r="D56" t="str">
            <v>C-MFNS60LPE11</v>
          </cell>
          <cell r="E56" t="str">
            <v>SPAC</v>
          </cell>
          <cell r="F56" t="str">
            <v>SAW</v>
          </cell>
          <cell r="G56">
            <v>24.741818181818179</v>
          </cell>
          <cell r="H56">
            <v>24.741818181818179</v>
          </cell>
          <cell r="J56">
            <v>51</v>
          </cell>
          <cell r="L56" t="str">
            <v>C-MFNS60LPE11</v>
          </cell>
          <cell r="M56" t="str">
            <v>SPAC</v>
          </cell>
          <cell r="N56" t="str">
            <v>COS</v>
          </cell>
          <cell r="O56">
            <v>35.207823960880198</v>
          </cell>
          <cell r="P56">
            <v>35.207823960880198</v>
          </cell>
        </row>
        <row r="57">
          <cell r="B57">
            <v>52</v>
          </cell>
          <cell r="D57" t="str">
            <v>C-MFNS60SPE11</v>
          </cell>
          <cell r="E57" t="str">
            <v>SPAC</v>
          </cell>
          <cell r="F57" t="str">
            <v>SAW</v>
          </cell>
          <cell r="G57">
            <v>24.741818181818179</v>
          </cell>
          <cell r="H57">
            <v>24.741818181818179</v>
          </cell>
          <cell r="J57">
            <v>52</v>
          </cell>
          <cell r="L57" t="str">
            <v>C-MFNS60SPE11</v>
          </cell>
          <cell r="M57" t="str">
            <v>SPAC</v>
          </cell>
          <cell r="N57" t="str">
            <v>COS</v>
          </cell>
          <cell r="O57">
            <v>35.207823960880198</v>
          </cell>
          <cell r="P57">
            <v>35.207823960880198</v>
          </cell>
        </row>
        <row r="58">
          <cell r="B58">
            <v>53</v>
          </cell>
          <cell r="D58" t="str">
            <v>C-MFNS60LSPE11</v>
          </cell>
          <cell r="E58" t="str">
            <v>SPAC</v>
          </cell>
          <cell r="F58" t="str">
            <v>SAW</v>
          </cell>
          <cell r="G58">
            <v>24.741818181818179</v>
          </cell>
          <cell r="H58">
            <v>24.741818181818179</v>
          </cell>
          <cell r="J58">
            <v>53</v>
          </cell>
          <cell r="L58" t="str">
            <v>C-MFNS60LSPE11</v>
          </cell>
          <cell r="M58" t="str">
            <v>SPAC</v>
          </cell>
          <cell r="N58" t="str">
            <v>COS</v>
          </cell>
          <cell r="O58">
            <v>35.207823960880198</v>
          </cell>
          <cell r="P58">
            <v>35.207823960880198</v>
          </cell>
        </row>
        <row r="59">
          <cell r="B59">
            <v>54</v>
          </cell>
          <cell r="D59" t="str">
            <v>C-MFNS60PE12</v>
          </cell>
          <cell r="E59" t="str">
            <v>SPAC</v>
          </cell>
          <cell r="F59" t="str">
            <v>SAW</v>
          </cell>
          <cell r="G59">
            <v>25.566182298546895</v>
          </cell>
          <cell r="H59">
            <v>25.566182298546895</v>
          </cell>
          <cell r="J59">
            <v>54</v>
          </cell>
          <cell r="L59" t="str">
            <v>C-MFNS60PE12</v>
          </cell>
          <cell r="M59" t="str">
            <v>SPAC</v>
          </cell>
          <cell r="N59" t="str">
            <v>COS</v>
          </cell>
          <cell r="O59">
            <v>35.207823960880198</v>
          </cell>
          <cell r="P59">
            <v>35.207823960880198</v>
          </cell>
        </row>
        <row r="60">
          <cell r="B60">
            <v>55</v>
          </cell>
          <cell r="D60" t="str">
            <v>C-MFNS60LPE12</v>
          </cell>
          <cell r="E60" t="str">
            <v>SPAC</v>
          </cell>
          <cell r="F60" t="str">
            <v>SAW</v>
          </cell>
          <cell r="G60">
            <v>25.566182298546895</v>
          </cell>
          <cell r="H60">
            <v>25.566182298546895</v>
          </cell>
          <cell r="J60">
            <v>55</v>
          </cell>
          <cell r="L60" t="str">
            <v>C-MFNS60LPE12</v>
          </cell>
          <cell r="M60" t="str">
            <v>SPAC</v>
          </cell>
          <cell r="N60" t="str">
            <v>COS</v>
          </cell>
          <cell r="O60">
            <v>35.207823960880198</v>
          </cell>
          <cell r="P60">
            <v>35.207823960880198</v>
          </cell>
        </row>
        <row r="61">
          <cell r="B61">
            <v>56</v>
          </cell>
          <cell r="D61" t="str">
            <v>C-MFNS60SPE12</v>
          </cell>
          <cell r="E61" t="str">
            <v>SPAC</v>
          </cell>
          <cell r="F61" t="str">
            <v>SAW</v>
          </cell>
          <cell r="G61">
            <v>25.566182298546895</v>
          </cell>
          <cell r="H61">
            <v>25.566182298546895</v>
          </cell>
          <cell r="J61">
            <v>56</v>
          </cell>
          <cell r="L61" t="str">
            <v>C-MFNS60SPE12</v>
          </cell>
          <cell r="M61" t="str">
            <v>SPAC</v>
          </cell>
          <cell r="N61" t="str">
            <v>COS</v>
          </cell>
          <cell r="O61">
            <v>35.207823960880198</v>
          </cell>
          <cell r="P61">
            <v>35.207823960880198</v>
          </cell>
        </row>
        <row r="62">
          <cell r="B62">
            <v>57</v>
          </cell>
          <cell r="D62" t="str">
            <v>C-MFNS60LSPE12</v>
          </cell>
          <cell r="E62" t="str">
            <v>SPAC</v>
          </cell>
          <cell r="F62" t="str">
            <v>SAW</v>
          </cell>
          <cell r="G62">
            <v>25.566182298546895</v>
          </cell>
          <cell r="H62">
            <v>25.566182298546895</v>
          </cell>
          <cell r="J62">
            <v>57</v>
          </cell>
          <cell r="L62" t="str">
            <v>C-MFNS60LSPE12</v>
          </cell>
          <cell r="M62" t="str">
            <v>SPAC</v>
          </cell>
          <cell r="N62" t="str">
            <v>COS</v>
          </cell>
          <cell r="O62">
            <v>35.207823960880198</v>
          </cell>
          <cell r="P62">
            <v>35.207823960880198</v>
          </cell>
        </row>
        <row r="63">
          <cell r="B63">
            <v>58</v>
          </cell>
          <cell r="C63" t="str">
            <v xml:space="preserve">N50 </v>
          </cell>
          <cell r="D63" t="str">
            <v>CC-N50PE7</v>
          </cell>
          <cell r="E63" t="str">
            <v>SPAC</v>
          </cell>
          <cell r="F63" t="str">
            <v>SAW</v>
          </cell>
          <cell r="G63">
            <v>20.555294117647058</v>
          </cell>
          <cell r="H63">
            <v>20.555294117647058</v>
          </cell>
          <cell r="J63">
            <v>58</v>
          </cell>
          <cell r="K63" t="str">
            <v xml:space="preserve">N50 </v>
          </cell>
          <cell r="L63" t="str">
            <v>CC-N50PE7</v>
          </cell>
          <cell r="M63" t="str">
            <v>SPAC</v>
          </cell>
          <cell r="N63" t="str">
            <v>COS</v>
          </cell>
          <cell r="O63">
            <v>35.207823960880198</v>
          </cell>
          <cell r="P63">
            <v>35.207823960880198</v>
          </cell>
        </row>
        <row r="64">
          <cell r="B64">
            <v>59</v>
          </cell>
          <cell r="D64" t="str">
            <v>CC-N50LPE7</v>
          </cell>
          <cell r="E64" t="str">
            <v>SPAC</v>
          </cell>
          <cell r="F64" t="str">
            <v>SAW</v>
          </cell>
          <cell r="G64">
            <v>20.555294117647058</v>
          </cell>
          <cell r="H64">
            <v>20.555294117647058</v>
          </cell>
          <cell r="J64">
            <v>59</v>
          </cell>
          <cell r="L64" t="str">
            <v>CC-N50LPE7</v>
          </cell>
          <cell r="M64" t="str">
            <v>SPAC</v>
          </cell>
          <cell r="N64" t="str">
            <v>COS</v>
          </cell>
          <cell r="O64">
            <v>35.207823960880198</v>
          </cell>
          <cell r="P64">
            <v>35.207823960880198</v>
          </cell>
        </row>
        <row r="65">
          <cell r="B65">
            <v>60</v>
          </cell>
          <cell r="D65" t="str">
            <v>CC-N50PE9</v>
          </cell>
          <cell r="F65" t="str">
            <v>SAW</v>
          </cell>
          <cell r="G65">
            <v>20.555294117647058</v>
          </cell>
          <cell r="H65">
            <v>20.555294117647058</v>
          </cell>
          <cell r="J65">
            <v>60</v>
          </cell>
          <cell r="L65" t="str">
            <v>CC-N50PE9</v>
          </cell>
          <cell r="N65" t="str">
            <v>COS</v>
          </cell>
          <cell r="O65">
            <v>24.153911140125185</v>
          </cell>
          <cell r="P65">
            <v>24.153911140125185</v>
          </cell>
        </row>
        <row r="66">
          <cell r="B66">
            <v>61</v>
          </cell>
          <cell r="D66" t="str">
            <v>CC-N50LPE9</v>
          </cell>
          <cell r="F66" t="str">
            <v>SAW</v>
          </cell>
          <cell r="G66">
            <v>20.555294117647058</v>
          </cell>
          <cell r="H66">
            <v>20.555294117647058</v>
          </cell>
          <cell r="J66">
            <v>61</v>
          </cell>
          <cell r="L66" t="str">
            <v>CC-N50LPE9</v>
          </cell>
          <cell r="N66" t="str">
            <v>COS</v>
          </cell>
          <cell r="O66">
            <v>24.153911140125185</v>
          </cell>
          <cell r="P66">
            <v>24.153911140125185</v>
          </cell>
        </row>
        <row r="67">
          <cell r="B67">
            <v>62</v>
          </cell>
          <cell r="D67" t="str">
            <v>CC-N50ZPE9</v>
          </cell>
          <cell r="F67" t="str">
            <v>SAW</v>
          </cell>
          <cell r="G67">
            <v>20.555294117647058</v>
          </cell>
          <cell r="H67">
            <v>20.555294117647058</v>
          </cell>
          <cell r="J67">
            <v>62</v>
          </cell>
          <cell r="L67" t="str">
            <v>CC-N50ZPE9</v>
          </cell>
          <cell r="N67" t="str">
            <v>COS</v>
          </cell>
          <cell r="O67">
            <v>24.153911140125185</v>
          </cell>
          <cell r="P67">
            <v>24.153911140125185</v>
          </cell>
        </row>
        <row r="68">
          <cell r="B68">
            <v>63</v>
          </cell>
          <cell r="D68" t="str">
            <v>CC-N50ZLPE9</v>
          </cell>
          <cell r="F68" t="str">
            <v>SAW</v>
          </cell>
          <cell r="G68">
            <v>20.555294117647058</v>
          </cell>
          <cell r="H68">
            <v>20.555294117647058</v>
          </cell>
          <cell r="J68">
            <v>63</v>
          </cell>
          <cell r="L68" t="str">
            <v>CC-N50ZLPE9</v>
          </cell>
          <cell r="N68" t="str">
            <v>COS</v>
          </cell>
          <cell r="O68">
            <v>24.153911140125185</v>
          </cell>
          <cell r="P68">
            <v>24.153911140125185</v>
          </cell>
        </row>
        <row r="69">
          <cell r="B69">
            <v>64</v>
          </cell>
          <cell r="D69" t="str">
            <v>CC-N50ZPE11</v>
          </cell>
          <cell r="F69" t="str">
            <v>SAW</v>
          </cell>
          <cell r="G69">
            <v>21.305151915455749</v>
          </cell>
          <cell r="H69">
            <v>21.305151915455749</v>
          </cell>
          <cell r="J69">
            <v>64</v>
          </cell>
          <cell r="L69" t="str">
            <v>CC-N50ZPE11</v>
          </cell>
          <cell r="N69" t="str">
            <v>COS</v>
          </cell>
          <cell r="O69">
            <v>28.626857647555774</v>
          </cell>
          <cell r="P69">
            <v>28.626857647555774</v>
          </cell>
        </row>
        <row r="70">
          <cell r="B70">
            <v>65</v>
          </cell>
          <cell r="D70" t="str">
            <v>CC-N50ZLPE11</v>
          </cell>
          <cell r="F70" t="str">
            <v>SAW</v>
          </cell>
          <cell r="G70">
            <v>21.305151915455749</v>
          </cell>
          <cell r="H70">
            <v>21.305151915455749</v>
          </cell>
          <cell r="J70">
            <v>65</v>
          </cell>
          <cell r="L70" t="str">
            <v>CC-N50ZLPE11</v>
          </cell>
          <cell r="N70" t="str">
            <v>COS</v>
          </cell>
          <cell r="O70">
            <v>28.626857647555774</v>
          </cell>
          <cell r="P70">
            <v>28.626857647555774</v>
          </cell>
        </row>
        <row r="71">
          <cell r="B71">
            <v>66</v>
          </cell>
          <cell r="D71" t="str">
            <v>CC-NS70PE11</v>
          </cell>
          <cell r="F71" t="str">
            <v>SAW</v>
          </cell>
          <cell r="G71">
            <v>21.305151915455749</v>
          </cell>
          <cell r="H71">
            <v>21.305151915455749</v>
          </cell>
          <cell r="J71">
            <v>66</v>
          </cell>
          <cell r="L71" t="str">
            <v>CC-NS70PE11</v>
          </cell>
          <cell r="N71" t="str">
            <v>COS</v>
          </cell>
          <cell r="O71">
            <v>28.626857647555774</v>
          </cell>
          <cell r="P71">
            <v>28.626857647555774</v>
          </cell>
        </row>
        <row r="72">
          <cell r="B72">
            <v>67</v>
          </cell>
          <cell r="D72" t="str">
            <v>CC-NS70PE13</v>
          </cell>
          <cell r="F72" t="str">
            <v>SAW</v>
          </cell>
          <cell r="G72">
            <v>25.566182298546895</v>
          </cell>
          <cell r="H72">
            <v>25.566182298546895</v>
          </cell>
          <cell r="J72">
            <v>67</v>
          </cell>
          <cell r="L72" t="str">
            <v>CC-NS70PE13</v>
          </cell>
          <cell r="N72" t="str">
            <v>COS</v>
          </cell>
          <cell r="O72">
            <v>33.099804154986366</v>
          </cell>
          <cell r="P72">
            <v>33.099804154986366</v>
          </cell>
        </row>
        <row r="73">
          <cell r="B73">
            <v>68</v>
          </cell>
          <cell r="D73" t="str">
            <v>CC-NS70LPE14</v>
          </cell>
          <cell r="F73" t="str">
            <v>SAW</v>
          </cell>
          <cell r="G73">
            <v>29.827212681638045</v>
          </cell>
          <cell r="H73">
            <v>29.827212681638045</v>
          </cell>
          <cell r="J73">
            <v>68</v>
          </cell>
          <cell r="L73" t="str">
            <v>CC-NS70LPE14</v>
          </cell>
          <cell r="N73" t="str">
            <v>COS</v>
          </cell>
          <cell r="O73">
            <v>35.336277408701662</v>
          </cell>
          <cell r="P73">
            <v>35.336277408701662</v>
          </cell>
        </row>
        <row r="74">
          <cell r="B74">
            <v>69</v>
          </cell>
          <cell r="D74" t="str">
            <v>CC-NS70LPE11</v>
          </cell>
          <cell r="F74" t="str">
            <v>SAW</v>
          </cell>
          <cell r="G74">
            <v>21.305151915455749</v>
          </cell>
          <cell r="H74">
            <v>21.305151915455749</v>
          </cell>
          <cell r="J74">
            <v>69</v>
          </cell>
          <cell r="L74" t="str">
            <v>CC-NS70LPE11</v>
          </cell>
          <cell r="N74" t="str">
            <v>COS</v>
          </cell>
          <cell r="O74">
            <v>28.626857647555774</v>
          </cell>
          <cell r="P74">
            <v>28.626857647555774</v>
          </cell>
        </row>
        <row r="75">
          <cell r="B75">
            <v>70</v>
          </cell>
          <cell r="D75" t="str">
            <v>CC-NS70-9PE13</v>
          </cell>
          <cell r="F75" t="str">
            <v>SAW</v>
          </cell>
          <cell r="G75">
            <v>25.566182298546895</v>
          </cell>
          <cell r="H75">
            <v>25.566182298546895</v>
          </cell>
          <cell r="J75">
            <v>70</v>
          </cell>
          <cell r="L75" t="str">
            <v>CC-NS70-9PE13</v>
          </cell>
          <cell r="N75" t="str">
            <v>COS</v>
          </cell>
          <cell r="O75">
            <v>33.099804154986366</v>
          </cell>
          <cell r="P75">
            <v>33.099804154986366</v>
          </cell>
        </row>
        <row r="76">
          <cell r="B76">
            <v>71</v>
          </cell>
          <cell r="D76" t="str">
            <v>CC-NS70LPE13</v>
          </cell>
          <cell r="F76" t="str">
            <v>SAW</v>
          </cell>
          <cell r="G76">
            <v>25.566182298546895</v>
          </cell>
          <cell r="H76">
            <v>25.566182298546895</v>
          </cell>
          <cell r="J76">
            <v>71</v>
          </cell>
          <cell r="L76" t="str">
            <v>CC-NS70LPE13</v>
          </cell>
          <cell r="N76" t="str">
            <v>COS</v>
          </cell>
          <cell r="O76">
            <v>33.099804154986366</v>
          </cell>
          <cell r="P76">
            <v>33.099804154986366</v>
          </cell>
        </row>
        <row r="77">
          <cell r="B77">
            <v>72</v>
          </cell>
          <cell r="D77" t="str">
            <v>CC-NS70-9PE14</v>
          </cell>
          <cell r="F77" t="str">
            <v>SAW</v>
          </cell>
          <cell r="G77">
            <v>29.827212681638045</v>
          </cell>
          <cell r="H77">
            <v>29.827212681638045</v>
          </cell>
          <cell r="J77">
            <v>72</v>
          </cell>
          <cell r="L77" t="str">
            <v>CC-NS70-9PE14</v>
          </cell>
          <cell r="N77" t="str">
            <v>COS</v>
          </cell>
          <cell r="O77">
            <v>35.336277408701662</v>
          </cell>
          <cell r="P77">
            <v>35.336277408701662</v>
          </cell>
        </row>
        <row r="78">
          <cell r="B78">
            <v>73</v>
          </cell>
          <cell r="D78" t="str">
            <v>CC-80D26PE14</v>
          </cell>
          <cell r="F78" t="str">
            <v>SAW</v>
          </cell>
          <cell r="G78">
            <v>29.827212681638045</v>
          </cell>
          <cell r="H78">
            <v>29.827212681638045</v>
          </cell>
          <cell r="J78">
            <v>73</v>
          </cell>
          <cell r="L78" t="str">
            <v>CC-80D26PE14</v>
          </cell>
          <cell r="N78" t="str">
            <v>COS</v>
          </cell>
          <cell r="O78">
            <v>35.336277408701662</v>
          </cell>
          <cell r="P78">
            <v>35.336277408701662</v>
          </cell>
        </row>
        <row r="79">
          <cell r="B79">
            <v>74</v>
          </cell>
          <cell r="D79" t="str">
            <v>CC-80D26LPE14</v>
          </cell>
          <cell r="F79" t="str">
            <v>SAW</v>
          </cell>
          <cell r="G79">
            <v>29.827212681638045</v>
          </cell>
          <cell r="H79">
            <v>29.827212681638045</v>
          </cell>
          <cell r="J79">
            <v>74</v>
          </cell>
          <cell r="L79" t="str">
            <v>CC-80D26LPE14</v>
          </cell>
          <cell r="N79" t="str">
            <v>COS</v>
          </cell>
          <cell r="O79">
            <v>35.336277408701662</v>
          </cell>
          <cell r="P79">
            <v>35.336277408701662</v>
          </cell>
        </row>
        <row r="80">
          <cell r="B80">
            <v>75</v>
          </cell>
          <cell r="D80" t="str">
            <v>HC-N50PE9</v>
          </cell>
          <cell r="E80" t="str">
            <v>SPAC</v>
          </cell>
          <cell r="F80" t="str">
            <v>SAW</v>
          </cell>
          <cell r="G80">
            <v>20.790000000000003</v>
          </cell>
          <cell r="H80">
            <v>20.790000000000003</v>
          </cell>
          <cell r="J80">
            <v>75</v>
          </cell>
          <cell r="L80" t="str">
            <v>HC-N50PE9</v>
          </cell>
          <cell r="M80" t="str">
            <v>SPAC</v>
          </cell>
          <cell r="N80" t="str">
            <v>COS</v>
          </cell>
          <cell r="O80">
            <v>35.207823960880198</v>
          </cell>
          <cell r="P80">
            <v>35.207823960880198</v>
          </cell>
        </row>
        <row r="81">
          <cell r="B81">
            <v>76</v>
          </cell>
          <cell r="D81" t="str">
            <v>HC-N50ZPE11</v>
          </cell>
          <cell r="F81" t="str">
            <v>SAW</v>
          </cell>
          <cell r="G81">
            <v>21.305151915455749</v>
          </cell>
          <cell r="H81">
            <v>21.305151915455749</v>
          </cell>
          <cell r="J81">
            <v>76</v>
          </cell>
          <cell r="L81" t="str">
            <v>HC-N50ZPE11</v>
          </cell>
          <cell r="N81" t="str">
            <v>COS</v>
          </cell>
          <cell r="O81">
            <v>28.626857647555774</v>
          </cell>
          <cell r="P81">
            <v>28.626857647555774</v>
          </cell>
        </row>
        <row r="82">
          <cell r="B82">
            <v>77</v>
          </cell>
          <cell r="D82" t="str">
            <v>HC-N50ZLPE11</v>
          </cell>
          <cell r="F82" t="str">
            <v>SAW</v>
          </cell>
          <cell r="G82">
            <v>21.305151915455749</v>
          </cell>
          <cell r="H82">
            <v>21.305151915455749</v>
          </cell>
          <cell r="J82">
            <v>77</v>
          </cell>
          <cell r="L82" t="str">
            <v>HC-N50ZLPE11</v>
          </cell>
          <cell r="N82" t="str">
            <v>COS</v>
          </cell>
          <cell r="O82">
            <v>28.626857647555774</v>
          </cell>
          <cell r="P82">
            <v>28.626857647555774</v>
          </cell>
        </row>
        <row r="83">
          <cell r="B83">
            <v>78</v>
          </cell>
          <cell r="D83" t="str">
            <v>HC-NS70PE13</v>
          </cell>
          <cell r="F83" t="str">
            <v>SAW</v>
          </cell>
          <cell r="G83">
            <v>25.566182298546895</v>
          </cell>
          <cell r="H83">
            <v>25.566182298546895</v>
          </cell>
          <cell r="J83">
            <v>78</v>
          </cell>
          <cell r="L83" t="str">
            <v>HC-NS70PE13</v>
          </cell>
          <cell r="N83" t="str">
            <v>COS</v>
          </cell>
          <cell r="O83">
            <v>33.099804154986366</v>
          </cell>
          <cell r="P83">
            <v>33.099804154986366</v>
          </cell>
        </row>
        <row r="84">
          <cell r="B84">
            <v>79</v>
          </cell>
          <cell r="D84" t="str">
            <v>HC-NS70LPE13</v>
          </cell>
          <cell r="F84" t="str">
            <v>SAW</v>
          </cell>
          <cell r="G84">
            <v>25.566182298546895</v>
          </cell>
          <cell r="H84">
            <v>25.566182298546895</v>
          </cell>
          <cell r="J84">
            <v>79</v>
          </cell>
          <cell r="L84" t="str">
            <v>HC-NS70LPE13</v>
          </cell>
          <cell r="N84" t="str">
            <v>COS</v>
          </cell>
          <cell r="O84">
            <v>33.099804154986366</v>
          </cell>
          <cell r="P84">
            <v>33.099804154986366</v>
          </cell>
        </row>
        <row r="85">
          <cell r="B85">
            <v>80</v>
          </cell>
          <cell r="D85" t="str">
            <v>C-MFN50PE7</v>
          </cell>
          <cell r="E85" t="str">
            <v>SPAC</v>
          </cell>
          <cell r="F85" t="str">
            <v>SAW</v>
          </cell>
          <cell r="G85">
            <v>24.741818181818179</v>
          </cell>
          <cell r="H85">
            <v>24.741818181818179</v>
          </cell>
          <cell r="J85">
            <v>80</v>
          </cell>
          <cell r="L85" t="str">
            <v>C-MFN50PE7</v>
          </cell>
          <cell r="M85" t="str">
            <v>SPAC</v>
          </cell>
          <cell r="N85" t="str">
            <v>COS</v>
          </cell>
          <cell r="O85">
            <v>35.207823960880198</v>
          </cell>
          <cell r="P85">
            <v>35.207823960880198</v>
          </cell>
        </row>
        <row r="86">
          <cell r="B86">
            <v>81</v>
          </cell>
          <cell r="D86" t="str">
            <v>C-MFN50LPE7</v>
          </cell>
          <cell r="E86" t="str">
            <v>SPAC</v>
          </cell>
          <cell r="F86" t="str">
            <v>SAW</v>
          </cell>
          <cell r="G86">
            <v>24.741818181818179</v>
          </cell>
          <cell r="H86">
            <v>24.741818181818179</v>
          </cell>
          <cell r="J86">
            <v>81</v>
          </cell>
          <cell r="L86" t="str">
            <v>C-MFN50LPE7</v>
          </cell>
          <cell r="M86" t="str">
            <v>SPAC</v>
          </cell>
          <cell r="N86" t="str">
            <v>COS</v>
          </cell>
          <cell r="O86">
            <v>35.207823960880198</v>
          </cell>
          <cell r="P86">
            <v>35.207823960880198</v>
          </cell>
        </row>
        <row r="87">
          <cell r="B87">
            <v>82</v>
          </cell>
          <cell r="D87" t="str">
            <v>C-MFN50PE9</v>
          </cell>
          <cell r="E87" t="str">
            <v>SPAC</v>
          </cell>
          <cell r="F87" t="str">
            <v>SAW</v>
          </cell>
          <cell r="G87">
            <v>24.741818181818179</v>
          </cell>
          <cell r="H87">
            <v>24.741818181818179</v>
          </cell>
          <cell r="J87">
            <v>82</v>
          </cell>
          <cell r="L87" t="str">
            <v>C-MFN50PE9</v>
          </cell>
          <cell r="M87" t="str">
            <v>SPAC</v>
          </cell>
          <cell r="N87" t="str">
            <v>COS</v>
          </cell>
          <cell r="O87">
            <v>35.207823960880198</v>
          </cell>
          <cell r="P87">
            <v>35.207823960880198</v>
          </cell>
        </row>
        <row r="88">
          <cell r="B88">
            <v>83</v>
          </cell>
          <cell r="D88" t="str">
            <v>C-MFN50LPE9</v>
          </cell>
          <cell r="E88" t="str">
            <v>SPAC</v>
          </cell>
          <cell r="F88" t="str">
            <v>SAW</v>
          </cell>
          <cell r="G88">
            <v>24.741818181818179</v>
          </cell>
          <cell r="H88">
            <v>24.741818181818179</v>
          </cell>
          <cell r="J88">
            <v>83</v>
          </cell>
          <cell r="L88" t="str">
            <v>C-MFN50LPE9</v>
          </cell>
          <cell r="M88" t="str">
            <v>SPAC</v>
          </cell>
          <cell r="N88" t="str">
            <v>COS</v>
          </cell>
          <cell r="O88">
            <v>35.207823960880198</v>
          </cell>
          <cell r="P88">
            <v>35.207823960880198</v>
          </cell>
        </row>
        <row r="89">
          <cell r="B89">
            <v>84</v>
          </cell>
          <cell r="D89" t="str">
            <v>C-MFNS70PE9</v>
          </cell>
          <cell r="E89" t="str">
            <v>SPAC</v>
          </cell>
          <cell r="F89" t="str">
            <v>SAW</v>
          </cell>
          <cell r="G89">
            <v>24.741818181818179</v>
          </cell>
          <cell r="H89">
            <v>24.741818181818179</v>
          </cell>
          <cell r="J89">
            <v>84</v>
          </cell>
          <cell r="L89" t="str">
            <v>C-MFNS70PE9</v>
          </cell>
          <cell r="M89" t="str">
            <v>SPAC</v>
          </cell>
          <cell r="N89" t="str">
            <v>COS</v>
          </cell>
          <cell r="O89">
            <v>35.207823960880198</v>
          </cell>
          <cell r="P89">
            <v>35.207823960880198</v>
          </cell>
        </row>
        <row r="90">
          <cell r="B90">
            <v>85</v>
          </cell>
          <cell r="D90" t="str">
            <v>C-MFN50ZPE11</v>
          </cell>
          <cell r="E90" t="str">
            <v>SPAC</v>
          </cell>
          <cell r="F90" t="str">
            <v>SAW</v>
          </cell>
          <cell r="G90">
            <v>24.741818181818179</v>
          </cell>
          <cell r="H90">
            <v>24.741818181818179</v>
          </cell>
          <cell r="J90">
            <v>85</v>
          </cell>
          <cell r="L90" t="str">
            <v>C-MFN50ZPE11</v>
          </cell>
          <cell r="M90" t="str">
            <v>SPAC</v>
          </cell>
          <cell r="N90" t="str">
            <v>COS</v>
          </cell>
          <cell r="O90">
            <v>35.207823960880198</v>
          </cell>
          <cell r="P90">
            <v>35.207823960880198</v>
          </cell>
        </row>
        <row r="91">
          <cell r="B91">
            <v>86</v>
          </cell>
          <cell r="D91" t="str">
            <v>C-MFN50ZPE11</v>
          </cell>
          <cell r="E91" t="str">
            <v>SPAC</v>
          </cell>
          <cell r="F91" t="str">
            <v>SAW</v>
          </cell>
          <cell r="G91">
            <v>24.741818181818179</v>
          </cell>
          <cell r="H91">
            <v>24.741818181818179</v>
          </cell>
          <cell r="J91">
            <v>86</v>
          </cell>
          <cell r="L91" t="str">
            <v>C-MFN50ZPE11</v>
          </cell>
          <cell r="M91" t="str">
            <v>SPAC</v>
          </cell>
          <cell r="N91" t="str">
            <v>COS</v>
          </cell>
          <cell r="O91">
            <v>35.207823960880198</v>
          </cell>
          <cell r="P91">
            <v>35.207823960880198</v>
          </cell>
        </row>
        <row r="92">
          <cell r="B92">
            <v>87</v>
          </cell>
          <cell r="D92" t="str">
            <v>C-MFN50ZLPE11</v>
          </cell>
          <cell r="E92" t="str">
            <v>SPAC</v>
          </cell>
          <cell r="F92" t="str">
            <v>SAW</v>
          </cell>
          <cell r="G92">
            <v>24.741818181818179</v>
          </cell>
          <cell r="H92">
            <v>24.741818181818179</v>
          </cell>
          <cell r="J92">
            <v>87</v>
          </cell>
          <cell r="L92" t="str">
            <v>C-MFN50ZLPE11</v>
          </cell>
          <cell r="M92" t="str">
            <v>SPAC</v>
          </cell>
          <cell r="N92" t="str">
            <v>COS</v>
          </cell>
          <cell r="O92">
            <v>35.207823960880198</v>
          </cell>
          <cell r="P92">
            <v>35.207823960880198</v>
          </cell>
        </row>
        <row r="93">
          <cell r="B93">
            <v>88</v>
          </cell>
          <cell r="D93" t="str">
            <v>C-MFNS70PE11</v>
          </cell>
          <cell r="E93" t="str">
            <v>SPAC</v>
          </cell>
          <cell r="F93" t="str">
            <v>SAW</v>
          </cell>
          <cell r="G93">
            <v>24.741818181818179</v>
          </cell>
          <cell r="H93">
            <v>24.741818181818179</v>
          </cell>
          <cell r="J93">
            <v>88</v>
          </cell>
          <cell r="L93" t="str">
            <v>C-MFNS70PE11</v>
          </cell>
          <cell r="M93" t="str">
            <v>SPAC</v>
          </cell>
          <cell r="N93" t="str">
            <v>COS</v>
          </cell>
          <cell r="O93">
            <v>35.207823960880198</v>
          </cell>
          <cell r="P93">
            <v>35.207823960880198</v>
          </cell>
        </row>
        <row r="94">
          <cell r="B94">
            <v>89</v>
          </cell>
          <cell r="D94" t="str">
            <v>C-MFNS70LPE11</v>
          </cell>
          <cell r="E94" t="str">
            <v>SPAC</v>
          </cell>
          <cell r="F94" t="str">
            <v>SAW</v>
          </cell>
          <cell r="G94">
            <v>24.741818181818179</v>
          </cell>
          <cell r="H94">
            <v>24.741818181818179</v>
          </cell>
          <cell r="J94">
            <v>89</v>
          </cell>
          <cell r="L94" t="str">
            <v>C-MFNS70LPE11</v>
          </cell>
          <cell r="M94" t="str">
            <v>SPAC</v>
          </cell>
          <cell r="N94" t="str">
            <v>COS</v>
          </cell>
          <cell r="O94">
            <v>35.207823960880198</v>
          </cell>
          <cell r="P94">
            <v>35.207823960880198</v>
          </cell>
        </row>
        <row r="95">
          <cell r="B95">
            <v>90</v>
          </cell>
          <cell r="D95" t="str">
            <v>C-MFNS70PE13</v>
          </cell>
          <cell r="E95" t="str">
            <v>SPAC</v>
          </cell>
          <cell r="F95" t="str">
            <v>SAW</v>
          </cell>
          <cell r="G95">
            <v>29.454545454545453</v>
          </cell>
          <cell r="H95">
            <v>29.454545454545453</v>
          </cell>
          <cell r="J95">
            <v>90</v>
          </cell>
          <cell r="L95" t="str">
            <v>C-MFNS70PE13</v>
          </cell>
          <cell r="M95" t="str">
            <v>SPAC</v>
          </cell>
          <cell r="N95" t="str">
            <v>COS</v>
          </cell>
          <cell r="O95">
            <v>35.207823960880198</v>
          </cell>
          <cell r="P95">
            <v>35.207823960880198</v>
          </cell>
        </row>
        <row r="96">
          <cell r="B96">
            <v>91</v>
          </cell>
          <cell r="D96" t="str">
            <v>C-MFNS70LPE13</v>
          </cell>
          <cell r="E96" t="str">
            <v>SPAC</v>
          </cell>
          <cell r="F96" t="str">
            <v>SAW</v>
          </cell>
          <cell r="G96">
            <v>29.454545454545453</v>
          </cell>
          <cell r="H96">
            <v>29.454545454545453</v>
          </cell>
          <cell r="J96">
            <v>91</v>
          </cell>
          <cell r="L96" t="str">
            <v>C-MFNS70LPE13</v>
          </cell>
          <cell r="M96" t="str">
            <v>SPAC</v>
          </cell>
          <cell r="N96" t="str">
            <v>COS</v>
          </cell>
          <cell r="O96">
            <v>35.207823960880198</v>
          </cell>
          <cell r="P96">
            <v>35.207823960880198</v>
          </cell>
        </row>
        <row r="97">
          <cell r="B97">
            <v>92</v>
          </cell>
          <cell r="D97" t="str">
            <v>C-MF80D26PE14</v>
          </cell>
          <cell r="E97" t="str">
            <v>SPAC</v>
          </cell>
          <cell r="F97" t="str">
            <v>SAW</v>
          </cell>
          <cell r="G97">
            <v>29.827212681638045</v>
          </cell>
          <cell r="H97">
            <v>29.827212681638045</v>
          </cell>
          <cell r="J97">
            <v>92</v>
          </cell>
          <cell r="L97" t="str">
            <v>C-MF80D26PE14</v>
          </cell>
          <cell r="M97" t="str">
            <v>SPAC</v>
          </cell>
          <cell r="N97" t="str">
            <v>COS</v>
          </cell>
          <cell r="O97">
            <v>35.336277408701662</v>
          </cell>
          <cell r="P97">
            <v>35.336277408701662</v>
          </cell>
        </row>
        <row r="98">
          <cell r="B98">
            <v>93</v>
          </cell>
          <cell r="D98" t="str">
            <v>C-MF80D26LPE14</v>
          </cell>
          <cell r="E98" t="str">
            <v>SPAC</v>
          </cell>
          <cell r="F98" t="str">
            <v>SAW</v>
          </cell>
          <cell r="G98">
            <v>29.827212681638045</v>
          </cell>
          <cell r="H98">
            <v>29.827212681638045</v>
          </cell>
          <cell r="J98">
            <v>93</v>
          </cell>
          <cell r="L98" t="str">
            <v>C-MF80D26LPE14</v>
          </cell>
          <cell r="M98" t="str">
            <v>SPAC</v>
          </cell>
          <cell r="N98" t="str">
            <v>COS</v>
          </cell>
          <cell r="O98">
            <v>35.336277408701662</v>
          </cell>
          <cell r="P98">
            <v>35.336277408701662</v>
          </cell>
        </row>
        <row r="99">
          <cell r="B99">
            <v>94</v>
          </cell>
          <cell r="C99" t="str">
            <v>N70</v>
          </cell>
          <cell r="D99" t="str">
            <v>CC-N70PE11</v>
          </cell>
          <cell r="E99" t="str">
            <v>SPAC</v>
          </cell>
          <cell r="F99" t="str">
            <v>SAW</v>
          </cell>
          <cell r="G99">
            <v>21.305151915455749</v>
          </cell>
          <cell r="H99">
            <v>21.305151915455749</v>
          </cell>
          <cell r="J99">
            <v>94</v>
          </cell>
          <cell r="K99" t="str">
            <v>N70</v>
          </cell>
          <cell r="L99" t="str">
            <v>CC-N70PE11</v>
          </cell>
          <cell r="M99" t="str">
            <v>SPAC</v>
          </cell>
          <cell r="N99" t="str">
            <v>COS</v>
          </cell>
          <cell r="O99">
            <v>35.207823960880198</v>
          </cell>
          <cell r="P99">
            <v>35.207823960880198</v>
          </cell>
        </row>
        <row r="100">
          <cell r="B100">
            <v>95</v>
          </cell>
          <cell r="D100" t="str">
            <v>CC-N70LPE11</v>
          </cell>
          <cell r="E100" t="str">
            <v>SPAC</v>
          </cell>
          <cell r="F100" t="str">
            <v>SAW</v>
          </cell>
          <cell r="G100">
            <v>21.305151915455749</v>
          </cell>
          <cell r="H100">
            <v>21.305151915455749</v>
          </cell>
          <cell r="J100">
            <v>95</v>
          </cell>
          <cell r="L100" t="str">
            <v>CC-N70LPE11</v>
          </cell>
          <cell r="M100" t="str">
            <v>SPAC</v>
          </cell>
          <cell r="N100" t="str">
            <v>COS</v>
          </cell>
          <cell r="O100">
            <v>35.207823960880198</v>
          </cell>
          <cell r="P100">
            <v>35.207823960880198</v>
          </cell>
        </row>
        <row r="101">
          <cell r="B101">
            <v>96</v>
          </cell>
          <cell r="D101" t="str">
            <v>CC-N70PE13</v>
          </cell>
          <cell r="F101" t="str">
            <v>SAW</v>
          </cell>
          <cell r="G101">
            <v>25.566182298546895</v>
          </cell>
          <cell r="H101">
            <v>25.566182298546895</v>
          </cell>
          <cell r="J101">
            <v>96</v>
          </cell>
          <cell r="L101" t="str">
            <v>CC-N70PE13</v>
          </cell>
          <cell r="N101" t="str">
            <v>COS</v>
          </cell>
          <cell r="O101">
            <v>33.099804154986366</v>
          </cell>
          <cell r="P101">
            <v>33.099804154986366</v>
          </cell>
        </row>
        <row r="102">
          <cell r="B102">
            <v>97</v>
          </cell>
          <cell r="D102" t="str">
            <v>CC-N70LPE13</v>
          </cell>
          <cell r="F102" t="str">
            <v>SAW</v>
          </cell>
          <cell r="G102">
            <v>25.566182298546895</v>
          </cell>
          <cell r="H102">
            <v>25.566182298546895</v>
          </cell>
          <cell r="J102">
            <v>97</v>
          </cell>
          <cell r="L102" t="str">
            <v>CC-N70LPE13</v>
          </cell>
          <cell r="N102" t="str">
            <v>COS</v>
          </cell>
          <cell r="O102">
            <v>33.099804154986366</v>
          </cell>
          <cell r="P102">
            <v>33.099804154986366</v>
          </cell>
        </row>
        <row r="103">
          <cell r="B103">
            <v>98</v>
          </cell>
          <cell r="D103" t="str">
            <v>CC-N70ZPE13</v>
          </cell>
          <cell r="F103" t="str">
            <v>SAW</v>
          </cell>
          <cell r="G103">
            <v>25.566182298546895</v>
          </cell>
          <cell r="H103">
            <v>25.566182298546895</v>
          </cell>
          <cell r="J103">
            <v>98</v>
          </cell>
          <cell r="L103" t="str">
            <v>CC-N70ZPE13</v>
          </cell>
          <cell r="N103" t="str">
            <v>COS</v>
          </cell>
          <cell r="O103">
            <v>33.099804154986366</v>
          </cell>
          <cell r="P103">
            <v>33.099804154986366</v>
          </cell>
        </row>
        <row r="104">
          <cell r="B104">
            <v>99</v>
          </cell>
          <cell r="D104" t="str">
            <v>CC-N70ZLPE13</v>
          </cell>
          <cell r="F104" t="str">
            <v>SAW</v>
          </cell>
          <cell r="G104">
            <v>25.566182298546895</v>
          </cell>
          <cell r="H104">
            <v>25.566182298546895</v>
          </cell>
          <cell r="J104">
            <v>99</v>
          </cell>
          <cell r="L104" t="str">
            <v>CC-N70ZLPE13</v>
          </cell>
          <cell r="N104" t="str">
            <v>COS</v>
          </cell>
          <cell r="O104">
            <v>33.099804154986366</v>
          </cell>
          <cell r="P104">
            <v>33.099804154986366</v>
          </cell>
        </row>
        <row r="105">
          <cell r="B105">
            <v>100</v>
          </cell>
          <cell r="D105" t="str">
            <v>CC-N70-9PE15</v>
          </cell>
          <cell r="F105" t="str">
            <v>SAW</v>
          </cell>
          <cell r="G105">
            <v>29.827212681638045</v>
          </cell>
          <cell r="H105">
            <v>29.827212681638045</v>
          </cell>
          <cell r="J105">
            <v>100</v>
          </cell>
          <cell r="L105" t="str">
            <v>CC-N70-9PE15</v>
          </cell>
          <cell r="N105" t="str">
            <v>COS</v>
          </cell>
          <cell r="O105">
            <v>37.572750662416958</v>
          </cell>
          <cell r="P105">
            <v>37.572750662416958</v>
          </cell>
        </row>
        <row r="106">
          <cell r="B106">
            <v>101</v>
          </cell>
          <cell r="D106" t="str">
            <v>CC-N70TPE15</v>
          </cell>
          <cell r="E106" t="str">
            <v>SPAC</v>
          </cell>
          <cell r="F106" t="str">
            <v>SAW</v>
          </cell>
          <cell r="G106">
            <v>29.827212681638045</v>
          </cell>
          <cell r="H106">
            <v>29.827212681638045</v>
          </cell>
          <cell r="J106">
            <v>101</v>
          </cell>
          <cell r="L106" t="str">
            <v>CC-N70TPE15</v>
          </cell>
          <cell r="M106" t="str">
            <v>SPAC</v>
          </cell>
          <cell r="N106" t="str">
            <v>COS</v>
          </cell>
          <cell r="O106">
            <v>37.572750662416958</v>
          </cell>
          <cell r="P106">
            <v>37.572750662416958</v>
          </cell>
        </row>
        <row r="107">
          <cell r="B107">
            <v>102</v>
          </cell>
          <cell r="D107" t="str">
            <v>CC-N70ZPE15</v>
          </cell>
          <cell r="E107" t="str">
            <v>SPAC</v>
          </cell>
          <cell r="F107" t="str">
            <v>SAW</v>
          </cell>
          <cell r="G107">
            <v>29.827212681638045</v>
          </cell>
          <cell r="H107">
            <v>29.827212681638045</v>
          </cell>
          <cell r="J107">
            <v>102</v>
          </cell>
          <cell r="L107" t="str">
            <v>CC-N70ZPE15</v>
          </cell>
          <cell r="M107" t="str">
            <v>SPAC</v>
          </cell>
          <cell r="N107" t="str">
            <v>COS</v>
          </cell>
          <cell r="O107">
            <v>37.572750662416958</v>
          </cell>
          <cell r="P107">
            <v>37.572750662416958</v>
          </cell>
        </row>
        <row r="108">
          <cell r="B108">
            <v>103</v>
          </cell>
          <cell r="D108" t="str">
            <v>CC-N70ZLPE15</v>
          </cell>
          <cell r="E108" t="str">
            <v>SPAC</v>
          </cell>
          <cell r="F108" t="str">
            <v>SAW</v>
          </cell>
          <cell r="G108">
            <v>29.827212681638045</v>
          </cell>
          <cell r="H108">
            <v>29.827212681638045</v>
          </cell>
          <cell r="J108">
            <v>103</v>
          </cell>
          <cell r="L108" t="str">
            <v>CC-N70ZLPE15</v>
          </cell>
          <cell r="M108" t="str">
            <v>SPAC</v>
          </cell>
          <cell r="N108" t="str">
            <v>COS</v>
          </cell>
          <cell r="O108">
            <v>37.572750662416958</v>
          </cell>
          <cell r="P108">
            <v>37.572750662416958</v>
          </cell>
        </row>
        <row r="109">
          <cell r="B109">
            <v>104</v>
          </cell>
          <cell r="D109" t="str">
            <v>CC-N70ZPE16</v>
          </cell>
          <cell r="F109" t="str">
            <v>SAW</v>
          </cell>
          <cell r="G109">
            <v>34.088243064729191</v>
          </cell>
          <cell r="H109">
            <v>34.088243064729191</v>
          </cell>
          <cell r="J109">
            <v>104</v>
          </cell>
          <cell r="L109" t="str">
            <v>CC-N70ZPE16</v>
          </cell>
          <cell r="N109" t="str">
            <v>COS</v>
          </cell>
          <cell r="O109">
            <v>39.809223916132247</v>
          </cell>
          <cell r="P109">
            <v>39.809223916132247</v>
          </cell>
        </row>
        <row r="110">
          <cell r="B110">
            <v>105</v>
          </cell>
          <cell r="D110" t="str">
            <v>CC-NX120-7PE15</v>
          </cell>
          <cell r="E110" t="str">
            <v>SPAC</v>
          </cell>
          <cell r="F110" t="str">
            <v>SAW</v>
          </cell>
          <cell r="G110">
            <v>29.827212681638045</v>
          </cell>
          <cell r="H110">
            <v>29.827212681638045</v>
          </cell>
          <cell r="J110">
            <v>105</v>
          </cell>
          <cell r="L110" t="str">
            <v>CC-NX120-7PE15</v>
          </cell>
          <cell r="M110" t="str">
            <v>SPAC</v>
          </cell>
          <cell r="N110" t="str">
            <v>COS</v>
          </cell>
          <cell r="O110">
            <v>37.572750662416958</v>
          </cell>
          <cell r="P110">
            <v>37.572750662416958</v>
          </cell>
        </row>
        <row r="111">
          <cell r="B111">
            <v>106</v>
          </cell>
          <cell r="D111" t="str">
            <v>CC-NX120-7LPE15</v>
          </cell>
          <cell r="E111" t="str">
            <v>SPAC</v>
          </cell>
          <cell r="F111" t="str">
            <v>SAW</v>
          </cell>
          <cell r="G111">
            <v>29.827212681638045</v>
          </cell>
          <cell r="H111">
            <v>29.827212681638045</v>
          </cell>
          <cell r="J111">
            <v>106</v>
          </cell>
          <cell r="L111" t="str">
            <v>CC-NX120-7LPE15</v>
          </cell>
          <cell r="M111" t="str">
            <v>SPAC</v>
          </cell>
          <cell r="N111" t="str">
            <v>COS</v>
          </cell>
          <cell r="O111">
            <v>37.572750662416958</v>
          </cell>
          <cell r="P111">
            <v>37.572750662416958</v>
          </cell>
        </row>
        <row r="112">
          <cell r="B112">
            <v>107</v>
          </cell>
          <cell r="D112" t="str">
            <v>CC-NX120-7PE17</v>
          </cell>
          <cell r="F112" t="str">
            <v>SAW</v>
          </cell>
          <cell r="G112">
            <v>34.088243064729191</v>
          </cell>
          <cell r="H112">
            <v>34.088243064729191</v>
          </cell>
          <cell r="J112">
            <v>107</v>
          </cell>
          <cell r="L112" t="str">
            <v>CC-NX120-7PE17</v>
          </cell>
          <cell r="N112" t="str">
            <v>COS</v>
          </cell>
          <cell r="O112">
            <v>42.045697169847543</v>
          </cell>
          <cell r="P112">
            <v>42.045697169847543</v>
          </cell>
        </row>
        <row r="113">
          <cell r="B113">
            <v>108</v>
          </cell>
          <cell r="D113" t="str">
            <v>CC-NX120-7LPE17</v>
          </cell>
          <cell r="F113" t="str">
            <v>SAW</v>
          </cell>
          <cell r="G113">
            <v>34.088243064729191</v>
          </cell>
          <cell r="H113">
            <v>34.088243064729191</v>
          </cell>
          <cell r="J113">
            <v>108</v>
          </cell>
          <cell r="L113" t="str">
            <v>CC-NX120-7LPE17</v>
          </cell>
          <cell r="N113" t="str">
            <v>COS</v>
          </cell>
          <cell r="O113">
            <v>42.045697169847543</v>
          </cell>
          <cell r="P113">
            <v>42.045697169847543</v>
          </cell>
        </row>
        <row r="114">
          <cell r="B114">
            <v>109</v>
          </cell>
          <cell r="D114" t="str">
            <v>HC-N70PE13</v>
          </cell>
          <cell r="F114" t="str">
            <v>SAW</v>
          </cell>
          <cell r="G114">
            <v>25.566182298546895</v>
          </cell>
          <cell r="H114">
            <v>25.566182298546895</v>
          </cell>
          <cell r="J114">
            <v>109</v>
          </cell>
          <cell r="L114" t="str">
            <v>HC-N70PE13</v>
          </cell>
          <cell r="N114" t="str">
            <v>COS</v>
          </cell>
          <cell r="O114">
            <v>33.099804154986366</v>
          </cell>
          <cell r="P114">
            <v>33.099804154986366</v>
          </cell>
        </row>
        <row r="115">
          <cell r="B115">
            <v>110</v>
          </cell>
          <cell r="D115" t="str">
            <v>HC-N70ZPE15</v>
          </cell>
          <cell r="F115" t="str">
            <v>SAW</v>
          </cell>
          <cell r="G115">
            <v>29.827212681638045</v>
          </cell>
          <cell r="H115">
            <v>29.827212681638045</v>
          </cell>
          <cell r="J115">
            <v>110</v>
          </cell>
          <cell r="L115" t="str">
            <v>HC-N70ZPE15</v>
          </cell>
          <cell r="N115" t="str">
            <v>COS</v>
          </cell>
          <cell r="O115">
            <v>37.572750662416958</v>
          </cell>
          <cell r="P115">
            <v>37.572750662416958</v>
          </cell>
        </row>
        <row r="116">
          <cell r="B116">
            <v>111</v>
          </cell>
          <cell r="D116" t="str">
            <v>C-MFN70PE13</v>
          </cell>
          <cell r="E116" t="str">
            <v>SPAC</v>
          </cell>
          <cell r="F116" t="str">
            <v>SAW</v>
          </cell>
          <cell r="G116">
            <v>29.454545454545453</v>
          </cell>
          <cell r="H116">
            <v>29.454545454545453</v>
          </cell>
          <cell r="J116">
            <v>111</v>
          </cell>
          <cell r="L116" t="str">
            <v>C-MFN70PE13</v>
          </cell>
          <cell r="M116" t="str">
            <v>SPAC</v>
          </cell>
          <cell r="N116" t="str">
            <v>COS</v>
          </cell>
          <cell r="O116">
            <v>35.207823960880198</v>
          </cell>
          <cell r="P116">
            <v>35.207823960880198</v>
          </cell>
        </row>
        <row r="117">
          <cell r="B117">
            <v>112</v>
          </cell>
          <cell r="D117" t="str">
            <v>C-MFN70ZLPE13</v>
          </cell>
          <cell r="E117" t="str">
            <v>SPAC</v>
          </cell>
          <cell r="F117" t="str">
            <v>SAW</v>
          </cell>
          <cell r="G117">
            <v>29.454545454545453</v>
          </cell>
          <cell r="H117">
            <v>29.454545454545453</v>
          </cell>
          <cell r="J117">
            <v>112</v>
          </cell>
          <cell r="L117" t="str">
            <v>C-MFN70ZLPE13</v>
          </cell>
          <cell r="M117" t="str">
            <v>SPAC</v>
          </cell>
          <cell r="N117" t="str">
            <v>COS</v>
          </cell>
          <cell r="O117">
            <v>35.207823960880198</v>
          </cell>
          <cell r="P117">
            <v>35.207823960880198</v>
          </cell>
        </row>
        <row r="118">
          <cell r="B118">
            <v>113</v>
          </cell>
          <cell r="D118" t="str">
            <v>C-MFN70LPE13</v>
          </cell>
          <cell r="E118" t="str">
            <v>SPAC</v>
          </cell>
          <cell r="F118" t="str">
            <v>SAW</v>
          </cell>
          <cell r="G118">
            <v>29.454545454545453</v>
          </cell>
          <cell r="H118">
            <v>29.454545454545453</v>
          </cell>
          <cell r="J118">
            <v>113</v>
          </cell>
          <cell r="L118" t="str">
            <v>C-MFN70LPE13</v>
          </cell>
          <cell r="M118" t="str">
            <v>SPAC</v>
          </cell>
          <cell r="N118" t="str">
            <v>COS</v>
          </cell>
          <cell r="O118">
            <v>35.207823960880198</v>
          </cell>
          <cell r="P118">
            <v>35.207823960880198</v>
          </cell>
        </row>
        <row r="119">
          <cell r="B119">
            <v>114</v>
          </cell>
          <cell r="D119" t="str">
            <v>C-MFN70ZPE13</v>
          </cell>
          <cell r="E119" t="str">
            <v>SPAC</v>
          </cell>
          <cell r="F119" t="str">
            <v>SAW</v>
          </cell>
          <cell r="G119">
            <v>29.454545454545453</v>
          </cell>
          <cell r="H119">
            <v>29.454545454545453</v>
          </cell>
          <cell r="J119">
            <v>114</v>
          </cell>
          <cell r="L119" t="str">
            <v>C-MFN70ZPE13</v>
          </cell>
          <cell r="M119" t="str">
            <v>SPAC</v>
          </cell>
          <cell r="N119" t="str">
            <v>COS</v>
          </cell>
          <cell r="O119">
            <v>35.207823960880198</v>
          </cell>
          <cell r="P119">
            <v>35.207823960880198</v>
          </cell>
        </row>
        <row r="120">
          <cell r="B120">
            <v>115</v>
          </cell>
          <cell r="D120" t="str">
            <v>C-MFN70ZPE15</v>
          </cell>
          <cell r="E120" t="str">
            <v>SPAC</v>
          </cell>
          <cell r="F120" t="str">
            <v>SAW</v>
          </cell>
          <cell r="G120">
            <v>29.827212681638045</v>
          </cell>
          <cell r="H120">
            <v>29.827212681638045</v>
          </cell>
          <cell r="J120">
            <v>115</v>
          </cell>
          <cell r="L120" t="str">
            <v>C-MFN70ZPE15</v>
          </cell>
          <cell r="M120" t="str">
            <v>SPAC</v>
          </cell>
          <cell r="N120" t="str">
            <v>COS</v>
          </cell>
          <cell r="O120">
            <v>35.207823960880198</v>
          </cell>
          <cell r="P120">
            <v>35.207823960880198</v>
          </cell>
        </row>
        <row r="121">
          <cell r="B121">
            <v>116</v>
          </cell>
          <cell r="D121" t="str">
            <v>C-MFN70LPE15</v>
          </cell>
          <cell r="E121" t="str">
            <v>SPAC</v>
          </cell>
          <cell r="F121" t="str">
            <v>SAW</v>
          </cell>
          <cell r="G121">
            <v>29.827212681638045</v>
          </cell>
          <cell r="H121">
            <v>29.827212681638045</v>
          </cell>
          <cell r="J121">
            <v>116</v>
          </cell>
          <cell r="L121" t="str">
            <v>C-MFN70LPE15</v>
          </cell>
          <cell r="M121" t="str">
            <v>SPAC</v>
          </cell>
          <cell r="N121" t="str">
            <v>COS</v>
          </cell>
          <cell r="O121">
            <v>35.207823960880198</v>
          </cell>
          <cell r="P121">
            <v>35.207823960880198</v>
          </cell>
        </row>
        <row r="122">
          <cell r="B122">
            <v>117</v>
          </cell>
          <cell r="D122" t="str">
            <v>C-MFN70ZLPE15</v>
          </cell>
          <cell r="E122" t="str">
            <v>SPAC</v>
          </cell>
          <cell r="F122" t="str">
            <v>SAW</v>
          </cell>
          <cell r="G122">
            <v>29.827212681638045</v>
          </cell>
          <cell r="H122">
            <v>29.827212681638045</v>
          </cell>
          <cell r="J122">
            <v>117</v>
          </cell>
          <cell r="L122" t="str">
            <v>C-MFN70ZLPE15</v>
          </cell>
          <cell r="M122" t="str">
            <v>SPAC</v>
          </cell>
          <cell r="N122" t="str">
            <v>COS</v>
          </cell>
          <cell r="O122">
            <v>37.572750662416958</v>
          </cell>
          <cell r="P122">
            <v>37.572750662416958</v>
          </cell>
        </row>
        <row r="123">
          <cell r="B123">
            <v>118</v>
          </cell>
          <cell r="D123" t="str">
            <v>C-MFN70ZZPE18</v>
          </cell>
          <cell r="E123" t="str">
            <v>SPAC</v>
          </cell>
          <cell r="F123" t="str">
            <v>SAW</v>
          </cell>
          <cell r="G123">
            <v>38.349273447820352</v>
          </cell>
          <cell r="H123">
            <v>38.349273447820352</v>
          </cell>
          <cell r="J123">
            <v>118</v>
          </cell>
          <cell r="L123" t="str">
            <v>C-MFN70ZZPE18</v>
          </cell>
          <cell r="M123" t="str">
            <v>SPAC</v>
          </cell>
          <cell r="N123" t="str">
            <v>COS</v>
          </cell>
          <cell r="O123">
            <v>44.282170423562839</v>
          </cell>
          <cell r="P123">
            <v>44.282170423562839</v>
          </cell>
        </row>
        <row r="124">
          <cell r="B124">
            <v>119</v>
          </cell>
          <cell r="D124" t="str">
            <v>C-MFNX120-7LPE15</v>
          </cell>
          <cell r="E124" t="str">
            <v>SPAC</v>
          </cell>
          <cell r="F124" t="str">
            <v>SAW</v>
          </cell>
          <cell r="G124">
            <v>36.916363636363634</v>
          </cell>
          <cell r="H124">
            <v>36.916363636363634</v>
          </cell>
          <cell r="J124">
            <v>119</v>
          </cell>
          <cell r="L124" t="str">
            <v>C-MFNX120-7LPE15</v>
          </cell>
          <cell r="M124" t="str">
            <v>SPAC</v>
          </cell>
          <cell r="N124" t="str">
            <v>COS</v>
          </cell>
          <cell r="O124">
            <v>37.572750662416958</v>
          </cell>
          <cell r="P124">
            <v>37.572750662416958</v>
          </cell>
        </row>
        <row r="125">
          <cell r="B125">
            <v>120</v>
          </cell>
          <cell r="D125" t="str">
            <v>C-MFNX120-7PE15</v>
          </cell>
          <cell r="E125" t="str">
            <v>SPAC</v>
          </cell>
          <cell r="F125" t="str">
            <v>SAW</v>
          </cell>
          <cell r="G125">
            <v>36.916363636363634</v>
          </cell>
          <cell r="H125">
            <v>36.916363636363634</v>
          </cell>
          <cell r="J125">
            <v>120</v>
          </cell>
          <cell r="L125" t="str">
            <v>C-MFNX120-7PE15</v>
          </cell>
          <cell r="M125" t="str">
            <v>SPAC</v>
          </cell>
          <cell r="N125" t="str">
            <v>COS</v>
          </cell>
          <cell r="O125">
            <v>37.572750662416958</v>
          </cell>
          <cell r="P125">
            <v>37.572750662416958</v>
          </cell>
        </row>
        <row r="126">
          <cell r="B126">
            <v>121</v>
          </cell>
          <cell r="D126" t="str">
            <v>C-MFNX120-7PE17</v>
          </cell>
          <cell r="E126" t="str">
            <v>SPAC</v>
          </cell>
          <cell r="F126" t="str">
            <v>SAW</v>
          </cell>
          <cell r="G126">
            <v>36.916363636363634</v>
          </cell>
          <cell r="H126">
            <v>36.916363636363634</v>
          </cell>
          <cell r="J126">
            <v>121</v>
          </cell>
          <cell r="L126" t="str">
            <v>C-MFNX120-7PE17</v>
          </cell>
          <cell r="M126" t="str">
            <v>SPAC</v>
          </cell>
          <cell r="N126" t="str">
            <v>COS</v>
          </cell>
          <cell r="O126">
            <v>42.045697169847543</v>
          </cell>
          <cell r="P126">
            <v>42.045697169847543</v>
          </cell>
        </row>
        <row r="127">
          <cell r="B127">
            <v>122</v>
          </cell>
          <cell r="D127" t="str">
            <v>C-MFNX120-7LPE17</v>
          </cell>
          <cell r="E127" t="str">
            <v>SPAC</v>
          </cell>
          <cell r="F127" t="str">
            <v>SAW</v>
          </cell>
          <cell r="G127">
            <v>36.916363636363634</v>
          </cell>
          <cell r="H127">
            <v>36.916363636363634</v>
          </cell>
          <cell r="J127">
            <v>122</v>
          </cell>
          <cell r="L127" t="str">
            <v>C-MFNX120-7LPE17</v>
          </cell>
          <cell r="M127" t="str">
            <v>SPAC</v>
          </cell>
          <cell r="N127" t="str">
            <v>COS</v>
          </cell>
          <cell r="O127">
            <v>42.045697169847543</v>
          </cell>
          <cell r="P127">
            <v>42.045697169847543</v>
          </cell>
        </row>
        <row r="128">
          <cell r="B128">
            <v>123</v>
          </cell>
          <cell r="D128" t="str">
            <v>C-MF105D31PE18</v>
          </cell>
          <cell r="E128" t="str">
            <v>SPAC</v>
          </cell>
          <cell r="F128" t="str">
            <v>SAW</v>
          </cell>
          <cell r="G128">
            <v>38.349273447820352</v>
          </cell>
          <cell r="H128">
            <v>38.349273447820352</v>
          </cell>
          <cell r="J128">
            <v>123</v>
          </cell>
          <cell r="L128" t="str">
            <v>C-MF105D31PE18</v>
          </cell>
          <cell r="M128" t="str">
            <v>SPAC</v>
          </cell>
          <cell r="N128" t="str">
            <v>COS</v>
          </cell>
          <cell r="O128">
            <v>44.282170423562839</v>
          </cell>
          <cell r="P128">
            <v>44.282170423562839</v>
          </cell>
        </row>
        <row r="129">
          <cell r="B129">
            <v>124</v>
          </cell>
          <cell r="D129" t="str">
            <v>C-MF105D31LPE18</v>
          </cell>
          <cell r="E129" t="str">
            <v>SPAC</v>
          </cell>
          <cell r="F129" t="str">
            <v>SAW</v>
          </cell>
          <cell r="G129">
            <v>38.349273447820352</v>
          </cell>
          <cell r="H129">
            <v>38.349273447820352</v>
          </cell>
          <cell r="J129">
            <v>124</v>
          </cell>
          <cell r="L129" t="str">
            <v>C-MF105D31LPE18</v>
          </cell>
          <cell r="M129" t="str">
            <v>SPAC</v>
          </cell>
          <cell r="N129" t="str">
            <v>COS</v>
          </cell>
          <cell r="O129">
            <v>44.282170423562839</v>
          </cell>
          <cell r="P129">
            <v>44.282170423562839</v>
          </cell>
        </row>
        <row r="130">
          <cell r="B130">
            <v>125</v>
          </cell>
          <cell r="D130" t="str">
            <v>C-MF115D31PE19</v>
          </cell>
          <cell r="F130" t="str">
            <v>SAW</v>
          </cell>
          <cell r="G130">
            <v>38.35</v>
          </cell>
          <cell r="H130">
            <v>38.35</v>
          </cell>
          <cell r="J130">
            <v>125</v>
          </cell>
          <cell r="L130" t="str">
            <v>C-MF115D31PE19</v>
          </cell>
          <cell r="N130" t="str">
            <v>COS</v>
          </cell>
          <cell r="O130">
            <v>44.28</v>
          </cell>
          <cell r="P130">
            <v>44.28</v>
          </cell>
        </row>
        <row r="131">
          <cell r="B131">
            <v>126</v>
          </cell>
          <cell r="C131" t="str">
            <v>DIN</v>
          </cell>
          <cell r="D131" t="str">
            <v>C-MF58827PE16</v>
          </cell>
          <cell r="E131" t="str">
            <v>SPAC</v>
          </cell>
          <cell r="F131" t="str">
            <v>SAW</v>
          </cell>
          <cell r="G131">
            <v>36.92</v>
          </cell>
          <cell r="H131">
            <v>36.92</v>
          </cell>
          <cell r="J131">
            <v>126</v>
          </cell>
          <cell r="K131" t="str">
            <v>DIN</v>
          </cell>
          <cell r="L131" t="str">
            <v>C-MF58827PE16</v>
          </cell>
          <cell r="M131" t="str">
            <v>SPAC</v>
          </cell>
          <cell r="N131" t="str">
            <v>COS</v>
          </cell>
          <cell r="O131">
            <v>42.05</v>
          </cell>
          <cell r="P131">
            <v>42.05</v>
          </cell>
        </row>
        <row r="132">
          <cell r="B132">
            <v>127</v>
          </cell>
          <cell r="D132" t="str">
            <v>C-MF58827PE18</v>
          </cell>
          <cell r="E132" t="str">
            <v>SPAC</v>
          </cell>
          <cell r="F132" t="str">
            <v>SAW</v>
          </cell>
          <cell r="G132">
            <v>38.35</v>
          </cell>
          <cell r="H132">
            <v>38.35</v>
          </cell>
          <cell r="J132">
            <v>127</v>
          </cell>
          <cell r="L132" t="str">
            <v>C-MF58827PE18</v>
          </cell>
          <cell r="M132" t="str">
            <v>SPAC</v>
          </cell>
          <cell r="N132" t="str">
            <v>COS</v>
          </cell>
          <cell r="O132">
            <v>44.28</v>
          </cell>
          <cell r="P132">
            <v>44.28</v>
          </cell>
        </row>
        <row r="133">
          <cell r="B133">
            <v>128</v>
          </cell>
          <cell r="D133" t="str">
            <v>C-MF60038PE18</v>
          </cell>
          <cell r="E133" t="str">
            <v>SPAC</v>
          </cell>
          <cell r="F133" t="str">
            <v>SAW</v>
          </cell>
          <cell r="G133">
            <v>38.35</v>
          </cell>
          <cell r="H133">
            <v>38.35</v>
          </cell>
          <cell r="J133">
            <v>128</v>
          </cell>
          <cell r="L133" t="str">
            <v>C-MF60038PE18</v>
          </cell>
          <cell r="M133" t="str">
            <v>SPAC</v>
          </cell>
          <cell r="N133" t="str">
            <v>COS</v>
          </cell>
          <cell r="O133">
            <v>44.28</v>
          </cell>
          <cell r="P133">
            <v>44.28</v>
          </cell>
        </row>
        <row r="134">
          <cell r="B134">
            <v>129</v>
          </cell>
          <cell r="D134" t="str">
            <v>C-MF60038PE20</v>
          </cell>
          <cell r="F134" t="str">
            <v>SAW</v>
          </cell>
          <cell r="G134">
            <v>39.15</v>
          </cell>
          <cell r="H134">
            <v>39.15</v>
          </cell>
          <cell r="J134">
            <v>129</v>
          </cell>
          <cell r="L134" t="str">
            <v>C-MF60038PE20</v>
          </cell>
          <cell r="N134" t="str">
            <v>COS</v>
          </cell>
          <cell r="O134">
            <v>45.18</v>
          </cell>
          <cell r="P134">
            <v>45.18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BSENSI"/>
      <sheetName val="Jam Kerja AMB"/>
      <sheetName val="Pemakaian dan Reject"/>
      <sheetName val="MCP"/>
      <sheetName val="Total Reject Finishing"/>
      <sheetName val="SAW"/>
      <sheetName val="hambatan "/>
      <sheetName val="grafik Finishing"/>
      <sheetName val="Grafik SAW"/>
      <sheetName val="burningvsfinish"/>
      <sheetName val="PCS PER MH"/>
      <sheetName val="STANDAR KRYWN"/>
      <sheetName val="JKS"/>
      <sheetName val="Sheet1"/>
      <sheetName val="12.desember"/>
    </sheetNames>
    <sheetDataSet>
      <sheetData sheetId="0">
        <row r="2">
          <cell r="A2" t="str">
            <v>105D3118</v>
          </cell>
          <cell r="B2" t="str">
            <v>105D31PE18</v>
          </cell>
          <cell r="C2" t="str">
            <v>105D31</v>
          </cell>
          <cell r="D2">
            <v>9</v>
          </cell>
          <cell r="E2">
            <v>9</v>
          </cell>
          <cell r="F2">
            <v>18</v>
          </cell>
          <cell r="G2">
            <v>6</v>
          </cell>
          <cell r="H2" t="str">
            <v>CG85</v>
          </cell>
          <cell r="I2" t="str">
            <v>CG87</v>
          </cell>
          <cell r="J2" t="str">
            <v>PE</v>
          </cell>
          <cell r="K2">
            <v>0</v>
          </cell>
          <cell r="L2">
            <v>0</v>
          </cell>
          <cell r="M2" t="str">
            <v>C5B R/L</v>
          </cell>
          <cell r="N2" t="str">
            <v>P7T</v>
          </cell>
          <cell r="O2">
            <v>0</v>
          </cell>
        </row>
        <row r="3">
          <cell r="A3" t="str">
            <v>12N249</v>
          </cell>
          <cell r="B3" t="str">
            <v>12N24PE9</v>
          </cell>
          <cell r="C3" t="str">
            <v>12N24</v>
          </cell>
          <cell r="D3">
            <v>4</v>
          </cell>
          <cell r="E3">
            <v>5</v>
          </cell>
          <cell r="F3">
            <v>9</v>
          </cell>
          <cell r="G3">
            <v>6</v>
          </cell>
          <cell r="H3" t="str">
            <v>YL80</v>
          </cell>
          <cell r="I3" t="str">
            <v>YL84</v>
          </cell>
          <cell r="J3" t="str">
            <v>PE</v>
          </cell>
          <cell r="L3">
            <v>0</v>
          </cell>
          <cell r="M3" t="str">
            <v>C4A R/L</v>
          </cell>
          <cell r="N3" t="str">
            <v>P6560</v>
          </cell>
          <cell r="O3">
            <v>4.9000000000000004</v>
          </cell>
        </row>
        <row r="4">
          <cell r="A4" t="str">
            <v>12N2439</v>
          </cell>
          <cell r="B4" t="str">
            <v>12N243PE9</v>
          </cell>
          <cell r="C4" t="str">
            <v>12N243</v>
          </cell>
          <cell r="D4">
            <v>4</v>
          </cell>
          <cell r="E4">
            <v>5</v>
          </cell>
          <cell r="F4">
            <v>9</v>
          </cell>
          <cell r="G4">
            <v>6</v>
          </cell>
          <cell r="H4" t="str">
            <v>YL80</v>
          </cell>
          <cell r="I4" t="str">
            <v>YL84</v>
          </cell>
          <cell r="J4" t="str">
            <v>PE</v>
          </cell>
          <cell r="K4">
            <v>0</v>
          </cell>
          <cell r="L4">
            <v>0</v>
          </cell>
          <cell r="M4" t="str">
            <v>C4A R/L</v>
          </cell>
          <cell r="N4" t="str">
            <v>P6560</v>
          </cell>
          <cell r="O4">
            <v>4.9000000000000004</v>
          </cell>
        </row>
        <row r="5">
          <cell r="A5" t="str">
            <v>165G5131</v>
          </cell>
          <cell r="B5" t="str">
            <v>165G51PE31</v>
          </cell>
          <cell r="C5" t="str">
            <v>165G51</v>
          </cell>
          <cell r="D5">
            <v>15</v>
          </cell>
          <cell r="E5">
            <v>16</v>
          </cell>
          <cell r="F5">
            <v>31</v>
          </cell>
          <cell r="G5">
            <v>6</v>
          </cell>
          <cell r="H5" t="str">
            <v>CG82</v>
          </cell>
          <cell r="I5" t="str">
            <v>CG87</v>
          </cell>
          <cell r="J5" t="str">
            <v>PE</v>
          </cell>
          <cell r="K5">
            <v>0</v>
          </cell>
          <cell r="L5">
            <v>0</v>
          </cell>
          <cell r="M5" t="str">
            <v>C15G2R/L</v>
          </cell>
          <cell r="N5" t="str">
            <v>P1683</v>
          </cell>
          <cell r="O5">
            <v>0</v>
          </cell>
        </row>
        <row r="6">
          <cell r="A6" t="str">
            <v>544-599</v>
          </cell>
          <cell r="B6" t="str">
            <v>544-59PE9</v>
          </cell>
          <cell r="C6" t="str">
            <v>544-59</v>
          </cell>
          <cell r="D6">
            <v>4</v>
          </cell>
          <cell r="E6">
            <v>5</v>
          </cell>
          <cell r="F6">
            <v>9</v>
          </cell>
          <cell r="G6">
            <v>6</v>
          </cell>
          <cell r="H6" t="str">
            <v>CG82</v>
          </cell>
          <cell r="I6" t="str">
            <v>CG87</v>
          </cell>
          <cell r="J6" t="str">
            <v>PE</v>
          </cell>
          <cell r="K6">
            <v>0</v>
          </cell>
          <cell r="L6">
            <v>0</v>
          </cell>
          <cell r="M6" t="str">
            <v>C8R/L</v>
          </cell>
          <cell r="N6" t="str">
            <v>P8</v>
          </cell>
          <cell r="O6">
            <v>7.6</v>
          </cell>
        </row>
        <row r="7">
          <cell r="A7" t="str">
            <v>544-649</v>
          </cell>
          <cell r="B7" t="str">
            <v>544-64PE9</v>
          </cell>
          <cell r="C7" t="str">
            <v>544-64</v>
          </cell>
          <cell r="D7">
            <v>4</v>
          </cell>
          <cell r="E7">
            <v>5</v>
          </cell>
          <cell r="F7">
            <v>9</v>
          </cell>
          <cell r="G7">
            <v>6</v>
          </cell>
          <cell r="H7" t="str">
            <v>CG82</v>
          </cell>
          <cell r="I7" t="str">
            <v>CG87</v>
          </cell>
          <cell r="J7" t="str">
            <v>PE</v>
          </cell>
          <cell r="K7">
            <v>0</v>
          </cell>
          <cell r="L7">
            <v>0</v>
          </cell>
          <cell r="M7" t="str">
            <v>C8R/L</v>
          </cell>
          <cell r="N7" t="str">
            <v>P8</v>
          </cell>
          <cell r="O7">
            <v>7.6</v>
          </cell>
        </row>
        <row r="8">
          <cell r="A8" t="str">
            <v>545-1911</v>
          </cell>
          <cell r="B8" t="str">
            <v>545-19PE11</v>
          </cell>
          <cell r="C8" t="str">
            <v>545-19</v>
          </cell>
          <cell r="D8">
            <v>5</v>
          </cell>
          <cell r="E8">
            <v>6</v>
          </cell>
          <cell r="F8">
            <v>11</v>
          </cell>
          <cell r="G8">
            <v>6</v>
          </cell>
          <cell r="H8" t="str">
            <v>CR82</v>
          </cell>
          <cell r="I8" t="str">
            <v>CR87</v>
          </cell>
          <cell r="J8" t="str">
            <v>PE</v>
          </cell>
          <cell r="K8">
            <v>0</v>
          </cell>
          <cell r="L8">
            <v>0</v>
          </cell>
          <cell r="M8" t="str">
            <v>C8R/L</v>
          </cell>
          <cell r="N8" t="str">
            <v>P1059</v>
          </cell>
          <cell r="O8">
            <v>7.5</v>
          </cell>
        </row>
        <row r="9">
          <cell r="A9" t="str">
            <v>555-3011</v>
          </cell>
          <cell r="B9" t="str">
            <v>555-30PE11</v>
          </cell>
          <cell r="C9" t="str">
            <v>555-30</v>
          </cell>
          <cell r="D9">
            <v>5</v>
          </cell>
          <cell r="E9">
            <v>6</v>
          </cell>
          <cell r="F9">
            <v>11</v>
          </cell>
          <cell r="G9">
            <v>6</v>
          </cell>
          <cell r="H9" t="str">
            <v>CG82</v>
          </cell>
          <cell r="I9" t="str">
            <v>CG87</v>
          </cell>
          <cell r="J9" t="str">
            <v>PE</v>
          </cell>
          <cell r="K9">
            <v>0</v>
          </cell>
          <cell r="L9">
            <v>0</v>
          </cell>
          <cell r="M9" t="str">
            <v>C8R/L</v>
          </cell>
          <cell r="N9" t="str">
            <v>P8</v>
          </cell>
          <cell r="O9">
            <v>9</v>
          </cell>
        </row>
        <row r="10">
          <cell r="A10" t="str">
            <v>555-599</v>
          </cell>
          <cell r="B10" t="str">
            <v>555-59PE9</v>
          </cell>
          <cell r="C10" t="str">
            <v>555-59</v>
          </cell>
          <cell r="D10">
            <v>4</v>
          </cell>
          <cell r="E10">
            <v>5</v>
          </cell>
          <cell r="F10">
            <v>9</v>
          </cell>
          <cell r="G10">
            <v>6</v>
          </cell>
          <cell r="H10" t="str">
            <v>CG82</v>
          </cell>
          <cell r="I10" t="str">
            <v>CG87</v>
          </cell>
          <cell r="J10" t="str">
            <v>PE</v>
          </cell>
          <cell r="K10">
            <v>0</v>
          </cell>
          <cell r="L10">
            <v>0</v>
          </cell>
          <cell r="M10" t="str">
            <v>C8R/L</v>
          </cell>
          <cell r="N10" t="str">
            <v>P8</v>
          </cell>
          <cell r="O10">
            <v>9.1</v>
          </cell>
        </row>
        <row r="11">
          <cell r="A11" t="str">
            <v>555-5911</v>
          </cell>
          <cell r="B11" t="str">
            <v>555-59PE11</v>
          </cell>
          <cell r="C11" t="str">
            <v>555-59</v>
          </cell>
          <cell r="D11">
            <v>5</v>
          </cell>
          <cell r="E11">
            <v>6</v>
          </cell>
          <cell r="F11">
            <v>11</v>
          </cell>
          <cell r="G11">
            <v>6</v>
          </cell>
          <cell r="H11" t="str">
            <v>CG80</v>
          </cell>
          <cell r="I11" t="str">
            <v>CG85</v>
          </cell>
          <cell r="J11" t="str">
            <v>PE</v>
          </cell>
          <cell r="K11">
            <v>0</v>
          </cell>
          <cell r="L11">
            <v>0</v>
          </cell>
          <cell r="M11" t="str">
            <v>C8R/L</v>
          </cell>
          <cell r="N11" t="str">
            <v>P8</v>
          </cell>
          <cell r="O11">
            <v>9.1</v>
          </cell>
        </row>
        <row r="12">
          <cell r="A12" t="str">
            <v>555-5912</v>
          </cell>
          <cell r="B12" t="str">
            <v>555-59PE12</v>
          </cell>
          <cell r="C12" t="str">
            <v>555-59</v>
          </cell>
          <cell r="D12">
            <v>6</v>
          </cell>
          <cell r="E12">
            <v>6</v>
          </cell>
          <cell r="F12">
            <v>12</v>
          </cell>
          <cell r="G12">
            <v>6</v>
          </cell>
          <cell r="H12" t="str">
            <v>CG80</v>
          </cell>
          <cell r="I12" t="str">
            <v>CG85</v>
          </cell>
          <cell r="J12" t="str">
            <v>PE</v>
          </cell>
          <cell r="K12">
            <v>0</v>
          </cell>
          <cell r="L12">
            <v>0</v>
          </cell>
          <cell r="M12" t="str">
            <v>C8R/L</v>
          </cell>
          <cell r="N12" t="str">
            <v>P8</v>
          </cell>
          <cell r="O12">
            <v>9.1</v>
          </cell>
        </row>
        <row r="13">
          <cell r="A13" t="str">
            <v>555-6512</v>
          </cell>
          <cell r="B13" t="str">
            <v>555-65PE12</v>
          </cell>
          <cell r="C13" t="str">
            <v>555-65</v>
          </cell>
          <cell r="D13">
            <v>6</v>
          </cell>
          <cell r="E13">
            <v>6</v>
          </cell>
          <cell r="F13">
            <v>12</v>
          </cell>
          <cell r="G13">
            <v>6</v>
          </cell>
          <cell r="H13" t="str">
            <v>CG80</v>
          </cell>
          <cell r="I13" t="str">
            <v>CG85</v>
          </cell>
          <cell r="J13" t="str">
            <v>PE</v>
          </cell>
          <cell r="K13">
            <v>0</v>
          </cell>
          <cell r="L13">
            <v>0</v>
          </cell>
          <cell r="M13" t="str">
            <v>C8R/L</v>
          </cell>
          <cell r="N13" t="str">
            <v>P8</v>
          </cell>
          <cell r="O13">
            <v>9.1</v>
          </cell>
        </row>
        <row r="14">
          <cell r="A14" t="str">
            <v>555-6511</v>
          </cell>
          <cell r="B14" t="str">
            <v>555-65PE11</v>
          </cell>
          <cell r="C14" t="str">
            <v>555-65</v>
          </cell>
          <cell r="D14">
            <v>5</v>
          </cell>
          <cell r="E14">
            <v>6</v>
          </cell>
          <cell r="F14">
            <v>11</v>
          </cell>
          <cell r="G14">
            <v>6</v>
          </cell>
          <cell r="H14" t="str">
            <v>CG82</v>
          </cell>
          <cell r="I14" t="str">
            <v>CG87</v>
          </cell>
          <cell r="J14" t="str">
            <v>PE</v>
          </cell>
          <cell r="K14">
            <v>0</v>
          </cell>
          <cell r="L14">
            <v>0</v>
          </cell>
          <cell r="M14" t="str">
            <v>C8R/L</v>
          </cell>
          <cell r="N14" t="str">
            <v>P8</v>
          </cell>
          <cell r="O14">
            <v>9.1</v>
          </cell>
        </row>
        <row r="15">
          <cell r="A15" t="str">
            <v>555-659</v>
          </cell>
          <cell r="B15" t="str">
            <v>555-65PE9</v>
          </cell>
          <cell r="C15" t="str">
            <v>555-65</v>
          </cell>
          <cell r="D15">
            <v>4</v>
          </cell>
          <cell r="E15">
            <v>5</v>
          </cell>
          <cell r="F15">
            <v>9</v>
          </cell>
          <cell r="G15">
            <v>6</v>
          </cell>
          <cell r="H15" t="str">
            <v>CG82</v>
          </cell>
          <cell r="I15" t="str">
            <v>CG87</v>
          </cell>
          <cell r="J15" t="str">
            <v>PE</v>
          </cell>
          <cell r="K15">
            <v>0</v>
          </cell>
          <cell r="L15">
            <v>0</v>
          </cell>
          <cell r="M15" t="str">
            <v>C8R/L</v>
          </cell>
          <cell r="N15" t="str">
            <v>P8</v>
          </cell>
          <cell r="O15">
            <v>9.1</v>
          </cell>
        </row>
        <row r="16">
          <cell r="A16" t="str">
            <v>55D23L11</v>
          </cell>
          <cell r="B16" t="str">
            <v>55D23LPULP11</v>
          </cell>
          <cell r="C16" t="str">
            <v>55D23L</v>
          </cell>
          <cell r="D16">
            <v>5</v>
          </cell>
          <cell r="E16">
            <v>6</v>
          </cell>
          <cell r="F16">
            <v>11</v>
          </cell>
          <cell r="G16">
            <v>6</v>
          </cell>
          <cell r="H16" t="str">
            <v>CG80</v>
          </cell>
          <cell r="I16" t="str">
            <v>CG85</v>
          </cell>
          <cell r="J16" t="str">
            <v>PULP</v>
          </cell>
          <cell r="K16">
            <v>0</v>
          </cell>
          <cell r="L16">
            <v>0</v>
          </cell>
          <cell r="M16" t="str">
            <v>C8R/L</v>
          </cell>
          <cell r="N16" t="str">
            <v>P7T</v>
          </cell>
          <cell r="O16">
            <v>10</v>
          </cell>
        </row>
        <row r="17">
          <cell r="A17" t="str">
            <v>55D23L12</v>
          </cell>
          <cell r="B17" t="str">
            <v>55D23LPULP12</v>
          </cell>
          <cell r="C17" t="str">
            <v>55D23L</v>
          </cell>
          <cell r="D17">
            <v>6</v>
          </cell>
          <cell r="E17">
            <v>6</v>
          </cell>
          <cell r="F17">
            <v>12</v>
          </cell>
          <cell r="G17">
            <v>6</v>
          </cell>
          <cell r="H17" t="str">
            <v>CG80</v>
          </cell>
          <cell r="I17" t="str">
            <v>CG85</v>
          </cell>
          <cell r="J17" t="str">
            <v>PULP</v>
          </cell>
          <cell r="K17">
            <v>0</v>
          </cell>
          <cell r="L17">
            <v>0</v>
          </cell>
          <cell r="M17" t="str">
            <v>C8R/L</v>
          </cell>
          <cell r="N17" t="str">
            <v>P7T</v>
          </cell>
          <cell r="O17">
            <v>10</v>
          </cell>
        </row>
        <row r="18">
          <cell r="A18" t="str">
            <v>55D23R12</v>
          </cell>
          <cell r="B18" t="str">
            <v>55D23RPULP12</v>
          </cell>
          <cell r="C18" t="str">
            <v>55D23R</v>
          </cell>
          <cell r="D18">
            <v>6</v>
          </cell>
          <cell r="E18">
            <v>6</v>
          </cell>
          <cell r="F18">
            <v>12</v>
          </cell>
          <cell r="G18">
            <v>6</v>
          </cell>
          <cell r="H18" t="str">
            <v>CG80</v>
          </cell>
          <cell r="I18" t="str">
            <v>CG85</v>
          </cell>
          <cell r="J18" t="str">
            <v>PULP</v>
          </cell>
          <cell r="K18">
            <v>0</v>
          </cell>
          <cell r="L18">
            <v>0</v>
          </cell>
          <cell r="M18" t="str">
            <v>C8R/L</v>
          </cell>
          <cell r="N18" t="str">
            <v>P7T</v>
          </cell>
          <cell r="O18">
            <v>10</v>
          </cell>
        </row>
        <row r="19">
          <cell r="A19" t="str">
            <v>55D23R11</v>
          </cell>
          <cell r="B19" t="str">
            <v>55D23RPULP11</v>
          </cell>
          <cell r="C19" t="str">
            <v>55D23R</v>
          </cell>
          <cell r="D19">
            <v>5</v>
          </cell>
          <cell r="E19">
            <v>6</v>
          </cell>
          <cell r="F19">
            <v>11</v>
          </cell>
          <cell r="G19">
            <v>6</v>
          </cell>
          <cell r="H19" t="str">
            <v>CG80</v>
          </cell>
          <cell r="I19" t="str">
            <v>CG85</v>
          </cell>
          <cell r="J19" t="str">
            <v>PULP</v>
          </cell>
          <cell r="K19">
            <v>0</v>
          </cell>
          <cell r="L19">
            <v>0</v>
          </cell>
          <cell r="M19" t="str">
            <v>C8R/L</v>
          </cell>
          <cell r="N19" t="str">
            <v>P7T</v>
          </cell>
          <cell r="O19">
            <v>10</v>
          </cell>
        </row>
        <row r="20">
          <cell r="A20" t="str">
            <v>560-4811</v>
          </cell>
          <cell r="B20" t="str">
            <v>560-48PE11</v>
          </cell>
          <cell r="C20" t="str">
            <v>560-48</v>
          </cell>
          <cell r="D20">
            <v>5</v>
          </cell>
          <cell r="E20">
            <v>6</v>
          </cell>
          <cell r="F20">
            <v>11</v>
          </cell>
          <cell r="G20">
            <v>6</v>
          </cell>
          <cell r="H20" t="str">
            <v>CG83</v>
          </cell>
          <cell r="I20" t="str">
            <v>CG88</v>
          </cell>
          <cell r="J20" t="str">
            <v>PE</v>
          </cell>
          <cell r="K20">
            <v>0</v>
          </cell>
          <cell r="L20">
            <v>0</v>
          </cell>
          <cell r="M20" t="str">
            <v>C8R/L</v>
          </cell>
          <cell r="N20" t="str">
            <v>P9</v>
          </cell>
          <cell r="O20">
            <v>9.6999999999999993</v>
          </cell>
        </row>
        <row r="21">
          <cell r="A21" t="str">
            <v>566-3313</v>
          </cell>
          <cell r="B21" t="str">
            <v>566-33PE13</v>
          </cell>
          <cell r="C21" t="str">
            <v>566-33</v>
          </cell>
          <cell r="D21">
            <v>6</v>
          </cell>
          <cell r="E21">
            <v>7</v>
          </cell>
          <cell r="F21">
            <v>13</v>
          </cell>
          <cell r="G21">
            <v>6</v>
          </cell>
          <cell r="H21" t="str">
            <v>CG82</v>
          </cell>
          <cell r="I21" t="str">
            <v>CG87</v>
          </cell>
          <cell r="J21" t="str">
            <v>PE</v>
          </cell>
          <cell r="K21">
            <v>0</v>
          </cell>
          <cell r="L21">
            <v>0</v>
          </cell>
          <cell r="M21" t="str">
            <v>C8R/L</v>
          </cell>
          <cell r="N21" t="str">
            <v>P8</v>
          </cell>
          <cell r="O21">
            <v>10.4</v>
          </cell>
        </row>
        <row r="22">
          <cell r="A22" t="str">
            <v>566-3811</v>
          </cell>
          <cell r="B22" t="str">
            <v>566-38PE11</v>
          </cell>
          <cell r="C22" t="str">
            <v>566-38</v>
          </cell>
          <cell r="D22">
            <v>5</v>
          </cell>
          <cell r="E22">
            <v>6</v>
          </cell>
          <cell r="F22">
            <v>11</v>
          </cell>
          <cell r="G22">
            <v>6</v>
          </cell>
          <cell r="H22" t="str">
            <v>CG82</v>
          </cell>
          <cell r="I22" t="str">
            <v>CG87</v>
          </cell>
          <cell r="J22" t="str">
            <v>PE</v>
          </cell>
          <cell r="K22">
            <v>0</v>
          </cell>
          <cell r="L22">
            <v>0</v>
          </cell>
          <cell r="M22" t="str">
            <v>C8R/L</v>
          </cell>
          <cell r="N22" t="str">
            <v>P8</v>
          </cell>
          <cell r="O22">
            <v>10.4</v>
          </cell>
        </row>
        <row r="23">
          <cell r="A23" t="str">
            <v>566-3813</v>
          </cell>
          <cell r="B23" t="str">
            <v>566-38PE13</v>
          </cell>
          <cell r="C23" t="str">
            <v>566-38</v>
          </cell>
          <cell r="D23">
            <v>6</v>
          </cell>
          <cell r="E23">
            <v>7</v>
          </cell>
          <cell r="F23">
            <v>13</v>
          </cell>
          <cell r="G23">
            <v>6</v>
          </cell>
          <cell r="H23" t="str">
            <v>CG82</v>
          </cell>
          <cell r="I23" t="str">
            <v>CG87</v>
          </cell>
          <cell r="J23" t="str">
            <v>PE</v>
          </cell>
          <cell r="K23">
            <v>0</v>
          </cell>
          <cell r="L23">
            <v>0</v>
          </cell>
          <cell r="M23" t="str">
            <v>C8R/L</v>
          </cell>
          <cell r="N23" t="str">
            <v>P8</v>
          </cell>
          <cell r="O23">
            <v>10.4</v>
          </cell>
        </row>
        <row r="24">
          <cell r="A24" t="str">
            <v>574-1215</v>
          </cell>
          <cell r="B24" t="str">
            <v>574-12PE15</v>
          </cell>
          <cell r="C24" t="str">
            <v>574-12</v>
          </cell>
          <cell r="D24">
            <v>7</v>
          </cell>
          <cell r="E24">
            <v>8</v>
          </cell>
          <cell r="F24">
            <v>15</v>
          </cell>
          <cell r="G24">
            <v>6</v>
          </cell>
          <cell r="H24" t="str">
            <v>CG82</v>
          </cell>
          <cell r="I24" t="str">
            <v>CG87</v>
          </cell>
          <cell r="J24" t="str">
            <v>PE</v>
          </cell>
          <cell r="K24">
            <v>0</v>
          </cell>
          <cell r="L24">
            <v>0</v>
          </cell>
          <cell r="M24" t="str">
            <v>C8R/L</v>
          </cell>
          <cell r="N24" t="str">
            <v>P7A</v>
          </cell>
          <cell r="O24">
            <v>11</v>
          </cell>
        </row>
        <row r="25">
          <cell r="A25" t="str">
            <v>570-2913</v>
          </cell>
          <cell r="B25" t="str">
            <v>570-29PE13</v>
          </cell>
          <cell r="C25" t="str">
            <v>570-29</v>
          </cell>
          <cell r="D25">
            <v>6</v>
          </cell>
          <cell r="E25">
            <v>7</v>
          </cell>
          <cell r="F25">
            <v>13</v>
          </cell>
          <cell r="G25">
            <v>6</v>
          </cell>
          <cell r="H25" t="str">
            <v>CG82</v>
          </cell>
          <cell r="I25" t="str">
            <v>CG87</v>
          </cell>
          <cell r="J25" t="str">
            <v>PE</v>
          </cell>
          <cell r="K25">
            <v>0</v>
          </cell>
          <cell r="L25">
            <v>0</v>
          </cell>
          <cell r="M25" t="str">
            <v>C8R/L</v>
          </cell>
          <cell r="N25" t="str">
            <v>P7A</v>
          </cell>
          <cell r="O25">
            <v>11</v>
          </cell>
        </row>
        <row r="26">
          <cell r="A26" t="str">
            <v>580-2415</v>
          </cell>
          <cell r="B26" t="str">
            <v>580-24PE15</v>
          </cell>
          <cell r="C26" t="str">
            <v>580-24</v>
          </cell>
          <cell r="D26">
            <v>7</v>
          </cell>
          <cell r="E26">
            <v>8</v>
          </cell>
          <cell r="F26">
            <v>15</v>
          </cell>
          <cell r="G26">
            <v>6</v>
          </cell>
          <cell r="H26" t="str">
            <v>CG80</v>
          </cell>
          <cell r="I26" t="str">
            <v>CG87</v>
          </cell>
          <cell r="J26" t="str">
            <v>PE</v>
          </cell>
          <cell r="K26">
            <v>0</v>
          </cell>
          <cell r="L26">
            <v>0</v>
          </cell>
          <cell r="M26" t="str">
            <v>C8R/L</v>
          </cell>
          <cell r="N26" t="str">
            <v>P8</v>
          </cell>
          <cell r="O26">
            <v>12.3</v>
          </cell>
        </row>
        <row r="27">
          <cell r="A27" t="str">
            <v>588-2717</v>
          </cell>
          <cell r="B27" t="str">
            <v>588-27PE17</v>
          </cell>
          <cell r="C27" t="str">
            <v>588-27</v>
          </cell>
          <cell r="D27">
            <v>8</v>
          </cell>
          <cell r="E27">
            <v>9</v>
          </cell>
          <cell r="F27">
            <v>17</v>
          </cell>
          <cell r="G27">
            <v>6</v>
          </cell>
          <cell r="H27" t="str">
            <v>CG82</v>
          </cell>
          <cell r="I27" t="str">
            <v>CG87</v>
          </cell>
          <cell r="J27" t="str">
            <v>PE</v>
          </cell>
          <cell r="K27">
            <v>0</v>
          </cell>
          <cell r="L27">
            <v>0</v>
          </cell>
          <cell r="M27" t="str">
            <v>C8R/L</v>
          </cell>
          <cell r="N27" t="str">
            <v>P8</v>
          </cell>
          <cell r="O27">
            <v>13.3</v>
          </cell>
        </row>
        <row r="28">
          <cell r="A28" t="str">
            <v>588-2715</v>
          </cell>
          <cell r="B28" t="str">
            <v>588-27PE15</v>
          </cell>
          <cell r="C28" t="str">
            <v>588-27</v>
          </cell>
          <cell r="D28">
            <v>7</v>
          </cell>
          <cell r="E28">
            <v>8</v>
          </cell>
          <cell r="F28">
            <v>15</v>
          </cell>
          <cell r="G28">
            <v>6</v>
          </cell>
          <cell r="H28" t="str">
            <v>CG82</v>
          </cell>
          <cell r="I28" t="str">
            <v>CG87</v>
          </cell>
          <cell r="J28" t="str">
            <v>PE</v>
          </cell>
          <cell r="K28">
            <v>0</v>
          </cell>
          <cell r="L28">
            <v>0</v>
          </cell>
          <cell r="M28" t="str">
            <v>C8R/L</v>
          </cell>
          <cell r="N28" t="str">
            <v>P8</v>
          </cell>
          <cell r="O28">
            <v>13.3</v>
          </cell>
        </row>
        <row r="29">
          <cell r="A29" t="str">
            <v>600-3821</v>
          </cell>
          <cell r="B29" t="str">
            <v>600-38PE21</v>
          </cell>
          <cell r="C29" t="str">
            <v>600-38</v>
          </cell>
          <cell r="D29">
            <v>10</v>
          </cell>
          <cell r="E29">
            <v>11</v>
          </cell>
          <cell r="F29">
            <v>21</v>
          </cell>
          <cell r="G29">
            <v>6</v>
          </cell>
          <cell r="H29" t="str">
            <v>CG82</v>
          </cell>
          <cell r="I29" t="str">
            <v>CG87</v>
          </cell>
          <cell r="J29" t="str">
            <v>PE</v>
          </cell>
          <cell r="K29">
            <v>0</v>
          </cell>
          <cell r="L29">
            <v>0</v>
          </cell>
          <cell r="M29" t="str">
            <v>C8R/L</v>
          </cell>
          <cell r="N29" t="str">
            <v>P8</v>
          </cell>
          <cell r="O29">
            <v>15.7</v>
          </cell>
        </row>
        <row r="30">
          <cell r="A30" t="str">
            <v>6D13517</v>
          </cell>
          <cell r="B30" t="str">
            <v>6D135PE17</v>
          </cell>
          <cell r="C30" t="str">
            <v>6D135</v>
          </cell>
          <cell r="D30">
            <v>8</v>
          </cell>
          <cell r="E30">
            <v>9</v>
          </cell>
          <cell r="F30">
            <v>17</v>
          </cell>
          <cell r="G30">
            <v>3</v>
          </cell>
          <cell r="H30" t="str">
            <v>DF72</v>
          </cell>
          <cell r="I30" t="str">
            <v>DF78</v>
          </cell>
          <cell r="J30" t="str">
            <v>PE</v>
          </cell>
          <cell r="K30">
            <v>0</v>
          </cell>
          <cell r="L30">
            <v>0</v>
          </cell>
          <cell r="M30" t="str">
            <v>C12G2R/L</v>
          </cell>
          <cell r="N30" t="str">
            <v>P1350</v>
          </cell>
          <cell r="O30">
            <v>0</v>
          </cell>
        </row>
        <row r="31">
          <cell r="A31" t="str">
            <v>6D13519</v>
          </cell>
          <cell r="B31" t="str">
            <v>6D135PE19</v>
          </cell>
          <cell r="C31" t="str">
            <v>6D135</v>
          </cell>
          <cell r="D31">
            <v>9</v>
          </cell>
          <cell r="E31">
            <v>10</v>
          </cell>
          <cell r="F31">
            <v>19</v>
          </cell>
          <cell r="G31">
            <v>3</v>
          </cell>
          <cell r="H31" t="str">
            <v>DF72</v>
          </cell>
          <cell r="I31" t="str">
            <v>DF78</v>
          </cell>
          <cell r="J31" t="str">
            <v>PE</v>
          </cell>
          <cell r="K31">
            <v>0</v>
          </cell>
          <cell r="L31">
            <v>0</v>
          </cell>
          <cell r="M31" t="str">
            <v>C12G2R/L</v>
          </cell>
          <cell r="N31" t="str">
            <v>P1350</v>
          </cell>
          <cell r="O31">
            <v>0</v>
          </cell>
        </row>
        <row r="32">
          <cell r="A32" t="str">
            <v>80D26L14</v>
          </cell>
          <cell r="B32" t="str">
            <v>80D26LPE14</v>
          </cell>
          <cell r="C32" t="str">
            <v>80D26L</v>
          </cell>
          <cell r="D32">
            <v>7</v>
          </cell>
          <cell r="E32">
            <v>7</v>
          </cell>
          <cell r="F32">
            <v>14</v>
          </cell>
          <cell r="G32">
            <v>6</v>
          </cell>
          <cell r="H32" t="str">
            <v>CG82</v>
          </cell>
          <cell r="I32" t="str">
            <v>CG87</v>
          </cell>
          <cell r="J32" t="str">
            <v>PE</v>
          </cell>
          <cell r="K32">
            <v>0</v>
          </cell>
          <cell r="L32">
            <v>0</v>
          </cell>
          <cell r="M32" t="str">
            <v>C5C R/L</v>
          </cell>
          <cell r="N32" t="str">
            <v>P5G</v>
          </cell>
          <cell r="O32">
            <v>10.4</v>
          </cell>
        </row>
        <row r="33">
          <cell r="A33" t="str">
            <v>80D26R14</v>
          </cell>
          <cell r="B33" t="str">
            <v>80D26RPE14</v>
          </cell>
          <cell r="C33" t="str">
            <v>80D26R</v>
          </cell>
          <cell r="D33">
            <v>7</v>
          </cell>
          <cell r="E33">
            <v>7</v>
          </cell>
          <cell r="F33">
            <v>14</v>
          </cell>
          <cell r="G33">
            <v>6</v>
          </cell>
          <cell r="H33" t="str">
            <v>CG82</v>
          </cell>
          <cell r="I33" t="str">
            <v>CG87</v>
          </cell>
          <cell r="J33" t="str">
            <v>PE</v>
          </cell>
          <cell r="K33">
            <v>0</v>
          </cell>
          <cell r="L33">
            <v>0</v>
          </cell>
          <cell r="M33" t="str">
            <v>C5C R/L</v>
          </cell>
          <cell r="N33" t="str">
            <v>P5G</v>
          </cell>
          <cell r="O33">
            <v>10.4</v>
          </cell>
        </row>
        <row r="34">
          <cell r="A34" t="str">
            <v>8D9015</v>
          </cell>
          <cell r="B34" t="str">
            <v>8D90PE15</v>
          </cell>
          <cell r="C34" t="str">
            <v>8D90</v>
          </cell>
          <cell r="D34">
            <v>7</v>
          </cell>
          <cell r="E34">
            <v>8</v>
          </cell>
          <cell r="F34">
            <v>15</v>
          </cell>
          <cell r="G34">
            <v>4</v>
          </cell>
          <cell r="H34" t="str">
            <v>DF72</v>
          </cell>
          <cell r="I34" t="str">
            <v>DF78</v>
          </cell>
          <cell r="J34" t="str">
            <v>PE</v>
          </cell>
          <cell r="K34">
            <v>0</v>
          </cell>
          <cell r="L34">
            <v>0</v>
          </cell>
          <cell r="M34" t="str">
            <v>C12G2R/L</v>
          </cell>
          <cell r="N34" t="str">
            <v>P1356</v>
          </cell>
          <cell r="O34">
            <v>0</v>
          </cell>
        </row>
        <row r="35">
          <cell r="A35" t="str">
            <v>MF12N249</v>
          </cell>
          <cell r="B35" t="str">
            <v>MF12N24PE9</v>
          </cell>
          <cell r="C35" t="str">
            <v>MF12N24</v>
          </cell>
          <cell r="D35">
            <v>4</v>
          </cell>
          <cell r="E35">
            <v>5</v>
          </cell>
          <cell r="F35">
            <v>9</v>
          </cell>
          <cell r="G35">
            <v>6</v>
          </cell>
          <cell r="H35" t="str">
            <v>YL80</v>
          </cell>
          <cell r="I35" t="str">
            <v>YL84</v>
          </cell>
          <cell r="J35" t="str">
            <v>PE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MF55D23L11</v>
          </cell>
          <cell r="B36" t="str">
            <v>MF55D23LPE11</v>
          </cell>
          <cell r="C36" t="str">
            <v>MF55D23L</v>
          </cell>
          <cell r="D36">
            <v>5</v>
          </cell>
          <cell r="E36">
            <v>6</v>
          </cell>
          <cell r="F36">
            <v>11</v>
          </cell>
          <cell r="G36">
            <v>6</v>
          </cell>
          <cell r="H36" t="str">
            <v>YG80</v>
          </cell>
          <cell r="I36" t="str">
            <v>YG85</v>
          </cell>
          <cell r="J36" t="str">
            <v>PE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9.6999999999999993</v>
          </cell>
        </row>
        <row r="37">
          <cell r="A37" t="str">
            <v>MF55D2311</v>
          </cell>
          <cell r="B37" t="str">
            <v>MF55D23PE11</v>
          </cell>
          <cell r="C37" t="str">
            <v>MF55D23</v>
          </cell>
          <cell r="D37">
            <v>5</v>
          </cell>
          <cell r="E37">
            <v>6</v>
          </cell>
          <cell r="F37">
            <v>11</v>
          </cell>
          <cell r="G37">
            <v>6</v>
          </cell>
          <cell r="H37" t="str">
            <v>YG80</v>
          </cell>
          <cell r="I37" t="str">
            <v>YG85</v>
          </cell>
          <cell r="J37" t="str">
            <v>PE</v>
          </cell>
          <cell r="K37">
            <v>0</v>
          </cell>
          <cell r="L37">
            <v>0</v>
          </cell>
          <cell r="M37" t="str">
            <v>C5DL/R</v>
          </cell>
          <cell r="N37" t="str">
            <v>P7T</v>
          </cell>
          <cell r="O37">
            <v>0</v>
          </cell>
        </row>
        <row r="38">
          <cell r="A38" t="str">
            <v>MF55D2314</v>
          </cell>
          <cell r="B38" t="str">
            <v>MF55D23PE14</v>
          </cell>
          <cell r="C38" t="str">
            <v>MF55D23</v>
          </cell>
          <cell r="D38">
            <v>7</v>
          </cell>
          <cell r="E38">
            <v>7</v>
          </cell>
          <cell r="F38">
            <v>14</v>
          </cell>
          <cell r="G38">
            <v>6</v>
          </cell>
          <cell r="H38" t="str">
            <v>YG85</v>
          </cell>
          <cell r="I38" t="str">
            <v>YG85</v>
          </cell>
          <cell r="J38" t="str">
            <v>PE</v>
          </cell>
          <cell r="K38">
            <v>0</v>
          </cell>
          <cell r="L38">
            <v>0</v>
          </cell>
          <cell r="M38" t="str">
            <v>C5DL/R</v>
          </cell>
          <cell r="N38" t="str">
            <v>P7T</v>
          </cell>
          <cell r="O38">
            <v>0</v>
          </cell>
        </row>
        <row r="39">
          <cell r="A39" t="str">
            <v>MF555-6510</v>
          </cell>
          <cell r="B39" t="str">
            <v>MF555-65PE10</v>
          </cell>
          <cell r="C39" t="str">
            <v>MF555-65</v>
          </cell>
          <cell r="D39">
            <v>5</v>
          </cell>
          <cell r="E39">
            <v>5</v>
          </cell>
          <cell r="F39">
            <v>10</v>
          </cell>
          <cell r="G39">
            <v>6</v>
          </cell>
          <cell r="H39" t="str">
            <v>YG82HD</v>
          </cell>
          <cell r="I39" t="str">
            <v>YG85</v>
          </cell>
          <cell r="J39" t="str">
            <v>PE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15.353999999999999</v>
          </cell>
        </row>
        <row r="40">
          <cell r="A40" t="str">
            <v>MF555-5910</v>
          </cell>
          <cell r="B40" t="str">
            <v>MF555-59PE10</v>
          </cell>
          <cell r="C40" t="str">
            <v>MF555-59</v>
          </cell>
          <cell r="D40">
            <v>5</v>
          </cell>
          <cell r="E40">
            <v>5</v>
          </cell>
          <cell r="F40">
            <v>10</v>
          </cell>
          <cell r="G40">
            <v>6</v>
          </cell>
          <cell r="H40" t="str">
            <v>YG82HD</v>
          </cell>
          <cell r="I40" t="str">
            <v>YG85</v>
          </cell>
          <cell r="J40" t="str">
            <v>PE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15.353999999999999</v>
          </cell>
        </row>
        <row r="41">
          <cell r="A41" t="str">
            <v>MF566-3813</v>
          </cell>
          <cell r="B41" t="str">
            <v>MF566-38PE13</v>
          </cell>
          <cell r="C41" t="str">
            <v>MF566-38</v>
          </cell>
          <cell r="D41">
            <v>6</v>
          </cell>
          <cell r="E41">
            <v>7</v>
          </cell>
          <cell r="F41">
            <v>13</v>
          </cell>
          <cell r="G41">
            <v>6</v>
          </cell>
          <cell r="H41" t="str">
            <v>YG82HD</v>
          </cell>
          <cell r="I41" t="str">
            <v>YG85</v>
          </cell>
          <cell r="J41" t="str">
            <v>PE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7002741</v>
          </cell>
          <cell r="B42" t="str">
            <v>70027PE41</v>
          </cell>
          <cell r="C42">
            <v>70027</v>
          </cell>
          <cell r="D42">
            <v>21</v>
          </cell>
          <cell r="E42">
            <v>20</v>
          </cell>
          <cell r="F42">
            <v>41</v>
          </cell>
          <cell r="G42">
            <v>6</v>
          </cell>
          <cell r="H42" t="str">
            <v>CG80</v>
          </cell>
          <cell r="I42" t="str">
            <v>CG85</v>
          </cell>
          <cell r="J42" t="str">
            <v>PE</v>
          </cell>
          <cell r="K42">
            <v>0</v>
          </cell>
          <cell r="L42">
            <v>0</v>
          </cell>
          <cell r="M42" t="str">
            <v>C15CL/R</v>
          </cell>
          <cell r="N42" t="str">
            <v>P14569</v>
          </cell>
          <cell r="O42">
            <v>0</v>
          </cell>
        </row>
        <row r="43">
          <cell r="A43" t="str">
            <v>DINC41</v>
          </cell>
          <cell r="B43" t="str">
            <v>DINCPE41</v>
          </cell>
          <cell r="C43" t="str">
            <v>DINC</v>
          </cell>
          <cell r="D43">
            <v>21</v>
          </cell>
          <cell r="E43">
            <v>20</v>
          </cell>
          <cell r="F43">
            <v>41</v>
          </cell>
          <cell r="G43">
            <v>6</v>
          </cell>
          <cell r="H43" t="str">
            <v>CG80</v>
          </cell>
          <cell r="I43" t="str">
            <v>CG85</v>
          </cell>
          <cell r="J43" t="str">
            <v>PE</v>
          </cell>
          <cell r="K43">
            <v>0</v>
          </cell>
          <cell r="L43">
            <v>0</v>
          </cell>
          <cell r="M43" t="str">
            <v>C15CL/R</v>
          </cell>
          <cell r="N43" t="str">
            <v>P14569</v>
          </cell>
          <cell r="O43">
            <v>0</v>
          </cell>
        </row>
        <row r="44">
          <cell r="A44" t="str">
            <v>MFNS409</v>
          </cell>
          <cell r="B44" t="str">
            <v>MFNS40PE9</v>
          </cell>
          <cell r="C44" t="str">
            <v>MFNS40</v>
          </cell>
          <cell r="D44">
            <v>4</v>
          </cell>
          <cell r="E44">
            <v>5</v>
          </cell>
          <cell r="F44">
            <v>9</v>
          </cell>
          <cell r="G44">
            <v>6</v>
          </cell>
          <cell r="H44" t="str">
            <v>YM84</v>
          </cell>
          <cell r="I44" t="str">
            <v>YM84</v>
          </cell>
          <cell r="J44" t="str">
            <v>PE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MFNS40Z11</v>
          </cell>
          <cell r="B45" t="str">
            <v>MFNS40ZPE11</v>
          </cell>
          <cell r="C45" t="str">
            <v>MFNS40Z</v>
          </cell>
          <cell r="D45">
            <v>5</v>
          </cell>
          <cell r="E45">
            <v>6</v>
          </cell>
          <cell r="F45">
            <v>11</v>
          </cell>
          <cell r="G45">
            <v>6</v>
          </cell>
          <cell r="H45" t="str">
            <v>YM84</v>
          </cell>
          <cell r="I45" t="str">
            <v>YM84</v>
          </cell>
          <cell r="J45" t="str">
            <v>PE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>MFNS40ZL9</v>
          </cell>
          <cell r="B46" t="str">
            <v>MFNS40ZLPE9</v>
          </cell>
          <cell r="C46" t="str">
            <v>MFNS40ZL</v>
          </cell>
          <cell r="D46">
            <v>4</v>
          </cell>
          <cell r="E46">
            <v>5</v>
          </cell>
          <cell r="F46">
            <v>9</v>
          </cell>
          <cell r="G46">
            <v>6</v>
          </cell>
          <cell r="H46" t="str">
            <v>YM84</v>
          </cell>
          <cell r="I46" t="str">
            <v>YM84</v>
          </cell>
          <cell r="J46" t="str">
            <v>PE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>MFNS40ZL11</v>
          </cell>
          <cell r="B47" t="str">
            <v>MFNS40ZLPE11</v>
          </cell>
          <cell r="C47" t="str">
            <v>MFNS40ZL</v>
          </cell>
          <cell r="D47">
            <v>5</v>
          </cell>
          <cell r="E47">
            <v>6</v>
          </cell>
          <cell r="F47">
            <v>11</v>
          </cell>
          <cell r="G47">
            <v>6</v>
          </cell>
          <cell r="H47" t="str">
            <v>YM84</v>
          </cell>
          <cell r="I47" t="str">
            <v>YM84</v>
          </cell>
          <cell r="J47" t="str">
            <v>PE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MFNS40L9</v>
          </cell>
          <cell r="B48" t="str">
            <v>MFNS40LPE9</v>
          </cell>
          <cell r="C48" t="str">
            <v>MFNS40L</v>
          </cell>
          <cell r="D48">
            <v>4</v>
          </cell>
          <cell r="E48">
            <v>5</v>
          </cell>
          <cell r="F48">
            <v>9</v>
          </cell>
          <cell r="G48">
            <v>6</v>
          </cell>
          <cell r="H48" t="str">
            <v>YM84</v>
          </cell>
          <cell r="I48" t="str">
            <v>YM84</v>
          </cell>
          <cell r="J48" t="str">
            <v>PE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MFN409</v>
          </cell>
          <cell r="B49" t="str">
            <v>MFN40PE9</v>
          </cell>
          <cell r="C49" t="str">
            <v>MFN40</v>
          </cell>
          <cell r="D49">
            <v>4</v>
          </cell>
          <cell r="E49">
            <v>5</v>
          </cell>
          <cell r="F49">
            <v>9</v>
          </cell>
          <cell r="G49">
            <v>6</v>
          </cell>
          <cell r="H49" t="str">
            <v>YM84</v>
          </cell>
          <cell r="I49" t="str">
            <v>YM84</v>
          </cell>
          <cell r="J49" t="str">
            <v>PE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>MFN4011</v>
          </cell>
          <cell r="B50" t="str">
            <v>MFN40PE11</v>
          </cell>
          <cell r="C50" t="str">
            <v>MFN40</v>
          </cell>
          <cell r="D50">
            <v>5</v>
          </cell>
          <cell r="E50">
            <v>6</v>
          </cell>
          <cell r="F50">
            <v>11</v>
          </cell>
          <cell r="G50">
            <v>6</v>
          </cell>
          <cell r="H50" t="str">
            <v>YM84</v>
          </cell>
          <cell r="I50" t="str">
            <v>YM84</v>
          </cell>
          <cell r="J50" t="str">
            <v>PE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>MFN40L11</v>
          </cell>
          <cell r="B51" t="str">
            <v>MFN40LPE11</v>
          </cell>
          <cell r="C51" t="str">
            <v>MFN40L</v>
          </cell>
          <cell r="D51">
            <v>5</v>
          </cell>
          <cell r="E51">
            <v>6</v>
          </cell>
          <cell r="F51">
            <v>11</v>
          </cell>
          <cell r="G51">
            <v>6</v>
          </cell>
          <cell r="H51" t="str">
            <v>YM84</v>
          </cell>
          <cell r="I51" t="str">
            <v>YM84</v>
          </cell>
          <cell r="J51" t="str">
            <v>PE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>MFNS60L11</v>
          </cell>
          <cell r="B52" t="str">
            <v>MFNS60LPE11</v>
          </cell>
          <cell r="C52" t="str">
            <v>MFNS60L</v>
          </cell>
          <cell r="D52">
            <v>5</v>
          </cell>
          <cell r="E52">
            <v>6</v>
          </cell>
          <cell r="F52">
            <v>11</v>
          </cell>
          <cell r="G52">
            <v>6</v>
          </cell>
          <cell r="H52" t="str">
            <v>YM84</v>
          </cell>
          <cell r="I52" t="str">
            <v>YM84</v>
          </cell>
          <cell r="J52" t="str">
            <v>PE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>MFNS60LS11</v>
          </cell>
          <cell r="B53" t="str">
            <v>MFNS60LSPE11</v>
          </cell>
          <cell r="C53" t="str">
            <v>MFNS60LS</v>
          </cell>
          <cell r="D53">
            <v>5</v>
          </cell>
          <cell r="E53">
            <v>6</v>
          </cell>
          <cell r="F53">
            <v>11</v>
          </cell>
          <cell r="G53">
            <v>6</v>
          </cell>
          <cell r="H53" t="str">
            <v>YM84</v>
          </cell>
          <cell r="I53" t="str">
            <v>YM84</v>
          </cell>
          <cell r="J53" t="str">
            <v>PE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>MFNS6011</v>
          </cell>
          <cell r="B54" t="str">
            <v>MFNS60PE11</v>
          </cell>
          <cell r="C54" t="str">
            <v>MFNS60</v>
          </cell>
          <cell r="D54">
            <v>6</v>
          </cell>
          <cell r="E54">
            <v>5</v>
          </cell>
          <cell r="F54">
            <v>11</v>
          </cell>
          <cell r="G54">
            <v>6</v>
          </cell>
          <cell r="H54" t="str">
            <v>YM84</v>
          </cell>
          <cell r="I54" t="str">
            <v>YM84</v>
          </cell>
          <cell r="J54" t="str">
            <v>PE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>MFNS6012</v>
          </cell>
          <cell r="B55" t="str">
            <v>MFNS60PE12</v>
          </cell>
          <cell r="C55" t="str">
            <v>MFNS60</v>
          </cell>
          <cell r="D55">
            <v>6</v>
          </cell>
          <cell r="E55">
            <v>6</v>
          </cell>
          <cell r="F55">
            <v>12</v>
          </cell>
          <cell r="G55">
            <v>6</v>
          </cell>
          <cell r="H55" t="str">
            <v>YM84</v>
          </cell>
          <cell r="I55" t="str">
            <v>YM84</v>
          </cell>
          <cell r="J55" t="str">
            <v>PE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>MFNS60S12</v>
          </cell>
          <cell r="B56" t="str">
            <v>MFNS60SPE12</v>
          </cell>
          <cell r="C56" t="str">
            <v>MFNS60S</v>
          </cell>
          <cell r="D56">
            <v>6</v>
          </cell>
          <cell r="E56">
            <v>6</v>
          </cell>
          <cell r="F56">
            <v>12</v>
          </cell>
          <cell r="G56">
            <v>6</v>
          </cell>
          <cell r="H56" t="str">
            <v>YM84</v>
          </cell>
          <cell r="I56" t="str">
            <v>YM84</v>
          </cell>
          <cell r="J56" t="str">
            <v>PE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MFNS60LS12</v>
          </cell>
          <cell r="B57" t="str">
            <v>MFNS60LSPE12</v>
          </cell>
          <cell r="C57" t="str">
            <v>MFNS60LS</v>
          </cell>
          <cell r="D57">
            <v>6</v>
          </cell>
          <cell r="E57">
            <v>6</v>
          </cell>
          <cell r="F57">
            <v>12</v>
          </cell>
          <cell r="G57">
            <v>6</v>
          </cell>
          <cell r="H57" t="str">
            <v>YM84</v>
          </cell>
          <cell r="I57" t="str">
            <v>YM84</v>
          </cell>
          <cell r="J57" t="str">
            <v>PE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A58" t="str">
            <v>MFNS60L12</v>
          </cell>
          <cell r="B58" t="str">
            <v>MFNS60LPE12</v>
          </cell>
          <cell r="C58" t="str">
            <v>MFNS60L</v>
          </cell>
          <cell r="D58">
            <v>6</v>
          </cell>
          <cell r="E58">
            <v>6</v>
          </cell>
          <cell r="F58">
            <v>12</v>
          </cell>
          <cell r="G58">
            <v>6</v>
          </cell>
          <cell r="H58" t="str">
            <v>YM84</v>
          </cell>
          <cell r="I58" t="str">
            <v>YM84</v>
          </cell>
          <cell r="J58" t="str">
            <v>PE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A59" t="str">
            <v>MFN50Z11</v>
          </cell>
          <cell r="B59" t="str">
            <v>MFN50ZPE11</v>
          </cell>
          <cell r="C59" t="str">
            <v>MFN50Z</v>
          </cell>
          <cell r="D59">
            <v>5</v>
          </cell>
          <cell r="E59">
            <v>6</v>
          </cell>
          <cell r="F59">
            <v>11</v>
          </cell>
          <cell r="G59">
            <v>6</v>
          </cell>
          <cell r="H59" t="str">
            <v>YG82</v>
          </cell>
          <cell r="I59" t="str">
            <v>YG85</v>
          </cell>
          <cell r="J59" t="str">
            <v>PE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 t="str">
            <v>N50ZLG11</v>
          </cell>
          <cell r="B60" t="str">
            <v>N50ZLGPE11</v>
          </cell>
          <cell r="C60" t="str">
            <v>N50ZLG</v>
          </cell>
          <cell r="D60">
            <v>5</v>
          </cell>
          <cell r="E60">
            <v>6</v>
          </cell>
          <cell r="F60">
            <v>11</v>
          </cell>
          <cell r="G60">
            <v>6</v>
          </cell>
          <cell r="H60" t="str">
            <v>CG85</v>
          </cell>
          <cell r="I60" t="str">
            <v>YG87</v>
          </cell>
          <cell r="J60" t="str">
            <v>PE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A61" t="str">
            <v>MFNS7013</v>
          </cell>
          <cell r="B61" t="str">
            <v>MFNS70PE13</v>
          </cell>
          <cell r="C61" t="str">
            <v>MFNS70</v>
          </cell>
          <cell r="D61">
            <v>6</v>
          </cell>
          <cell r="E61">
            <v>7</v>
          </cell>
          <cell r="F61">
            <v>13</v>
          </cell>
          <cell r="G61">
            <v>6</v>
          </cell>
          <cell r="H61" t="str">
            <v>YG82</v>
          </cell>
          <cell r="I61" t="str">
            <v>YG85</v>
          </cell>
          <cell r="J61" t="str">
            <v>PE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11.4</v>
          </cell>
        </row>
        <row r="62">
          <cell r="A62" t="str">
            <v>MFNS70L13</v>
          </cell>
          <cell r="B62" t="str">
            <v>MFNS70LPE13</v>
          </cell>
          <cell r="C62" t="str">
            <v>MFNS70L</v>
          </cell>
          <cell r="D62">
            <v>6</v>
          </cell>
          <cell r="E62">
            <v>7</v>
          </cell>
          <cell r="F62">
            <v>13</v>
          </cell>
          <cell r="G62">
            <v>6</v>
          </cell>
          <cell r="H62" t="str">
            <v>YG82</v>
          </cell>
          <cell r="I62" t="str">
            <v>YG85</v>
          </cell>
          <cell r="J62" t="str">
            <v>PE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11.4</v>
          </cell>
        </row>
        <row r="63">
          <cell r="A63" t="str">
            <v>MFN7013</v>
          </cell>
          <cell r="B63" t="str">
            <v>MFN70PE13</v>
          </cell>
          <cell r="C63" t="str">
            <v>MFN70</v>
          </cell>
          <cell r="D63">
            <v>6</v>
          </cell>
          <cell r="E63">
            <v>7</v>
          </cell>
          <cell r="F63">
            <v>13</v>
          </cell>
          <cell r="G63">
            <v>6</v>
          </cell>
          <cell r="H63" t="str">
            <v>YG82</v>
          </cell>
          <cell r="I63" t="str">
            <v>YG85</v>
          </cell>
          <cell r="J63" t="str">
            <v>PE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13.1</v>
          </cell>
        </row>
        <row r="64">
          <cell r="A64" t="str">
            <v>MFN70Z15</v>
          </cell>
          <cell r="B64" t="str">
            <v>MFN70ZPE15</v>
          </cell>
          <cell r="C64" t="str">
            <v>MFN70Z</v>
          </cell>
          <cell r="D64">
            <v>7</v>
          </cell>
          <cell r="E64">
            <v>8</v>
          </cell>
          <cell r="F64">
            <v>15</v>
          </cell>
          <cell r="G64">
            <v>6</v>
          </cell>
          <cell r="H64" t="str">
            <v>YG82</v>
          </cell>
          <cell r="I64" t="str">
            <v>YG85</v>
          </cell>
          <cell r="J64" t="str">
            <v>PE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14.3</v>
          </cell>
        </row>
        <row r="65">
          <cell r="A65" t="str">
            <v>MFN70L13</v>
          </cell>
          <cell r="B65" t="str">
            <v>MFN70LPE13</v>
          </cell>
          <cell r="C65" t="str">
            <v>MFN70L</v>
          </cell>
          <cell r="D65">
            <v>6</v>
          </cell>
          <cell r="E65">
            <v>7</v>
          </cell>
          <cell r="F65">
            <v>13</v>
          </cell>
          <cell r="G65">
            <v>6</v>
          </cell>
          <cell r="H65" t="str">
            <v>YG82</v>
          </cell>
          <cell r="I65" t="str">
            <v>YG85</v>
          </cell>
          <cell r="J65" t="str">
            <v>PE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13.1</v>
          </cell>
        </row>
        <row r="66">
          <cell r="A66" t="str">
            <v>MFN70Z15</v>
          </cell>
          <cell r="B66" t="str">
            <v>MFN70ZPE15</v>
          </cell>
          <cell r="C66" t="str">
            <v>MFN70Z</v>
          </cell>
          <cell r="D66">
            <v>7</v>
          </cell>
          <cell r="E66">
            <v>8</v>
          </cell>
          <cell r="F66">
            <v>15</v>
          </cell>
          <cell r="G66">
            <v>6</v>
          </cell>
          <cell r="H66" t="str">
            <v>YG82</v>
          </cell>
          <cell r="I66" t="str">
            <v>YG85</v>
          </cell>
          <cell r="J66" t="str">
            <v>PE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14.3</v>
          </cell>
        </row>
        <row r="67">
          <cell r="A67" t="str">
            <v>MFN70ZL15</v>
          </cell>
          <cell r="B67" t="str">
            <v>MFN70ZLPE15</v>
          </cell>
          <cell r="C67" t="str">
            <v>MFN70ZL</v>
          </cell>
          <cell r="D67">
            <v>7</v>
          </cell>
          <cell r="E67">
            <v>8</v>
          </cell>
          <cell r="F67">
            <v>15</v>
          </cell>
          <cell r="G67">
            <v>6</v>
          </cell>
          <cell r="H67" t="str">
            <v>YG82</v>
          </cell>
          <cell r="I67" t="str">
            <v>YG85</v>
          </cell>
          <cell r="J67" t="str">
            <v>PE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14.3</v>
          </cell>
        </row>
        <row r="68">
          <cell r="A68" t="str">
            <v>MFN70ZZ18</v>
          </cell>
          <cell r="B68" t="str">
            <v>MFN70ZZPE18</v>
          </cell>
          <cell r="C68" t="str">
            <v>MFN70ZZ</v>
          </cell>
          <cell r="D68">
            <v>9</v>
          </cell>
          <cell r="E68">
            <v>9</v>
          </cell>
          <cell r="F68">
            <v>18</v>
          </cell>
          <cell r="G68">
            <v>6</v>
          </cell>
          <cell r="H68" t="str">
            <v>YG82</v>
          </cell>
          <cell r="I68" t="str">
            <v>YG85</v>
          </cell>
          <cell r="J68" t="str">
            <v>PE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A69" t="str">
            <v>MFNX120-717</v>
          </cell>
          <cell r="B69" t="str">
            <v>MFNX120-7PE17</v>
          </cell>
          <cell r="C69" t="str">
            <v>MFNX120-7</v>
          </cell>
          <cell r="D69">
            <v>8</v>
          </cell>
          <cell r="E69">
            <v>9</v>
          </cell>
          <cell r="F69">
            <v>17</v>
          </cell>
          <cell r="G69">
            <v>6</v>
          </cell>
          <cell r="H69" t="str">
            <v>YG82</v>
          </cell>
          <cell r="I69" t="str">
            <v>YG87</v>
          </cell>
          <cell r="J69" t="str">
            <v>PE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21.7</v>
          </cell>
        </row>
        <row r="70">
          <cell r="A70" t="str">
            <v>MFNX120-717</v>
          </cell>
          <cell r="B70" t="str">
            <v>MFNX120-7PE17</v>
          </cell>
          <cell r="C70" t="str">
            <v>MFNX120-7</v>
          </cell>
          <cell r="D70">
            <v>8</v>
          </cell>
          <cell r="E70">
            <v>9</v>
          </cell>
          <cell r="F70">
            <v>17</v>
          </cell>
          <cell r="G70">
            <v>6</v>
          </cell>
          <cell r="H70" t="str">
            <v>YG82</v>
          </cell>
          <cell r="I70" t="str">
            <v>YG87</v>
          </cell>
          <cell r="J70" t="str">
            <v>PE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21.7</v>
          </cell>
        </row>
        <row r="71">
          <cell r="A71" t="str">
            <v>MFNX120-7A15</v>
          </cell>
          <cell r="B71" t="str">
            <v>MFNX120-7APE15</v>
          </cell>
          <cell r="C71" t="str">
            <v>MFNX120-7A</v>
          </cell>
          <cell r="D71">
            <v>7</v>
          </cell>
          <cell r="E71">
            <v>8</v>
          </cell>
          <cell r="F71">
            <v>15</v>
          </cell>
          <cell r="G71">
            <v>6</v>
          </cell>
          <cell r="H71" t="str">
            <v>YG82</v>
          </cell>
          <cell r="I71" t="str">
            <v>YG87</v>
          </cell>
          <cell r="J71" t="str">
            <v>PE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15.8</v>
          </cell>
        </row>
        <row r="72">
          <cell r="A72" t="str">
            <v>MFNX120-7L15</v>
          </cell>
          <cell r="B72" t="str">
            <v>MFNX120-7LPE15</v>
          </cell>
          <cell r="C72" t="str">
            <v>MFNX120-7L</v>
          </cell>
          <cell r="D72">
            <v>7</v>
          </cell>
          <cell r="E72">
            <v>8</v>
          </cell>
          <cell r="F72">
            <v>15</v>
          </cell>
          <cell r="G72">
            <v>6</v>
          </cell>
          <cell r="H72" t="str">
            <v>YG82</v>
          </cell>
          <cell r="I72" t="str">
            <v>YG87</v>
          </cell>
          <cell r="J72" t="str">
            <v>PE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15.8</v>
          </cell>
        </row>
        <row r="73">
          <cell r="A73" t="str">
            <v>MFNX120-7LA15</v>
          </cell>
          <cell r="B73" t="str">
            <v>MFNX120-7LAPE15</v>
          </cell>
          <cell r="C73" t="str">
            <v>MFNX120-7LA</v>
          </cell>
          <cell r="D73">
            <v>7</v>
          </cell>
          <cell r="E73">
            <v>8</v>
          </cell>
          <cell r="F73">
            <v>15</v>
          </cell>
          <cell r="G73">
            <v>6</v>
          </cell>
          <cell r="H73" t="str">
            <v>YG82</v>
          </cell>
          <cell r="I73" t="str">
            <v>YG87</v>
          </cell>
          <cell r="J73" t="str">
            <v>PE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15.8</v>
          </cell>
        </row>
        <row r="74">
          <cell r="A74" t="str">
            <v>MFN50L9</v>
          </cell>
          <cell r="B74" t="str">
            <v>MFN50LPE9</v>
          </cell>
          <cell r="C74" t="str">
            <v>MFN50L</v>
          </cell>
          <cell r="D74">
            <v>4</v>
          </cell>
          <cell r="E74">
            <v>5</v>
          </cell>
          <cell r="F74">
            <v>9</v>
          </cell>
          <cell r="G74">
            <v>6</v>
          </cell>
          <cell r="H74" t="str">
            <v>YG83</v>
          </cell>
          <cell r="I74" t="str">
            <v>YG86</v>
          </cell>
          <cell r="J74" t="str">
            <v>PE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15.7</v>
          </cell>
        </row>
        <row r="75">
          <cell r="A75" t="str">
            <v>MFN509</v>
          </cell>
          <cell r="B75" t="str">
            <v>MFN50PE9</v>
          </cell>
          <cell r="C75" t="str">
            <v>MFN50</v>
          </cell>
          <cell r="D75">
            <v>4</v>
          </cell>
          <cell r="E75">
            <v>5</v>
          </cell>
          <cell r="F75">
            <v>9</v>
          </cell>
          <cell r="G75">
            <v>6</v>
          </cell>
          <cell r="H75" t="str">
            <v>YG83</v>
          </cell>
          <cell r="I75" t="str">
            <v>YG86</v>
          </cell>
          <cell r="J75" t="str">
            <v>PE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15.7</v>
          </cell>
        </row>
        <row r="76">
          <cell r="A76" t="str">
            <v>MF80D26L14</v>
          </cell>
          <cell r="B76" t="str">
            <v>MF80D26LPE14</v>
          </cell>
          <cell r="C76" t="str">
            <v>MF80D26L</v>
          </cell>
          <cell r="D76">
            <v>7</v>
          </cell>
          <cell r="E76">
            <v>7</v>
          </cell>
          <cell r="F76">
            <v>14</v>
          </cell>
          <cell r="G76">
            <v>6</v>
          </cell>
          <cell r="H76" t="str">
            <v>YG85</v>
          </cell>
          <cell r="I76" t="str">
            <v>YG87</v>
          </cell>
          <cell r="J76" t="str">
            <v>PE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A77" t="str">
            <v>MF5751914</v>
          </cell>
          <cell r="B77" t="str">
            <v>MF57519PE14</v>
          </cell>
          <cell r="C77" t="str">
            <v>MF57519</v>
          </cell>
          <cell r="D77">
            <v>7</v>
          </cell>
          <cell r="E77">
            <v>7</v>
          </cell>
          <cell r="F77">
            <v>14</v>
          </cell>
          <cell r="G77">
            <v>6</v>
          </cell>
          <cell r="H77" t="str">
            <v>YG79HD</v>
          </cell>
          <cell r="I77" t="str">
            <v>YG85</v>
          </cell>
          <cell r="J77" t="str">
            <v>PE</v>
          </cell>
          <cell r="K77">
            <v>0</v>
          </cell>
          <cell r="L77">
            <v>0</v>
          </cell>
          <cell r="M77" t="str">
            <v>C5DL/R</v>
          </cell>
          <cell r="N77" t="str">
            <v>P8G2</v>
          </cell>
          <cell r="O77">
            <v>0</v>
          </cell>
        </row>
        <row r="78">
          <cell r="A78" t="str">
            <v>MF544598</v>
          </cell>
          <cell r="B78" t="str">
            <v>MF54459PE8</v>
          </cell>
          <cell r="C78" t="str">
            <v>MF54459</v>
          </cell>
          <cell r="D78">
            <v>3</v>
          </cell>
          <cell r="E78">
            <v>5</v>
          </cell>
          <cell r="F78">
            <v>8</v>
          </cell>
          <cell r="G78">
            <v>6</v>
          </cell>
          <cell r="H78" t="str">
            <v>YG82HD</v>
          </cell>
          <cell r="I78" t="str">
            <v>YG85</v>
          </cell>
          <cell r="J78" t="str">
            <v>PE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12.6</v>
          </cell>
        </row>
        <row r="79">
          <cell r="A79" t="str">
            <v>MF5451911</v>
          </cell>
          <cell r="B79" t="str">
            <v>MF54519PE11</v>
          </cell>
          <cell r="C79" t="str">
            <v>MF54519</v>
          </cell>
          <cell r="D79">
            <v>5</v>
          </cell>
          <cell r="E79">
            <v>6</v>
          </cell>
          <cell r="F79">
            <v>11</v>
          </cell>
          <cell r="G79">
            <v>6</v>
          </cell>
          <cell r="H79" t="str">
            <v>YG82HD</v>
          </cell>
          <cell r="I79" t="str">
            <v>YG85</v>
          </cell>
          <cell r="J79" t="str">
            <v>PE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12.6</v>
          </cell>
        </row>
        <row r="80">
          <cell r="A80" t="str">
            <v>MF555-5912</v>
          </cell>
          <cell r="B80" t="str">
            <v>MF555-59PE12</v>
          </cell>
          <cell r="C80" t="str">
            <v>MF555-59</v>
          </cell>
          <cell r="D80">
            <v>6</v>
          </cell>
          <cell r="E80">
            <v>6</v>
          </cell>
          <cell r="F80">
            <v>12</v>
          </cell>
          <cell r="G80">
            <v>6</v>
          </cell>
          <cell r="H80" t="str">
            <v>YG79HD</v>
          </cell>
          <cell r="I80" t="str">
            <v>YG85</v>
          </cell>
          <cell r="J80" t="str">
            <v>PE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A81" t="str">
            <v>MF555-6512</v>
          </cell>
          <cell r="B81" t="str">
            <v>MF555-65PE12</v>
          </cell>
          <cell r="C81" t="str">
            <v>MF555-65</v>
          </cell>
          <cell r="D81">
            <v>6</v>
          </cell>
          <cell r="E81">
            <v>6</v>
          </cell>
          <cell r="F81">
            <v>12</v>
          </cell>
          <cell r="G81">
            <v>6</v>
          </cell>
          <cell r="H81" t="str">
            <v>YG79HD</v>
          </cell>
          <cell r="I81" t="str">
            <v>YG85</v>
          </cell>
          <cell r="J81" t="str">
            <v>PE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 t="str">
            <v>MF56212</v>
          </cell>
          <cell r="B82" t="str">
            <v>MF562PE12</v>
          </cell>
          <cell r="C82" t="str">
            <v>MF562</v>
          </cell>
          <cell r="D82">
            <v>6</v>
          </cell>
          <cell r="E82">
            <v>6</v>
          </cell>
          <cell r="F82">
            <v>12</v>
          </cell>
          <cell r="G82">
            <v>6</v>
          </cell>
          <cell r="H82" t="str">
            <v>YG82HD</v>
          </cell>
          <cell r="I82" t="str">
            <v>YG85</v>
          </cell>
          <cell r="J82" t="str">
            <v>PE</v>
          </cell>
          <cell r="K82">
            <v>0</v>
          </cell>
          <cell r="L82">
            <v>0</v>
          </cell>
          <cell r="M82" t="str">
            <v>C5DL/R</v>
          </cell>
          <cell r="N82" t="str">
            <v>P8G2</v>
          </cell>
          <cell r="O82">
            <v>0</v>
          </cell>
        </row>
        <row r="83">
          <cell r="A83" t="str">
            <v>MFN50Z11</v>
          </cell>
          <cell r="B83" t="str">
            <v>MFN50Z11</v>
          </cell>
          <cell r="C83" t="str">
            <v>MFN50Z</v>
          </cell>
          <cell r="D83">
            <v>5</v>
          </cell>
          <cell r="E83">
            <v>6</v>
          </cell>
          <cell r="F83">
            <v>11</v>
          </cell>
          <cell r="G83">
            <v>6</v>
          </cell>
          <cell r="H83" t="str">
            <v>YG82</v>
          </cell>
          <cell r="I83" t="str">
            <v>YG85</v>
          </cell>
          <cell r="J83" t="str">
            <v>PE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16.7</v>
          </cell>
        </row>
        <row r="84">
          <cell r="A84" t="str">
            <v>MF588-2716</v>
          </cell>
          <cell r="B84" t="str">
            <v>MF58827L16</v>
          </cell>
          <cell r="C84" t="str">
            <v>MF588-27</v>
          </cell>
          <cell r="D84">
            <v>8</v>
          </cell>
          <cell r="E84">
            <v>8</v>
          </cell>
          <cell r="F84">
            <v>16</v>
          </cell>
          <cell r="G84">
            <v>6</v>
          </cell>
          <cell r="H84" t="str">
            <v>YG82HD</v>
          </cell>
          <cell r="I84" t="str">
            <v>YG85</v>
          </cell>
          <cell r="J84" t="str">
            <v>PE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14.87</v>
          </cell>
        </row>
        <row r="85">
          <cell r="A85" t="str">
            <v>MF566-3812</v>
          </cell>
          <cell r="B85" t="str">
            <v>MF566-38PE12</v>
          </cell>
          <cell r="C85" t="str">
            <v>MF566-38</v>
          </cell>
          <cell r="D85">
            <v>6</v>
          </cell>
          <cell r="E85">
            <v>6</v>
          </cell>
          <cell r="F85">
            <v>12</v>
          </cell>
          <cell r="G85">
            <v>6</v>
          </cell>
          <cell r="H85" t="str">
            <v>YG82HD</v>
          </cell>
          <cell r="I85" t="str">
            <v>YG85</v>
          </cell>
          <cell r="J85" t="str">
            <v>PE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12.6</v>
          </cell>
        </row>
        <row r="86">
          <cell r="A86" t="str">
            <v>N10015</v>
          </cell>
          <cell r="B86" t="str">
            <v>N100PE15</v>
          </cell>
          <cell r="C86" t="str">
            <v>N100</v>
          </cell>
          <cell r="D86">
            <v>7</v>
          </cell>
          <cell r="E86">
            <v>8</v>
          </cell>
          <cell r="F86">
            <v>15</v>
          </cell>
          <cell r="G86">
            <v>6</v>
          </cell>
          <cell r="H86" t="str">
            <v>CG80</v>
          </cell>
          <cell r="I86" t="str">
            <v>CG87</v>
          </cell>
          <cell r="J86" t="str">
            <v>PE</v>
          </cell>
          <cell r="K86">
            <v>0</v>
          </cell>
          <cell r="L86">
            <v>0</v>
          </cell>
          <cell r="M86" t="str">
            <v>C1227 R/L</v>
          </cell>
          <cell r="N86" t="str">
            <v>P10T</v>
          </cell>
          <cell r="O86">
            <v>14.9</v>
          </cell>
        </row>
        <row r="87">
          <cell r="A87" t="str">
            <v>N10017</v>
          </cell>
          <cell r="B87" t="str">
            <v>N100PULP17</v>
          </cell>
          <cell r="C87" t="str">
            <v>N100</v>
          </cell>
          <cell r="D87">
            <v>8</v>
          </cell>
          <cell r="E87">
            <v>9</v>
          </cell>
          <cell r="F87">
            <v>17</v>
          </cell>
          <cell r="G87">
            <v>6</v>
          </cell>
          <cell r="H87" t="str">
            <v>CG80</v>
          </cell>
          <cell r="I87" t="str">
            <v>CG87</v>
          </cell>
          <cell r="J87" t="str">
            <v>PULP</v>
          </cell>
          <cell r="K87">
            <v>0</v>
          </cell>
          <cell r="L87">
            <v>0</v>
          </cell>
          <cell r="M87" t="str">
            <v>C1227 R/L</v>
          </cell>
          <cell r="N87" t="str">
            <v>P10T</v>
          </cell>
          <cell r="O87">
            <v>14.9</v>
          </cell>
        </row>
        <row r="88">
          <cell r="A88" t="str">
            <v>MFN100L17</v>
          </cell>
          <cell r="B88" t="str">
            <v>MFN100LPE17</v>
          </cell>
          <cell r="C88" t="str">
            <v>MFN100L</v>
          </cell>
          <cell r="D88">
            <v>8</v>
          </cell>
          <cell r="E88">
            <v>9</v>
          </cell>
          <cell r="F88">
            <v>17</v>
          </cell>
          <cell r="G88">
            <v>6</v>
          </cell>
          <cell r="H88" t="str">
            <v>YG80</v>
          </cell>
          <cell r="I88" t="str">
            <v>YG85</v>
          </cell>
          <cell r="J88" t="str">
            <v>PE</v>
          </cell>
          <cell r="K88">
            <v>0</v>
          </cell>
          <cell r="L88">
            <v>0</v>
          </cell>
          <cell r="M88" t="str">
            <v>C1227 R/L</v>
          </cell>
          <cell r="N88" t="str">
            <v>P10T</v>
          </cell>
          <cell r="O88">
            <v>0</v>
          </cell>
        </row>
        <row r="89">
          <cell r="A89" t="str">
            <v>MFN10017</v>
          </cell>
          <cell r="B89" t="str">
            <v>MFN100PE17</v>
          </cell>
          <cell r="C89" t="str">
            <v>MFN100</v>
          </cell>
          <cell r="D89">
            <v>8</v>
          </cell>
          <cell r="E89">
            <v>9</v>
          </cell>
          <cell r="F89">
            <v>17</v>
          </cell>
          <cell r="G89">
            <v>6</v>
          </cell>
          <cell r="H89" t="str">
            <v>YG80</v>
          </cell>
          <cell r="I89" t="str">
            <v>YG85</v>
          </cell>
          <cell r="J89" t="str">
            <v>PE</v>
          </cell>
          <cell r="K89">
            <v>0</v>
          </cell>
          <cell r="L89">
            <v>0</v>
          </cell>
          <cell r="M89" t="str">
            <v>C1227 R/L</v>
          </cell>
          <cell r="N89" t="str">
            <v>P10T</v>
          </cell>
          <cell r="O89">
            <v>0</v>
          </cell>
        </row>
        <row r="90">
          <cell r="A90" t="str">
            <v>N10017</v>
          </cell>
          <cell r="B90" t="str">
            <v>N100PE17</v>
          </cell>
          <cell r="C90" t="str">
            <v>N100</v>
          </cell>
          <cell r="D90">
            <v>8</v>
          </cell>
          <cell r="E90">
            <v>9</v>
          </cell>
          <cell r="F90">
            <v>17</v>
          </cell>
          <cell r="G90">
            <v>6</v>
          </cell>
          <cell r="H90" t="str">
            <v>CG80</v>
          </cell>
          <cell r="I90" t="str">
            <v>CG87</v>
          </cell>
          <cell r="J90" t="str">
            <v>PE</v>
          </cell>
          <cell r="K90">
            <v>0</v>
          </cell>
          <cell r="L90">
            <v>0</v>
          </cell>
          <cell r="M90" t="str">
            <v>C1227 R/L</v>
          </cell>
          <cell r="N90" t="str">
            <v>P10T</v>
          </cell>
          <cell r="O90">
            <v>14.9</v>
          </cell>
        </row>
        <row r="91">
          <cell r="A91" t="str">
            <v>N100H21</v>
          </cell>
          <cell r="B91" t="str">
            <v>N100HPULP21</v>
          </cell>
          <cell r="C91" t="str">
            <v>N100H</v>
          </cell>
          <cell r="D91">
            <v>11</v>
          </cell>
          <cell r="E91">
            <v>10</v>
          </cell>
          <cell r="F91">
            <v>21</v>
          </cell>
          <cell r="G91">
            <v>6</v>
          </cell>
          <cell r="H91" t="str">
            <v>CG80</v>
          </cell>
          <cell r="I91" t="str">
            <v>CG85</v>
          </cell>
          <cell r="J91" t="str">
            <v>PULP</v>
          </cell>
          <cell r="K91">
            <v>0</v>
          </cell>
          <cell r="L91">
            <v>0</v>
          </cell>
          <cell r="M91" t="str">
            <v>C1227 R/L</v>
          </cell>
          <cell r="N91" t="str">
            <v>P10T</v>
          </cell>
          <cell r="O91">
            <v>14.9</v>
          </cell>
        </row>
        <row r="92">
          <cell r="A92" t="str">
            <v>N100L17</v>
          </cell>
          <cell r="B92" t="str">
            <v>N100LPULP17</v>
          </cell>
          <cell r="C92" t="str">
            <v>N100L</v>
          </cell>
          <cell r="D92">
            <v>8</v>
          </cell>
          <cell r="E92">
            <v>9</v>
          </cell>
          <cell r="F92">
            <v>17</v>
          </cell>
          <cell r="G92">
            <v>6</v>
          </cell>
          <cell r="H92" t="str">
            <v>CG80</v>
          </cell>
          <cell r="I92" t="str">
            <v>CG87</v>
          </cell>
          <cell r="J92" t="str">
            <v>PULP</v>
          </cell>
          <cell r="K92">
            <v>0</v>
          </cell>
          <cell r="L92">
            <v>0</v>
          </cell>
          <cell r="M92" t="str">
            <v>C1227 R/L</v>
          </cell>
          <cell r="N92" t="str">
            <v>P10T</v>
          </cell>
          <cell r="O92">
            <v>14.9</v>
          </cell>
        </row>
        <row r="93">
          <cell r="A93" t="str">
            <v>N100C20</v>
          </cell>
          <cell r="B93" t="str">
            <v>N100CPULP20</v>
          </cell>
          <cell r="C93" t="str">
            <v>N100C</v>
          </cell>
          <cell r="D93">
            <v>10</v>
          </cell>
          <cell r="E93">
            <v>10</v>
          </cell>
          <cell r="F93">
            <v>20</v>
          </cell>
          <cell r="G93">
            <v>6</v>
          </cell>
          <cell r="H93" t="str">
            <v>CG80</v>
          </cell>
          <cell r="I93" t="str">
            <v>CG85</v>
          </cell>
          <cell r="J93" t="str">
            <v>PULP</v>
          </cell>
          <cell r="K93">
            <v>0</v>
          </cell>
          <cell r="L93">
            <v>0</v>
          </cell>
          <cell r="M93" t="str">
            <v>C1227 R/L</v>
          </cell>
          <cell r="N93" t="str">
            <v>P10T</v>
          </cell>
          <cell r="O93">
            <v>14.9</v>
          </cell>
        </row>
        <row r="94">
          <cell r="A94" t="str">
            <v>N100L17</v>
          </cell>
          <cell r="B94" t="str">
            <v>N100LPE17</v>
          </cell>
          <cell r="C94" t="str">
            <v>N100L</v>
          </cell>
          <cell r="D94">
            <v>8</v>
          </cell>
          <cell r="E94">
            <v>9</v>
          </cell>
          <cell r="F94">
            <v>17</v>
          </cell>
          <cell r="G94">
            <v>6</v>
          </cell>
          <cell r="H94" t="str">
            <v>CG80</v>
          </cell>
          <cell r="I94" t="str">
            <v>CG87</v>
          </cell>
          <cell r="J94" t="str">
            <v>PE</v>
          </cell>
          <cell r="K94">
            <v>0</v>
          </cell>
          <cell r="L94">
            <v>0</v>
          </cell>
          <cell r="M94" t="str">
            <v>C1227 R/L</v>
          </cell>
          <cell r="N94" t="str">
            <v>P10T</v>
          </cell>
          <cell r="O94">
            <v>14.9</v>
          </cell>
        </row>
        <row r="95">
          <cell r="A95" t="str">
            <v>N100L15</v>
          </cell>
          <cell r="B95" t="str">
            <v>N100LPE15</v>
          </cell>
          <cell r="C95" t="str">
            <v>N100L</v>
          </cell>
          <cell r="D95">
            <v>7</v>
          </cell>
          <cell r="E95">
            <v>8</v>
          </cell>
          <cell r="F95">
            <v>15</v>
          </cell>
          <cell r="G95">
            <v>6</v>
          </cell>
          <cell r="H95" t="str">
            <v>CG80</v>
          </cell>
          <cell r="I95" t="str">
            <v>CG87</v>
          </cell>
          <cell r="J95" t="str">
            <v>PE</v>
          </cell>
          <cell r="K95">
            <v>0</v>
          </cell>
          <cell r="L95">
            <v>0</v>
          </cell>
          <cell r="M95" t="str">
            <v>C1227 R/L</v>
          </cell>
          <cell r="N95" t="str">
            <v>P10T</v>
          </cell>
          <cell r="O95">
            <v>14.9</v>
          </cell>
        </row>
        <row r="96">
          <cell r="A96" t="str">
            <v>N100T19</v>
          </cell>
          <cell r="B96" t="str">
            <v>N100TPE19</v>
          </cell>
          <cell r="C96" t="str">
            <v>N100T</v>
          </cell>
          <cell r="D96">
            <v>10</v>
          </cell>
          <cell r="E96">
            <v>9</v>
          </cell>
          <cell r="F96">
            <v>19</v>
          </cell>
          <cell r="G96">
            <v>6</v>
          </cell>
          <cell r="H96" t="str">
            <v>CG79</v>
          </cell>
          <cell r="I96" t="str">
            <v>CG84</v>
          </cell>
          <cell r="J96" t="str">
            <v>PE</v>
          </cell>
          <cell r="K96">
            <v>0</v>
          </cell>
          <cell r="L96">
            <v>0</v>
          </cell>
          <cell r="M96" t="str">
            <v>C1227 R/L</v>
          </cell>
          <cell r="N96" t="str">
            <v>P10T</v>
          </cell>
          <cell r="O96">
            <v>0</v>
          </cell>
        </row>
        <row r="97">
          <cell r="A97" t="str">
            <v>N12019</v>
          </cell>
          <cell r="B97" t="str">
            <v>N120PE19</v>
          </cell>
          <cell r="C97" t="str">
            <v>N120</v>
          </cell>
          <cell r="D97">
            <v>9</v>
          </cell>
          <cell r="E97">
            <v>10</v>
          </cell>
          <cell r="F97">
            <v>19</v>
          </cell>
          <cell r="G97">
            <v>6</v>
          </cell>
          <cell r="H97" t="str">
            <v>CG80</v>
          </cell>
          <cell r="I97" t="str">
            <v>CG87</v>
          </cell>
          <cell r="J97" t="str">
            <v>PE</v>
          </cell>
          <cell r="K97">
            <v>0</v>
          </cell>
          <cell r="L97">
            <v>0</v>
          </cell>
          <cell r="M97" t="str">
            <v>C12G2R/L</v>
          </cell>
          <cell r="N97" t="str">
            <v>P12G2</v>
          </cell>
          <cell r="O97">
            <v>18.3</v>
          </cell>
        </row>
        <row r="98">
          <cell r="A98" t="str">
            <v>N12021</v>
          </cell>
          <cell r="B98" t="str">
            <v>N120PE21</v>
          </cell>
          <cell r="C98" t="str">
            <v>N120</v>
          </cell>
          <cell r="D98">
            <v>10</v>
          </cell>
          <cell r="E98">
            <v>11</v>
          </cell>
          <cell r="F98">
            <v>21</v>
          </cell>
          <cell r="G98">
            <v>6</v>
          </cell>
          <cell r="H98" t="str">
            <v>CG80</v>
          </cell>
          <cell r="I98" t="str">
            <v>CG87</v>
          </cell>
          <cell r="J98" t="str">
            <v>PE</v>
          </cell>
          <cell r="K98">
            <v>0</v>
          </cell>
          <cell r="L98">
            <v>0</v>
          </cell>
          <cell r="M98" t="str">
            <v>C12G2R/L</v>
          </cell>
          <cell r="N98" t="str">
            <v>P12G2</v>
          </cell>
          <cell r="O98">
            <v>18.3</v>
          </cell>
        </row>
        <row r="99">
          <cell r="A99" t="str">
            <v>N12024</v>
          </cell>
          <cell r="B99" t="str">
            <v>N120PULP24</v>
          </cell>
          <cell r="C99" t="str">
            <v>N120</v>
          </cell>
          <cell r="D99">
            <v>12</v>
          </cell>
          <cell r="E99">
            <v>12</v>
          </cell>
          <cell r="F99">
            <v>24</v>
          </cell>
          <cell r="G99">
            <v>6</v>
          </cell>
          <cell r="H99" t="str">
            <v>CG80</v>
          </cell>
          <cell r="I99" t="str">
            <v>CG87</v>
          </cell>
          <cell r="J99" t="str">
            <v>PULP</v>
          </cell>
          <cell r="K99">
            <v>0</v>
          </cell>
          <cell r="L99">
            <v>0</v>
          </cell>
          <cell r="M99" t="str">
            <v>C12G2R/L</v>
          </cell>
          <cell r="N99" t="str">
            <v>P12G2</v>
          </cell>
          <cell r="O99">
            <v>18.3</v>
          </cell>
        </row>
        <row r="100">
          <cell r="A100" t="str">
            <v>N12021</v>
          </cell>
          <cell r="B100" t="str">
            <v>N120PULP21</v>
          </cell>
          <cell r="C100" t="str">
            <v>N120</v>
          </cell>
          <cell r="D100">
            <v>10</v>
          </cell>
          <cell r="E100">
            <v>11</v>
          </cell>
          <cell r="F100">
            <v>21</v>
          </cell>
          <cell r="G100">
            <v>6</v>
          </cell>
          <cell r="H100" t="str">
            <v>CG80</v>
          </cell>
          <cell r="I100" t="str">
            <v>CG87</v>
          </cell>
          <cell r="J100" t="str">
            <v>PULP</v>
          </cell>
          <cell r="K100">
            <v>0</v>
          </cell>
          <cell r="L100">
            <v>0</v>
          </cell>
          <cell r="M100" t="str">
            <v>C12G2R/L</v>
          </cell>
          <cell r="N100" t="str">
            <v>P12G2</v>
          </cell>
          <cell r="O100">
            <v>18.3</v>
          </cell>
        </row>
        <row r="101">
          <cell r="A101" t="str">
            <v>N120H25</v>
          </cell>
          <cell r="B101" t="str">
            <v>N120HPULP25</v>
          </cell>
          <cell r="C101" t="str">
            <v>N120H</v>
          </cell>
          <cell r="D101">
            <v>13</v>
          </cell>
          <cell r="E101">
            <v>12</v>
          </cell>
          <cell r="F101">
            <v>25</v>
          </cell>
          <cell r="G101">
            <v>6</v>
          </cell>
          <cell r="H101" t="str">
            <v>CG80</v>
          </cell>
          <cell r="I101" t="str">
            <v>CG85</v>
          </cell>
          <cell r="J101" t="str">
            <v>PULP</v>
          </cell>
          <cell r="K101">
            <v>0</v>
          </cell>
          <cell r="L101">
            <v>0</v>
          </cell>
          <cell r="M101" t="str">
            <v>C12G2R/L</v>
          </cell>
          <cell r="N101" t="str">
            <v>P12G2</v>
          </cell>
          <cell r="O101">
            <v>18.3</v>
          </cell>
        </row>
        <row r="102">
          <cell r="A102" t="str">
            <v>N120T21</v>
          </cell>
          <cell r="B102" t="str">
            <v>N120TPE21</v>
          </cell>
          <cell r="C102" t="str">
            <v>N120T</v>
          </cell>
          <cell r="D102">
            <v>11</v>
          </cell>
          <cell r="E102">
            <v>10</v>
          </cell>
          <cell r="F102">
            <v>21</v>
          </cell>
          <cell r="G102">
            <v>6</v>
          </cell>
          <cell r="H102" t="str">
            <v>CG79</v>
          </cell>
          <cell r="I102" t="str">
            <v>CG84</v>
          </cell>
          <cell r="J102" t="str">
            <v>PE</v>
          </cell>
          <cell r="K102">
            <v>0</v>
          </cell>
          <cell r="L102">
            <v>0</v>
          </cell>
          <cell r="M102" t="str">
            <v>C12G2R/L</v>
          </cell>
          <cell r="N102" t="str">
            <v>P12G2</v>
          </cell>
          <cell r="O102">
            <v>0</v>
          </cell>
        </row>
        <row r="103">
          <cell r="A103" t="str">
            <v>N15027</v>
          </cell>
          <cell r="B103" t="str">
            <v>N150PE27</v>
          </cell>
          <cell r="C103" t="str">
            <v>N150</v>
          </cell>
          <cell r="D103">
            <v>13</v>
          </cell>
          <cell r="E103">
            <v>14</v>
          </cell>
          <cell r="F103">
            <v>27</v>
          </cell>
          <cell r="G103">
            <v>6</v>
          </cell>
          <cell r="H103" t="str">
            <v>CG82</v>
          </cell>
          <cell r="I103" t="str">
            <v>CG87</v>
          </cell>
          <cell r="J103" t="str">
            <v>PE</v>
          </cell>
          <cell r="K103">
            <v>0</v>
          </cell>
          <cell r="L103">
            <v>0</v>
          </cell>
          <cell r="M103" t="str">
            <v>C15G2R/L</v>
          </cell>
          <cell r="N103" t="str">
            <v>P1683</v>
          </cell>
          <cell r="O103">
            <v>22.4</v>
          </cell>
        </row>
        <row r="104">
          <cell r="A104" t="str">
            <v>N15030</v>
          </cell>
          <cell r="B104" t="str">
            <v>N150PE30</v>
          </cell>
          <cell r="C104" t="str">
            <v>N150</v>
          </cell>
          <cell r="D104">
            <v>15</v>
          </cell>
          <cell r="E104">
            <v>15</v>
          </cell>
          <cell r="F104">
            <v>30</v>
          </cell>
          <cell r="G104">
            <v>6</v>
          </cell>
          <cell r="H104" t="str">
            <v>CG80</v>
          </cell>
          <cell r="I104" t="str">
            <v>CG85</v>
          </cell>
          <cell r="J104" t="str">
            <v>PE</v>
          </cell>
          <cell r="K104">
            <v>0</v>
          </cell>
          <cell r="L104">
            <v>0</v>
          </cell>
          <cell r="M104" t="str">
            <v>C15G2R/L</v>
          </cell>
          <cell r="N104" t="str">
            <v>P1683</v>
          </cell>
          <cell r="O104">
            <v>22.4</v>
          </cell>
        </row>
        <row r="105">
          <cell r="A105" t="str">
            <v>N15025</v>
          </cell>
          <cell r="B105" t="str">
            <v>N150PE25</v>
          </cell>
          <cell r="C105" t="str">
            <v>N150</v>
          </cell>
          <cell r="D105">
            <v>12</v>
          </cell>
          <cell r="E105">
            <v>13</v>
          </cell>
          <cell r="F105">
            <v>25</v>
          </cell>
          <cell r="G105">
            <v>6</v>
          </cell>
          <cell r="H105" t="str">
            <v>CG82</v>
          </cell>
          <cell r="I105" t="str">
            <v>CG87</v>
          </cell>
          <cell r="J105" t="str">
            <v>PE</v>
          </cell>
          <cell r="K105">
            <v>0</v>
          </cell>
          <cell r="L105">
            <v>0</v>
          </cell>
          <cell r="M105" t="str">
            <v>C15G2R/L</v>
          </cell>
          <cell r="N105" t="str">
            <v>P1683</v>
          </cell>
          <cell r="O105">
            <v>22.4</v>
          </cell>
        </row>
        <row r="106">
          <cell r="A106" t="str">
            <v>N15023</v>
          </cell>
          <cell r="B106" t="str">
            <v>N150PE23</v>
          </cell>
          <cell r="C106" t="str">
            <v>N150</v>
          </cell>
          <cell r="D106">
            <v>11</v>
          </cell>
          <cell r="E106">
            <v>12</v>
          </cell>
          <cell r="F106">
            <v>23</v>
          </cell>
          <cell r="G106">
            <v>6</v>
          </cell>
          <cell r="H106" t="str">
            <v>CG82</v>
          </cell>
          <cell r="I106" t="str">
            <v>CG87</v>
          </cell>
          <cell r="J106" t="str">
            <v>PE</v>
          </cell>
          <cell r="K106">
            <v>0</v>
          </cell>
          <cell r="L106">
            <v>0</v>
          </cell>
          <cell r="M106" t="str">
            <v>C15G2R/L</v>
          </cell>
          <cell r="N106" t="str">
            <v>P1683</v>
          </cell>
          <cell r="O106">
            <v>22.4</v>
          </cell>
        </row>
        <row r="107">
          <cell r="A107" t="str">
            <v>N15027</v>
          </cell>
          <cell r="B107" t="str">
            <v>N150PULP27</v>
          </cell>
          <cell r="C107" t="str">
            <v>N150</v>
          </cell>
          <cell r="D107">
            <v>13</v>
          </cell>
          <cell r="E107">
            <v>14</v>
          </cell>
          <cell r="F107">
            <v>27</v>
          </cell>
          <cell r="G107">
            <v>6</v>
          </cell>
          <cell r="H107" t="str">
            <v>CG82</v>
          </cell>
          <cell r="I107" t="str">
            <v>CG87</v>
          </cell>
          <cell r="J107" t="str">
            <v>PULP</v>
          </cell>
          <cell r="K107">
            <v>0</v>
          </cell>
          <cell r="L107">
            <v>0</v>
          </cell>
          <cell r="M107" t="str">
            <v>C15G2R/L</v>
          </cell>
          <cell r="N107" t="str">
            <v>P1683</v>
          </cell>
          <cell r="O107">
            <v>22.4</v>
          </cell>
        </row>
        <row r="108">
          <cell r="A108" t="str">
            <v>N150H31</v>
          </cell>
          <cell r="B108" t="str">
            <v>N150HPULP31</v>
          </cell>
          <cell r="C108" t="str">
            <v>N150H</v>
          </cell>
          <cell r="D108">
            <v>16</v>
          </cell>
          <cell r="E108">
            <v>15</v>
          </cell>
          <cell r="F108">
            <v>31</v>
          </cell>
          <cell r="G108">
            <v>6</v>
          </cell>
          <cell r="H108" t="str">
            <v>CG80</v>
          </cell>
          <cell r="I108" t="str">
            <v>CG85</v>
          </cell>
          <cell r="J108" t="str">
            <v>PULP</v>
          </cell>
          <cell r="K108">
            <v>0</v>
          </cell>
          <cell r="L108">
            <v>0</v>
          </cell>
          <cell r="M108" t="str">
            <v>C15G2R/L</v>
          </cell>
          <cell r="N108" t="str">
            <v>P1683</v>
          </cell>
          <cell r="O108">
            <v>22.4</v>
          </cell>
        </row>
        <row r="109">
          <cell r="A109" t="str">
            <v>N150T29</v>
          </cell>
          <cell r="B109" t="str">
            <v>N150TPE29</v>
          </cell>
          <cell r="C109" t="str">
            <v>N150T</v>
          </cell>
          <cell r="D109">
            <v>15</v>
          </cell>
          <cell r="E109">
            <v>14</v>
          </cell>
          <cell r="F109">
            <v>29</v>
          </cell>
          <cell r="G109">
            <v>6</v>
          </cell>
          <cell r="H109" t="str">
            <v>CG79</v>
          </cell>
          <cell r="I109" t="str">
            <v>CG84</v>
          </cell>
          <cell r="J109" t="str">
            <v>PE</v>
          </cell>
          <cell r="K109">
            <v>0</v>
          </cell>
          <cell r="L109">
            <v>0</v>
          </cell>
          <cell r="M109" t="str">
            <v>C15G2R/L</v>
          </cell>
          <cell r="N109" t="str">
            <v>P1683</v>
          </cell>
          <cell r="O109">
            <v>0</v>
          </cell>
        </row>
        <row r="110">
          <cell r="A110" t="str">
            <v>N20029</v>
          </cell>
          <cell r="B110" t="str">
            <v>N200PULP29</v>
          </cell>
          <cell r="C110" t="str">
            <v>N200</v>
          </cell>
          <cell r="D110">
            <v>14</v>
          </cell>
          <cell r="E110">
            <v>15</v>
          </cell>
          <cell r="F110">
            <v>29</v>
          </cell>
          <cell r="G110">
            <v>6</v>
          </cell>
          <cell r="H110" t="str">
            <v>CG82</v>
          </cell>
          <cell r="I110" t="str">
            <v>CG87</v>
          </cell>
          <cell r="J110" t="str">
            <v>PULP</v>
          </cell>
          <cell r="K110">
            <v>0</v>
          </cell>
          <cell r="L110">
            <v>0</v>
          </cell>
          <cell r="M110" t="str">
            <v>C15G2R/L</v>
          </cell>
          <cell r="N110" t="str">
            <v>P18845</v>
          </cell>
          <cell r="O110">
            <v>30.1</v>
          </cell>
        </row>
        <row r="111">
          <cell r="A111" t="str">
            <v>N20033</v>
          </cell>
          <cell r="B111" t="str">
            <v>N200PE33</v>
          </cell>
          <cell r="C111" t="str">
            <v>N200</v>
          </cell>
          <cell r="D111">
            <v>16</v>
          </cell>
          <cell r="E111">
            <v>17</v>
          </cell>
          <cell r="F111">
            <v>33</v>
          </cell>
          <cell r="G111">
            <v>6</v>
          </cell>
          <cell r="H111" t="str">
            <v>CG82</v>
          </cell>
          <cell r="I111" t="str">
            <v>CG87</v>
          </cell>
          <cell r="J111" t="str">
            <v>PE</v>
          </cell>
          <cell r="K111">
            <v>0</v>
          </cell>
          <cell r="L111">
            <v>0</v>
          </cell>
          <cell r="M111" t="str">
            <v>C15G2R/L</v>
          </cell>
          <cell r="N111" t="str">
            <v>P18845</v>
          </cell>
          <cell r="O111">
            <v>30.1</v>
          </cell>
        </row>
        <row r="112">
          <cell r="A112" t="str">
            <v>N20031</v>
          </cell>
          <cell r="B112" t="str">
            <v>N200PE31</v>
          </cell>
          <cell r="C112" t="str">
            <v>N200</v>
          </cell>
          <cell r="D112">
            <v>15</v>
          </cell>
          <cell r="E112">
            <v>16</v>
          </cell>
          <cell r="F112">
            <v>31</v>
          </cell>
          <cell r="G112">
            <v>6</v>
          </cell>
          <cell r="H112" t="str">
            <v>CG82</v>
          </cell>
          <cell r="I112" t="str">
            <v>CG87</v>
          </cell>
          <cell r="J112" t="str">
            <v>PE</v>
          </cell>
          <cell r="K112">
            <v>0</v>
          </cell>
          <cell r="L112">
            <v>0</v>
          </cell>
          <cell r="M112" t="str">
            <v>C15G2R/L</v>
          </cell>
          <cell r="N112" t="str">
            <v>P18845</v>
          </cell>
          <cell r="O112">
            <v>30.1</v>
          </cell>
        </row>
        <row r="113">
          <cell r="A113" t="str">
            <v>N20035</v>
          </cell>
          <cell r="B113" t="str">
            <v>N200PE35</v>
          </cell>
          <cell r="C113" t="str">
            <v>N200</v>
          </cell>
          <cell r="D113">
            <v>17</v>
          </cell>
          <cell r="E113">
            <v>18</v>
          </cell>
          <cell r="F113">
            <v>35</v>
          </cell>
          <cell r="G113">
            <v>6</v>
          </cell>
          <cell r="H113" t="str">
            <v>CG82</v>
          </cell>
          <cell r="I113" t="str">
            <v>CG87</v>
          </cell>
          <cell r="J113" t="str">
            <v>PE</v>
          </cell>
          <cell r="K113">
            <v>0</v>
          </cell>
          <cell r="L113">
            <v>0</v>
          </cell>
          <cell r="M113" t="str">
            <v>C15G2R/L</v>
          </cell>
          <cell r="N113" t="str">
            <v>P18845</v>
          </cell>
          <cell r="O113">
            <v>30.1</v>
          </cell>
        </row>
        <row r="114">
          <cell r="A114" t="str">
            <v>N20037</v>
          </cell>
          <cell r="B114" t="str">
            <v>N200PE37</v>
          </cell>
          <cell r="C114" t="str">
            <v>N200</v>
          </cell>
          <cell r="D114">
            <v>18</v>
          </cell>
          <cell r="E114">
            <v>19</v>
          </cell>
          <cell r="F114">
            <v>37</v>
          </cell>
          <cell r="G114">
            <v>6</v>
          </cell>
          <cell r="H114" t="str">
            <v>CG82</v>
          </cell>
          <cell r="I114" t="str">
            <v>CG87</v>
          </cell>
          <cell r="J114" t="str">
            <v>PE</v>
          </cell>
          <cell r="K114">
            <v>0</v>
          </cell>
          <cell r="L114">
            <v>0</v>
          </cell>
          <cell r="M114" t="str">
            <v>C15G2R/L</v>
          </cell>
          <cell r="N114" t="str">
            <v>P18845</v>
          </cell>
          <cell r="O114">
            <v>30.1</v>
          </cell>
        </row>
        <row r="115">
          <cell r="A115" t="str">
            <v>N20037</v>
          </cell>
          <cell r="B115" t="str">
            <v>N200PULP37</v>
          </cell>
          <cell r="C115" t="str">
            <v>N200</v>
          </cell>
          <cell r="D115">
            <v>18</v>
          </cell>
          <cell r="E115">
            <v>19</v>
          </cell>
          <cell r="F115">
            <v>37</v>
          </cell>
          <cell r="G115">
            <v>6</v>
          </cell>
          <cell r="H115" t="str">
            <v>CG82</v>
          </cell>
          <cell r="I115" t="str">
            <v>CG87</v>
          </cell>
          <cell r="J115" t="str">
            <v>PULP</v>
          </cell>
          <cell r="K115">
            <v>0</v>
          </cell>
          <cell r="L115">
            <v>0</v>
          </cell>
          <cell r="M115" t="str">
            <v>C15G2R/L</v>
          </cell>
          <cell r="N115" t="str">
            <v>P18845</v>
          </cell>
          <cell r="O115">
            <v>30.1</v>
          </cell>
        </row>
        <row r="116">
          <cell r="A116" t="str">
            <v>N200H40</v>
          </cell>
          <cell r="B116" t="str">
            <v>N200HPULP40</v>
          </cell>
          <cell r="C116" t="str">
            <v>N200H</v>
          </cell>
          <cell r="D116">
            <v>20</v>
          </cell>
          <cell r="E116">
            <v>20</v>
          </cell>
          <cell r="F116">
            <v>40</v>
          </cell>
          <cell r="G116">
            <v>6</v>
          </cell>
          <cell r="H116" t="str">
            <v>CG80</v>
          </cell>
          <cell r="I116" t="str">
            <v>CG85</v>
          </cell>
          <cell r="J116" t="str">
            <v>PULP</v>
          </cell>
          <cell r="K116">
            <v>0</v>
          </cell>
          <cell r="L116">
            <v>0</v>
          </cell>
          <cell r="M116" t="str">
            <v>C15G2R/L</v>
          </cell>
          <cell r="N116" t="str">
            <v>P18845</v>
          </cell>
          <cell r="O116">
            <v>30.1</v>
          </cell>
        </row>
        <row r="117">
          <cell r="A117" t="str">
            <v>N200T37</v>
          </cell>
          <cell r="B117" t="str">
            <v>N200TPE37</v>
          </cell>
          <cell r="C117" t="str">
            <v>N200T</v>
          </cell>
          <cell r="D117">
            <v>19</v>
          </cell>
          <cell r="E117">
            <v>18</v>
          </cell>
          <cell r="F117">
            <v>37</v>
          </cell>
          <cell r="G117">
            <v>6</v>
          </cell>
          <cell r="H117" t="str">
            <v>CG79</v>
          </cell>
          <cell r="I117" t="str">
            <v>CG84</v>
          </cell>
          <cell r="J117" t="str">
            <v>PE</v>
          </cell>
          <cell r="K117">
            <v>0</v>
          </cell>
          <cell r="L117">
            <v>0</v>
          </cell>
          <cell r="M117" t="str">
            <v>C15G2R/L</v>
          </cell>
          <cell r="N117" t="str">
            <v>P18845</v>
          </cell>
          <cell r="O117">
            <v>30.9</v>
          </cell>
        </row>
        <row r="118">
          <cell r="A118" t="str">
            <v>MFN20037</v>
          </cell>
          <cell r="B118" t="str">
            <v>MFN200PE37</v>
          </cell>
          <cell r="C118" t="str">
            <v>MFN200</v>
          </cell>
          <cell r="D118">
            <v>19</v>
          </cell>
          <cell r="E118">
            <v>18</v>
          </cell>
          <cell r="F118">
            <v>37</v>
          </cell>
          <cell r="G118">
            <v>6</v>
          </cell>
          <cell r="H118" t="str">
            <v>YG82</v>
          </cell>
          <cell r="I118" t="str">
            <v>YG85</v>
          </cell>
          <cell r="J118" t="str">
            <v>PE</v>
          </cell>
          <cell r="K118">
            <v>0</v>
          </cell>
          <cell r="L118">
            <v>0</v>
          </cell>
          <cell r="M118" t="str">
            <v>C15G2R/L</v>
          </cell>
          <cell r="N118" t="str">
            <v>P18865</v>
          </cell>
          <cell r="O118">
            <v>30.9</v>
          </cell>
        </row>
        <row r="119">
          <cell r="A119" t="str">
            <v>MFN20040</v>
          </cell>
          <cell r="B119" t="str">
            <v>MFN200PE40</v>
          </cell>
          <cell r="C119" t="str">
            <v>MFN200</v>
          </cell>
          <cell r="D119">
            <v>20</v>
          </cell>
          <cell r="E119">
            <v>20</v>
          </cell>
          <cell r="F119">
            <v>40</v>
          </cell>
          <cell r="G119">
            <v>6</v>
          </cell>
          <cell r="H119" t="str">
            <v>YG79HD</v>
          </cell>
          <cell r="I119" t="str">
            <v>YG85</v>
          </cell>
          <cell r="J119" t="str">
            <v>PE</v>
          </cell>
          <cell r="K119">
            <v>0</v>
          </cell>
          <cell r="L119">
            <v>0</v>
          </cell>
          <cell r="M119" t="str">
            <v>C15G2R/L</v>
          </cell>
          <cell r="N119" t="str">
            <v>P18865</v>
          </cell>
          <cell r="O119">
            <v>30.9</v>
          </cell>
        </row>
        <row r="120">
          <cell r="A120" t="str">
            <v>N4011</v>
          </cell>
          <cell r="B120" t="str">
            <v>N40PE11</v>
          </cell>
          <cell r="C120" t="str">
            <v>N40</v>
          </cell>
          <cell r="D120">
            <v>5</v>
          </cell>
          <cell r="E120">
            <v>6</v>
          </cell>
          <cell r="F120">
            <v>11</v>
          </cell>
          <cell r="G120">
            <v>6</v>
          </cell>
          <cell r="H120" t="str">
            <v>CM84</v>
          </cell>
          <cell r="I120" t="str">
            <v>CM87</v>
          </cell>
          <cell r="J120" t="str">
            <v>PE</v>
          </cell>
          <cell r="K120">
            <v>0</v>
          </cell>
          <cell r="L120">
            <v>0</v>
          </cell>
          <cell r="M120" t="str">
            <v>C4A R/L</v>
          </cell>
          <cell r="N120" t="str">
            <v>P4M</v>
          </cell>
          <cell r="O120">
            <v>6.8</v>
          </cell>
        </row>
        <row r="121">
          <cell r="A121" t="str">
            <v>N4011</v>
          </cell>
          <cell r="B121" t="str">
            <v>N40PULP11</v>
          </cell>
          <cell r="C121" t="str">
            <v>N40</v>
          </cell>
          <cell r="D121">
            <v>5</v>
          </cell>
          <cell r="E121">
            <v>6</v>
          </cell>
          <cell r="F121">
            <v>11</v>
          </cell>
          <cell r="G121">
            <v>6</v>
          </cell>
          <cell r="H121" t="str">
            <v>CM84</v>
          </cell>
          <cell r="I121" t="str">
            <v>CM87</v>
          </cell>
          <cell r="J121" t="str">
            <v>PULP</v>
          </cell>
          <cell r="K121">
            <v>0</v>
          </cell>
          <cell r="L121">
            <v>0</v>
          </cell>
          <cell r="M121" t="str">
            <v>C4A R/L</v>
          </cell>
          <cell r="N121" t="str">
            <v>P4M</v>
          </cell>
          <cell r="O121">
            <v>6.8</v>
          </cell>
        </row>
        <row r="122">
          <cell r="A122" t="str">
            <v>N200H41</v>
          </cell>
          <cell r="B122" t="str">
            <v>N200HPE41</v>
          </cell>
          <cell r="C122" t="str">
            <v>N200H</v>
          </cell>
          <cell r="D122">
            <v>20</v>
          </cell>
          <cell r="E122">
            <v>21</v>
          </cell>
          <cell r="F122">
            <v>41</v>
          </cell>
          <cell r="G122">
            <v>6</v>
          </cell>
          <cell r="H122" t="str">
            <v>CG80</v>
          </cell>
          <cell r="I122" t="str">
            <v>CG85</v>
          </cell>
          <cell r="J122" t="str">
            <v>PE</v>
          </cell>
          <cell r="K122">
            <v>0</v>
          </cell>
          <cell r="L122">
            <v>0</v>
          </cell>
          <cell r="M122" t="str">
            <v>C15G2R/L</v>
          </cell>
          <cell r="N122" t="str">
            <v>P18865</v>
          </cell>
          <cell r="O122">
            <v>7</v>
          </cell>
        </row>
        <row r="123">
          <cell r="A123" t="str">
            <v>N40L9</v>
          </cell>
          <cell r="B123" t="str">
            <v>N40LPE9</v>
          </cell>
          <cell r="C123" t="str">
            <v>N40L</v>
          </cell>
          <cell r="D123">
            <v>4</v>
          </cell>
          <cell r="E123">
            <v>5</v>
          </cell>
          <cell r="F123">
            <v>9</v>
          </cell>
          <cell r="G123">
            <v>6</v>
          </cell>
          <cell r="H123" t="str">
            <v>CM84</v>
          </cell>
          <cell r="I123" t="str">
            <v>CM87</v>
          </cell>
          <cell r="J123" t="str">
            <v>PE</v>
          </cell>
          <cell r="K123">
            <v>0</v>
          </cell>
          <cell r="L123">
            <v>0</v>
          </cell>
          <cell r="M123" t="str">
            <v>C4A R/L</v>
          </cell>
          <cell r="N123" t="str">
            <v>P4M</v>
          </cell>
          <cell r="O123">
            <v>7</v>
          </cell>
        </row>
        <row r="124">
          <cell r="A124" t="str">
            <v>N50L11</v>
          </cell>
          <cell r="B124" t="str">
            <v>N50LPE11</v>
          </cell>
          <cell r="C124" t="str">
            <v>N50L</v>
          </cell>
          <cell r="D124">
            <v>5</v>
          </cell>
          <cell r="E124">
            <v>6</v>
          </cell>
          <cell r="F124">
            <v>11</v>
          </cell>
          <cell r="G124">
            <v>6</v>
          </cell>
          <cell r="H124" t="str">
            <v>CG80</v>
          </cell>
          <cell r="I124" t="str">
            <v>CG87</v>
          </cell>
          <cell r="J124" t="str">
            <v>PE</v>
          </cell>
          <cell r="K124">
            <v>0</v>
          </cell>
          <cell r="L124">
            <v>0</v>
          </cell>
          <cell r="M124" t="str">
            <v>C5C R/L</v>
          </cell>
          <cell r="N124" t="str">
            <v>P7T</v>
          </cell>
          <cell r="O124">
            <v>6.8</v>
          </cell>
        </row>
        <row r="125">
          <cell r="A125" t="str">
            <v>N5011</v>
          </cell>
          <cell r="B125" t="str">
            <v>N50PE11</v>
          </cell>
          <cell r="C125" t="str">
            <v>N50</v>
          </cell>
          <cell r="D125">
            <v>5</v>
          </cell>
          <cell r="E125">
            <v>6</v>
          </cell>
          <cell r="F125">
            <v>11</v>
          </cell>
          <cell r="G125">
            <v>6</v>
          </cell>
          <cell r="H125" t="str">
            <v>CG80</v>
          </cell>
          <cell r="I125" t="str">
            <v>CG87</v>
          </cell>
          <cell r="J125" t="str">
            <v>PE</v>
          </cell>
          <cell r="K125">
            <v>0</v>
          </cell>
          <cell r="L125">
            <v>0</v>
          </cell>
          <cell r="M125" t="str">
            <v>C5C R/L</v>
          </cell>
          <cell r="N125" t="str">
            <v>P7T</v>
          </cell>
          <cell r="O125">
            <v>7</v>
          </cell>
        </row>
        <row r="126">
          <cell r="A126" t="str">
            <v>N509</v>
          </cell>
          <cell r="B126" t="str">
            <v>N50PE9</v>
          </cell>
          <cell r="C126" t="str">
            <v>N50</v>
          </cell>
          <cell r="D126">
            <v>4</v>
          </cell>
          <cell r="E126">
            <v>5</v>
          </cell>
          <cell r="F126">
            <v>9</v>
          </cell>
          <cell r="G126">
            <v>6</v>
          </cell>
          <cell r="H126" t="str">
            <v>CG80</v>
          </cell>
          <cell r="I126" t="str">
            <v>CG87</v>
          </cell>
          <cell r="J126" t="str">
            <v>PE</v>
          </cell>
          <cell r="K126">
            <v>0</v>
          </cell>
          <cell r="L126">
            <v>0</v>
          </cell>
          <cell r="M126" t="str">
            <v>C5C R/L</v>
          </cell>
          <cell r="N126" t="str">
            <v>P7T</v>
          </cell>
          <cell r="O126">
            <v>8.1999999999999993</v>
          </cell>
        </row>
        <row r="127">
          <cell r="A127" t="str">
            <v>N507</v>
          </cell>
          <cell r="B127" t="str">
            <v>N50PE7</v>
          </cell>
          <cell r="C127" t="str">
            <v>N50</v>
          </cell>
          <cell r="D127">
            <v>3</v>
          </cell>
          <cell r="E127">
            <v>4</v>
          </cell>
          <cell r="F127">
            <v>7</v>
          </cell>
          <cell r="G127">
            <v>6</v>
          </cell>
          <cell r="H127" t="str">
            <v>CG80</v>
          </cell>
          <cell r="I127" t="str">
            <v>CG87</v>
          </cell>
          <cell r="J127" t="str">
            <v>PE</v>
          </cell>
          <cell r="K127">
            <v>0</v>
          </cell>
          <cell r="L127">
            <v>0</v>
          </cell>
          <cell r="M127" t="str">
            <v>C5C R/L</v>
          </cell>
          <cell r="N127" t="str">
            <v>P7T</v>
          </cell>
          <cell r="O127">
            <v>8.1999999999999993</v>
          </cell>
        </row>
        <row r="128">
          <cell r="A128" t="str">
            <v>N509</v>
          </cell>
          <cell r="B128" t="str">
            <v>N50PULP9</v>
          </cell>
          <cell r="C128" t="str">
            <v>N50</v>
          </cell>
          <cell r="D128">
            <v>4</v>
          </cell>
          <cell r="E128">
            <v>5</v>
          </cell>
          <cell r="F128">
            <v>9</v>
          </cell>
          <cell r="G128">
            <v>6</v>
          </cell>
          <cell r="H128" t="str">
            <v>CG80</v>
          </cell>
          <cell r="I128" t="str">
            <v>CG87</v>
          </cell>
          <cell r="J128" t="str">
            <v>PULP</v>
          </cell>
          <cell r="K128">
            <v>0</v>
          </cell>
          <cell r="L128">
            <v>0</v>
          </cell>
          <cell r="M128" t="str">
            <v>C5C R/L</v>
          </cell>
          <cell r="N128" t="str">
            <v>P7T</v>
          </cell>
          <cell r="O128">
            <v>8.1999999999999993</v>
          </cell>
        </row>
        <row r="129">
          <cell r="A129" t="str">
            <v>N50L9</v>
          </cell>
          <cell r="B129" t="str">
            <v>N50LPE9</v>
          </cell>
          <cell r="C129" t="str">
            <v>N50L</v>
          </cell>
          <cell r="D129">
            <v>4</v>
          </cell>
          <cell r="E129">
            <v>5</v>
          </cell>
          <cell r="F129">
            <v>9</v>
          </cell>
          <cell r="G129">
            <v>6</v>
          </cell>
          <cell r="H129" t="str">
            <v>CG80</v>
          </cell>
          <cell r="I129" t="str">
            <v>CG87</v>
          </cell>
          <cell r="J129" t="str">
            <v>PE</v>
          </cell>
          <cell r="K129">
            <v>0</v>
          </cell>
          <cell r="L129">
            <v>0</v>
          </cell>
          <cell r="M129" t="str">
            <v>C5C R/L</v>
          </cell>
          <cell r="N129" t="str">
            <v>P7T</v>
          </cell>
          <cell r="O129">
            <v>8.1999999999999993</v>
          </cell>
        </row>
        <row r="130">
          <cell r="A130" t="str">
            <v>N5012</v>
          </cell>
          <cell r="B130" t="str">
            <v>N50PULP12</v>
          </cell>
          <cell r="C130" t="str">
            <v>N50</v>
          </cell>
          <cell r="D130">
            <v>6</v>
          </cell>
          <cell r="E130">
            <v>6</v>
          </cell>
          <cell r="F130">
            <v>12</v>
          </cell>
          <cell r="G130">
            <v>6</v>
          </cell>
          <cell r="H130" t="str">
            <v>CG80</v>
          </cell>
          <cell r="I130" t="str">
            <v>CG87</v>
          </cell>
          <cell r="J130" t="str">
            <v>PULP</v>
          </cell>
          <cell r="K130">
            <v>0</v>
          </cell>
          <cell r="L130">
            <v>0</v>
          </cell>
          <cell r="M130" t="str">
            <v>C5C R/L</v>
          </cell>
          <cell r="N130" t="str">
            <v>P7T</v>
          </cell>
          <cell r="O130">
            <v>8.1999999999999993</v>
          </cell>
        </row>
        <row r="131">
          <cell r="A131" t="str">
            <v>N50L12</v>
          </cell>
          <cell r="B131" t="str">
            <v>N50LPULP12</v>
          </cell>
          <cell r="C131" t="str">
            <v>N50L</v>
          </cell>
          <cell r="D131">
            <v>6</v>
          </cell>
          <cell r="E131">
            <v>6</v>
          </cell>
          <cell r="F131">
            <v>12</v>
          </cell>
          <cell r="G131">
            <v>6</v>
          </cell>
          <cell r="H131" t="str">
            <v>CG80</v>
          </cell>
          <cell r="I131" t="str">
            <v>CG87</v>
          </cell>
          <cell r="J131" t="str">
            <v>PULP</v>
          </cell>
          <cell r="K131">
            <v>0</v>
          </cell>
          <cell r="L131">
            <v>0</v>
          </cell>
          <cell r="M131" t="str">
            <v>C5C R/L</v>
          </cell>
          <cell r="N131" t="str">
            <v>P7T</v>
          </cell>
          <cell r="O131">
            <v>8.1999999999999993</v>
          </cell>
        </row>
        <row r="132">
          <cell r="A132" t="str">
            <v>N50L7</v>
          </cell>
          <cell r="B132" t="str">
            <v>N50LPE7</v>
          </cell>
          <cell r="C132" t="str">
            <v>N50L</v>
          </cell>
          <cell r="D132">
            <v>3</v>
          </cell>
          <cell r="E132">
            <v>4</v>
          </cell>
          <cell r="F132">
            <v>7</v>
          </cell>
          <cell r="G132">
            <v>6</v>
          </cell>
          <cell r="H132" t="str">
            <v>CG80</v>
          </cell>
          <cell r="I132" t="str">
            <v>CG87</v>
          </cell>
          <cell r="J132" t="str">
            <v>PE</v>
          </cell>
          <cell r="K132">
            <v>0</v>
          </cell>
          <cell r="L132">
            <v>0</v>
          </cell>
          <cell r="M132" t="str">
            <v>C5C R/L</v>
          </cell>
          <cell r="N132" t="str">
            <v>P7T</v>
          </cell>
          <cell r="O132">
            <v>8.1999999999999993</v>
          </cell>
        </row>
        <row r="133">
          <cell r="A133" t="str">
            <v>N50L9</v>
          </cell>
          <cell r="B133" t="str">
            <v>N50LPULP9</v>
          </cell>
          <cell r="C133" t="str">
            <v>N50L</v>
          </cell>
          <cell r="D133">
            <v>4</v>
          </cell>
          <cell r="E133">
            <v>5</v>
          </cell>
          <cell r="F133">
            <v>9</v>
          </cell>
          <cell r="G133">
            <v>6</v>
          </cell>
          <cell r="H133" t="str">
            <v>CG80</v>
          </cell>
          <cell r="I133" t="str">
            <v>CG87</v>
          </cell>
          <cell r="J133" t="str">
            <v>PULP</v>
          </cell>
          <cell r="K133">
            <v>0</v>
          </cell>
          <cell r="L133">
            <v>0</v>
          </cell>
          <cell r="M133" t="str">
            <v>C5C R/L</v>
          </cell>
          <cell r="N133" t="str">
            <v>P7T</v>
          </cell>
          <cell r="O133">
            <v>8.1999999999999993</v>
          </cell>
        </row>
        <row r="134">
          <cell r="A134" t="str">
            <v>N50Z11</v>
          </cell>
          <cell r="B134" t="str">
            <v>N50ZPE11</v>
          </cell>
          <cell r="C134" t="str">
            <v>N50Z</v>
          </cell>
          <cell r="D134">
            <v>5</v>
          </cell>
          <cell r="E134">
            <v>6</v>
          </cell>
          <cell r="F134">
            <v>11</v>
          </cell>
          <cell r="G134">
            <v>6</v>
          </cell>
          <cell r="H134" t="str">
            <v>CG80</v>
          </cell>
          <cell r="I134" t="str">
            <v>CG87</v>
          </cell>
          <cell r="J134" t="str">
            <v>PE</v>
          </cell>
          <cell r="K134">
            <v>0</v>
          </cell>
          <cell r="L134">
            <v>0</v>
          </cell>
          <cell r="M134" t="str">
            <v>C5C R/L</v>
          </cell>
          <cell r="N134" t="str">
            <v>P7T</v>
          </cell>
          <cell r="O134">
            <v>9.6999999999999993</v>
          </cell>
        </row>
        <row r="135">
          <cell r="A135" t="str">
            <v>N50Z11</v>
          </cell>
          <cell r="B135" t="str">
            <v>N50ZPULP11</v>
          </cell>
          <cell r="C135" t="str">
            <v>N50Z</v>
          </cell>
          <cell r="D135">
            <v>5</v>
          </cell>
          <cell r="E135">
            <v>6</v>
          </cell>
          <cell r="F135">
            <v>11</v>
          </cell>
          <cell r="G135">
            <v>6</v>
          </cell>
          <cell r="H135" t="str">
            <v>CG80</v>
          </cell>
          <cell r="I135" t="str">
            <v>CG87</v>
          </cell>
          <cell r="J135" t="str">
            <v>PULP</v>
          </cell>
          <cell r="K135">
            <v>0</v>
          </cell>
          <cell r="L135">
            <v>0</v>
          </cell>
          <cell r="M135" t="str">
            <v>C5C R/L</v>
          </cell>
          <cell r="N135" t="str">
            <v>P7T</v>
          </cell>
          <cell r="O135">
            <v>9.6999999999999993</v>
          </cell>
        </row>
        <row r="136">
          <cell r="A136" t="str">
            <v>N50Z9</v>
          </cell>
          <cell r="B136" t="str">
            <v>N50ZPE9</v>
          </cell>
          <cell r="C136" t="str">
            <v>N50Z</v>
          </cell>
          <cell r="D136">
            <v>4</v>
          </cell>
          <cell r="E136">
            <v>5</v>
          </cell>
          <cell r="F136">
            <v>9</v>
          </cell>
          <cell r="G136">
            <v>6</v>
          </cell>
          <cell r="H136" t="str">
            <v>CG80</v>
          </cell>
          <cell r="I136" t="str">
            <v>CG87</v>
          </cell>
          <cell r="J136" t="str">
            <v>PE</v>
          </cell>
          <cell r="K136">
            <v>0</v>
          </cell>
          <cell r="L136">
            <v>0</v>
          </cell>
          <cell r="M136" t="str">
            <v>C5C R/L</v>
          </cell>
          <cell r="N136" t="str">
            <v>P7T</v>
          </cell>
          <cell r="O136">
            <v>9.6999999999999993</v>
          </cell>
        </row>
        <row r="137">
          <cell r="A137" t="str">
            <v>N50ZL11</v>
          </cell>
          <cell r="B137" t="str">
            <v>N50ZLPE11</v>
          </cell>
          <cell r="C137" t="str">
            <v>N50ZL</v>
          </cell>
          <cell r="D137">
            <v>5</v>
          </cell>
          <cell r="E137">
            <v>6</v>
          </cell>
          <cell r="F137">
            <v>11</v>
          </cell>
          <cell r="G137">
            <v>6</v>
          </cell>
          <cell r="H137" t="str">
            <v>CG80</v>
          </cell>
          <cell r="I137" t="str">
            <v>CG87</v>
          </cell>
          <cell r="J137" t="str">
            <v>PE</v>
          </cell>
          <cell r="K137">
            <v>0</v>
          </cell>
          <cell r="L137">
            <v>0</v>
          </cell>
          <cell r="M137" t="str">
            <v>C5C R/L</v>
          </cell>
          <cell r="N137" t="str">
            <v>P7T</v>
          </cell>
          <cell r="O137">
            <v>9.6999999999999993</v>
          </cell>
        </row>
        <row r="138">
          <cell r="A138" t="str">
            <v>N50ZL11</v>
          </cell>
          <cell r="B138" t="str">
            <v>N50ZLPULP11</v>
          </cell>
          <cell r="C138" t="str">
            <v>N50ZL</v>
          </cell>
          <cell r="D138">
            <v>5</v>
          </cell>
          <cell r="E138">
            <v>6</v>
          </cell>
          <cell r="F138">
            <v>11</v>
          </cell>
          <cell r="G138">
            <v>6</v>
          </cell>
          <cell r="H138" t="str">
            <v>CG80</v>
          </cell>
          <cell r="I138" t="str">
            <v>CG87</v>
          </cell>
          <cell r="J138" t="str">
            <v>PULP</v>
          </cell>
          <cell r="K138">
            <v>0</v>
          </cell>
          <cell r="L138">
            <v>0</v>
          </cell>
          <cell r="M138" t="str">
            <v>C5C R/L</v>
          </cell>
          <cell r="N138" t="str">
            <v>P7T</v>
          </cell>
          <cell r="O138">
            <v>9.6999999999999993</v>
          </cell>
        </row>
        <row r="139">
          <cell r="A139" t="str">
            <v>N50ZL9</v>
          </cell>
          <cell r="B139" t="str">
            <v>N50ZLPE9</v>
          </cell>
          <cell r="C139" t="str">
            <v>N50ZL</v>
          </cell>
          <cell r="D139">
            <v>4</v>
          </cell>
          <cell r="E139">
            <v>5</v>
          </cell>
          <cell r="F139">
            <v>9</v>
          </cell>
          <cell r="G139">
            <v>6</v>
          </cell>
          <cell r="H139" t="str">
            <v>CG80</v>
          </cell>
          <cell r="I139" t="str">
            <v>CG87</v>
          </cell>
          <cell r="J139" t="str">
            <v>PE</v>
          </cell>
          <cell r="K139">
            <v>0</v>
          </cell>
          <cell r="L139">
            <v>0</v>
          </cell>
          <cell r="M139" t="str">
            <v>C5C R/L</v>
          </cell>
          <cell r="N139" t="str">
            <v>P7T</v>
          </cell>
          <cell r="O139">
            <v>9.6999999999999993</v>
          </cell>
        </row>
        <row r="140">
          <cell r="A140" t="str">
            <v>N5213</v>
          </cell>
          <cell r="B140" t="str">
            <v>N52PE13</v>
          </cell>
          <cell r="C140" t="str">
            <v>N52</v>
          </cell>
          <cell r="D140">
            <v>6</v>
          </cell>
          <cell r="E140">
            <v>7</v>
          </cell>
          <cell r="F140">
            <v>13</v>
          </cell>
          <cell r="G140">
            <v>6</v>
          </cell>
          <cell r="H140" t="str">
            <v>CG82</v>
          </cell>
          <cell r="I140" t="str">
            <v>CG87</v>
          </cell>
          <cell r="J140" t="str">
            <v>PE</v>
          </cell>
          <cell r="K140">
            <v>0</v>
          </cell>
          <cell r="L140">
            <v>0</v>
          </cell>
          <cell r="M140" t="str">
            <v>C5C R/L</v>
          </cell>
          <cell r="N140" t="str">
            <v>P7T</v>
          </cell>
          <cell r="O140">
            <v>9.35</v>
          </cell>
        </row>
        <row r="141">
          <cell r="A141" t="str">
            <v>N5313</v>
          </cell>
          <cell r="B141" t="str">
            <v>N53PE13</v>
          </cell>
          <cell r="C141" t="str">
            <v>N53</v>
          </cell>
          <cell r="D141">
            <v>6</v>
          </cell>
          <cell r="E141">
            <v>7</v>
          </cell>
          <cell r="F141">
            <v>13</v>
          </cell>
          <cell r="G141">
            <v>6</v>
          </cell>
          <cell r="H141" t="str">
            <v>CG82</v>
          </cell>
          <cell r="I141" t="str">
            <v>CG87</v>
          </cell>
          <cell r="J141" t="str">
            <v>PE</v>
          </cell>
          <cell r="K141">
            <v>0</v>
          </cell>
          <cell r="L141">
            <v>0</v>
          </cell>
          <cell r="M141" t="str">
            <v>C5C R/L</v>
          </cell>
          <cell r="N141" t="str">
            <v>P7T</v>
          </cell>
          <cell r="O141">
            <v>9.35</v>
          </cell>
        </row>
        <row r="142">
          <cell r="A142" t="str">
            <v>N7011</v>
          </cell>
          <cell r="B142" t="str">
            <v>N70PE11</v>
          </cell>
          <cell r="C142" t="str">
            <v>N70</v>
          </cell>
          <cell r="D142">
            <v>5</v>
          </cell>
          <cell r="E142">
            <v>6</v>
          </cell>
          <cell r="F142">
            <v>11</v>
          </cell>
          <cell r="G142">
            <v>6</v>
          </cell>
          <cell r="H142" t="str">
            <v>CG82</v>
          </cell>
          <cell r="I142" t="str">
            <v>CG87</v>
          </cell>
          <cell r="J142" t="str">
            <v>PE</v>
          </cell>
          <cell r="K142">
            <v>0</v>
          </cell>
          <cell r="L142">
            <v>0</v>
          </cell>
          <cell r="M142" t="str">
            <v>C5B R/L</v>
          </cell>
          <cell r="N142" t="str">
            <v>P7T</v>
          </cell>
          <cell r="O142">
            <v>10.9</v>
          </cell>
        </row>
        <row r="143">
          <cell r="A143" t="str">
            <v>N7013</v>
          </cell>
          <cell r="B143" t="str">
            <v>N70PE13</v>
          </cell>
          <cell r="C143" t="str">
            <v>N70</v>
          </cell>
          <cell r="D143">
            <v>6</v>
          </cell>
          <cell r="E143">
            <v>7</v>
          </cell>
          <cell r="F143">
            <v>13</v>
          </cell>
          <cell r="G143">
            <v>6</v>
          </cell>
          <cell r="H143" t="str">
            <v>CG82</v>
          </cell>
          <cell r="I143" t="str">
            <v>CG87</v>
          </cell>
          <cell r="J143" t="str">
            <v>PE</v>
          </cell>
          <cell r="K143">
            <v>0</v>
          </cell>
          <cell r="L143">
            <v>0</v>
          </cell>
          <cell r="M143" t="str">
            <v>C5B R/L</v>
          </cell>
          <cell r="N143" t="str">
            <v>P7T</v>
          </cell>
          <cell r="O143">
            <v>10.9</v>
          </cell>
        </row>
        <row r="144">
          <cell r="A144" t="str">
            <v>N7013</v>
          </cell>
          <cell r="B144" t="str">
            <v>N70PULP13</v>
          </cell>
          <cell r="C144" t="str">
            <v>N70</v>
          </cell>
          <cell r="D144">
            <v>6</v>
          </cell>
          <cell r="E144">
            <v>7</v>
          </cell>
          <cell r="F144">
            <v>13</v>
          </cell>
          <cell r="G144">
            <v>6</v>
          </cell>
          <cell r="H144" t="str">
            <v>CG82</v>
          </cell>
          <cell r="I144" t="str">
            <v>CG87</v>
          </cell>
          <cell r="J144" t="str">
            <v>PULP</v>
          </cell>
          <cell r="K144">
            <v>0</v>
          </cell>
          <cell r="L144">
            <v>0</v>
          </cell>
          <cell r="M144" t="str">
            <v>C5B R/L</v>
          </cell>
          <cell r="N144" t="str">
            <v>P7T</v>
          </cell>
          <cell r="O144">
            <v>10.9</v>
          </cell>
        </row>
        <row r="145">
          <cell r="A145" t="str">
            <v>N70H15</v>
          </cell>
          <cell r="B145" t="str">
            <v>N70HPULP15</v>
          </cell>
          <cell r="C145" t="str">
            <v>N70H</v>
          </cell>
          <cell r="D145">
            <v>7</v>
          </cell>
          <cell r="E145">
            <v>8</v>
          </cell>
          <cell r="F145">
            <v>15</v>
          </cell>
          <cell r="G145">
            <v>6</v>
          </cell>
          <cell r="H145" t="str">
            <v>CG80</v>
          </cell>
          <cell r="I145" t="str">
            <v>CG85</v>
          </cell>
          <cell r="J145" t="str">
            <v>PULP</v>
          </cell>
          <cell r="K145">
            <v>0</v>
          </cell>
          <cell r="L145">
            <v>0</v>
          </cell>
          <cell r="M145" t="str">
            <v>C5B R/L</v>
          </cell>
          <cell r="N145" t="str">
            <v>P7T</v>
          </cell>
          <cell r="O145">
            <v>10.9</v>
          </cell>
        </row>
        <row r="146">
          <cell r="A146" t="str">
            <v>N70L13</v>
          </cell>
          <cell r="B146" t="str">
            <v>N70LPULP13</v>
          </cell>
          <cell r="C146" t="str">
            <v>N70L</v>
          </cell>
          <cell r="D146">
            <v>6</v>
          </cell>
          <cell r="E146">
            <v>7</v>
          </cell>
          <cell r="F146">
            <v>13</v>
          </cell>
          <cell r="G146">
            <v>6</v>
          </cell>
          <cell r="H146" t="str">
            <v>CG82</v>
          </cell>
          <cell r="I146" t="str">
            <v>CG87</v>
          </cell>
          <cell r="J146" t="str">
            <v>PULP</v>
          </cell>
          <cell r="K146">
            <v>0</v>
          </cell>
          <cell r="L146">
            <v>0</v>
          </cell>
          <cell r="M146" t="str">
            <v>C5B R/L</v>
          </cell>
          <cell r="N146" t="str">
            <v>P7T</v>
          </cell>
          <cell r="O146">
            <v>10.9</v>
          </cell>
        </row>
        <row r="147">
          <cell r="A147" t="str">
            <v>N70L13</v>
          </cell>
          <cell r="B147" t="str">
            <v>N70LPE13</v>
          </cell>
          <cell r="C147" t="str">
            <v>N70L</v>
          </cell>
          <cell r="D147">
            <v>6</v>
          </cell>
          <cell r="E147">
            <v>7</v>
          </cell>
          <cell r="F147">
            <v>13</v>
          </cell>
          <cell r="G147">
            <v>6</v>
          </cell>
          <cell r="H147" t="str">
            <v>CG82</v>
          </cell>
          <cell r="I147" t="str">
            <v>CG87</v>
          </cell>
          <cell r="J147" t="str">
            <v>PE</v>
          </cell>
          <cell r="K147">
            <v>0</v>
          </cell>
          <cell r="L147">
            <v>0</v>
          </cell>
          <cell r="M147" t="str">
            <v>C5B R/L</v>
          </cell>
          <cell r="N147" t="str">
            <v>P7T</v>
          </cell>
          <cell r="O147">
            <v>10.9</v>
          </cell>
        </row>
        <row r="148">
          <cell r="A148" t="str">
            <v>N70L11</v>
          </cell>
          <cell r="B148" t="str">
            <v>N70LPE11</v>
          </cell>
          <cell r="C148" t="str">
            <v>N70L</v>
          </cell>
          <cell r="D148">
            <v>5</v>
          </cell>
          <cell r="E148">
            <v>6</v>
          </cell>
          <cell r="F148">
            <v>11</v>
          </cell>
          <cell r="G148">
            <v>6</v>
          </cell>
          <cell r="H148" t="str">
            <v>CG82</v>
          </cell>
          <cell r="I148" t="str">
            <v>CG87</v>
          </cell>
          <cell r="J148" t="str">
            <v>PE</v>
          </cell>
          <cell r="K148">
            <v>0</v>
          </cell>
          <cell r="L148">
            <v>0</v>
          </cell>
          <cell r="M148" t="str">
            <v>C5B R/L</v>
          </cell>
          <cell r="N148" t="str">
            <v>P7T</v>
          </cell>
          <cell r="O148">
            <v>10.9</v>
          </cell>
        </row>
        <row r="149">
          <cell r="A149" t="str">
            <v>N70T15</v>
          </cell>
          <cell r="B149" t="str">
            <v>N70TPE15</v>
          </cell>
          <cell r="C149" t="str">
            <v>N70T</v>
          </cell>
          <cell r="D149">
            <v>8</v>
          </cell>
          <cell r="E149">
            <v>7</v>
          </cell>
          <cell r="F149">
            <v>15</v>
          </cell>
          <cell r="G149">
            <v>6</v>
          </cell>
          <cell r="H149" t="str">
            <v>CG79</v>
          </cell>
          <cell r="I149" t="str">
            <v>CG84</v>
          </cell>
          <cell r="J149" t="str">
            <v>PE</v>
          </cell>
          <cell r="K149">
            <v>0</v>
          </cell>
          <cell r="L149">
            <v>0</v>
          </cell>
          <cell r="M149" t="str">
            <v>C5B R/L</v>
          </cell>
          <cell r="N149" t="str">
            <v>P7T</v>
          </cell>
          <cell r="O149">
            <v>12.4</v>
          </cell>
        </row>
        <row r="150">
          <cell r="A150" t="str">
            <v>N70Z13</v>
          </cell>
          <cell r="B150" t="str">
            <v>N70ZPE13</v>
          </cell>
          <cell r="C150" t="str">
            <v>N70Z</v>
          </cell>
          <cell r="D150">
            <v>6</v>
          </cell>
          <cell r="E150">
            <v>7</v>
          </cell>
          <cell r="F150">
            <v>13</v>
          </cell>
          <cell r="G150">
            <v>6</v>
          </cell>
          <cell r="H150" t="str">
            <v>CG82</v>
          </cell>
          <cell r="I150" t="str">
            <v>CG87</v>
          </cell>
          <cell r="J150" t="str">
            <v>PE</v>
          </cell>
          <cell r="K150">
            <v>0</v>
          </cell>
          <cell r="L150">
            <v>0</v>
          </cell>
          <cell r="M150" t="str">
            <v>C5B R/L</v>
          </cell>
          <cell r="N150" t="str">
            <v>P7T</v>
          </cell>
          <cell r="O150">
            <v>10.9</v>
          </cell>
        </row>
        <row r="151">
          <cell r="A151" t="str">
            <v>N70Z15</v>
          </cell>
          <cell r="B151" t="str">
            <v>N70ZPE15</v>
          </cell>
          <cell r="C151" t="str">
            <v>N70Z</v>
          </cell>
          <cell r="D151">
            <v>7</v>
          </cell>
          <cell r="E151">
            <v>8</v>
          </cell>
          <cell r="F151">
            <v>15</v>
          </cell>
          <cell r="G151">
            <v>6</v>
          </cell>
          <cell r="H151" t="str">
            <v>CG82</v>
          </cell>
          <cell r="I151" t="str">
            <v>CG87</v>
          </cell>
          <cell r="J151" t="str">
            <v>PE</v>
          </cell>
          <cell r="K151">
            <v>0</v>
          </cell>
          <cell r="L151">
            <v>0</v>
          </cell>
          <cell r="M151" t="str">
            <v>C5B R/L</v>
          </cell>
          <cell r="N151" t="str">
            <v>P7T</v>
          </cell>
          <cell r="O151">
            <v>12.1</v>
          </cell>
        </row>
        <row r="152">
          <cell r="A152" t="str">
            <v>N70Z15</v>
          </cell>
          <cell r="B152" t="str">
            <v>N70ZPULP15</v>
          </cell>
          <cell r="C152" t="str">
            <v>N70Z</v>
          </cell>
          <cell r="D152">
            <v>7</v>
          </cell>
          <cell r="E152">
            <v>8</v>
          </cell>
          <cell r="F152">
            <v>15</v>
          </cell>
          <cell r="G152">
            <v>6</v>
          </cell>
          <cell r="H152" t="str">
            <v>CG82</v>
          </cell>
          <cell r="I152" t="str">
            <v>CG87</v>
          </cell>
          <cell r="J152" t="str">
            <v>PULP</v>
          </cell>
          <cell r="K152">
            <v>0</v>
          </cell>
          <cell r="L152">
            <v>0</v>
          </cell>
          <cell r="M152" t="str">
            <v>C5B R/L</v>
          </cell>
          <cell r="N152" t="str">
            <v>P7T</v>
          </cell>
          <cell r="O152">
            <v>12.1</v>
          </cell>
        </row>
        <row r="153">
          <cell r="A153" t="str">
            <v>N70ZG15</v>
          </cell>
          <cell r="B153" t="str">
            <v>N70ZGPE15</v>
          </cell>
          <cell r="C153" t="str">
            <v>N70ZG</v>
          </cell>
          <cell r="D153">
            <v>7</v>
          </cell>
          <cell r="E153">
            <v>8</v>
          </cell>
          <cell r="F153">
            <v>15</v>
          </cell>
          <cell r="G153">
            <v>6</v>
          </cell>
          <cell r="H153" t="str">
            <v>CG85</v>
          </cell>
          <cell r="I153" t="str">
            <v>YG87</v>
          </cell>
          <cell r="J153" t="str">
            <v>PE</v>
          </cell>
          <cell r="K153">
            <v>0</v>
          </cell>
          <cell r="L153">
            <v>0</v>
          </cell>
          <cell r="M153" t="str">
            <v>C5B R/L</v>
          </cell>
          <cell r="N153" t="str">
            <v>P7T</v>
          </cell>
          <cell r="O153">
            <v>12.1</v>
          </cell>
        </row>
        <row r="154">
          <cell r="A154" t="str">
            <v>N70Z17</v>
          </cell>
          <cell r="B154" t="str">
            <v>N70ZPULP17</v>
          </cell>
          <cell r="C154" t="str">
            <v>N70Z</v>
          </cell>
          <cell r="D154">
            <v>8</v>
          </cell>
          <cell r="E154">
            <v>9</v>
          </cell>
          <cell r="F154">
            <v>17</v>
          </cell>
          <cell r="G154">
            <v>6</v>
          </cell>
          <cell r="H154" t="str">
            <v>CG82</v>
          </cell>
          <cell r="I154" t="str">
            <v>CG87</v>
          </cell>
          <cell r="J154" t="str">
            <v>PULP</v>
          </cell>
          <cell r="K154">
            <v>0</v>
          </cell>
          <cell r="L154">
            <v>0</v>
          </cell>
          <cell r="M154" t="str">
            <v>C5B R/L</v>
          </cell>
          <cell r="N154" t="str">
            <v>P7T</v>
          </cell>
          <cell r="O154">
            <v>12.1</v>
          </cell>
        </row>
        <row r="155">
          <cell r="A155" t="str">
            <v>N70Z-915</v>
          </cell>
          <cell r="B155" t="str">
            <v>N70Z-9PULP15</v>
          </cell>
          <cell r="C155" t="str">
            <v>N70Z-9</v>
          </cell>
          <cell r="D155">
            <v>7</v>
          </cell>
          <cell r="E155">
            <v>8</v>
          </cell>
          <cell r="F155">
            <v>15</v>
          </cell>
          <cell r="G155">
            <v>6</v>
          </cell>
          <cell r="H155" t="str">
            <v>CG80</v>
          </cell>
          <cell r="I155" t="str">
            <v>CG85</v>
          </cell>
          <cell r="J155" t="str">
            <v>PULP</v>
          </cell>
          <cell r="K155">
            <v>0</v>
          </cell>
          <cell r="L155">
            <v>0</v>
          </cell>
          <cell r="M155" t="str">
            <v>C5B R/L</v>
          </cell>
          <cell r="N155" t="str">
            <v>P7T</v>
          </cell>
          <cell r="O155">
            <v>12.1</v>
          </cell>
        </row>
        <row r="156">
          <cell r="A156" t="str">
            <v>N70ZL15</v>
          </cell>
          <cell r="B156" t="str">
            <v>N70ZLPULP15</v>
          </cell>
          <cell r="C156" t="str">
            <v>N70ZL</v>
          </cell>
          <cell r="D156">
            <v>7</v>
          </cell>
          <cell r="E156">
            <v>8</v>
          </cell>
          <cell r="F156">
            <v>15</v>
          </cell>
          <cell r="G156">
            <v>6</v>
          </cell>
          <cell r="H156" t="str">
            <v>CG82</v>
          </cell>
          <cell r="I156" t="str">
            <v>CG87</v>
          </cell>
          <cell r="J156" t="str">
            <v>PULP</v>
          </cell>
          <cell r="K156">
            <v>0</v>
          </cell>
          <cell r="L156">
            <v>0</v>
          </cell>
          <cell r="M156" t="str">
            <v>C5B R/L</v>
          </cell>
          <cell r="N156" t="str">
            <v>P7T</v>
          </cell>
          <cell r="O156">
            <v>12.1</v>
          </cell>
        </row>
        <row r="157">
          <cell r="A157" t="str">
            <v>N70ZL15</v>
          </cell>
          <cell r="B157" t="str">
            <v>N70ZLPE15</v>
          </cell>
          <cell r="C157" t="str">
            <v>N70ZL</v>
          </cell>
          <cell r="D157">
            <v>7</v>
          </cell>
          <cell r="E157">
            <v>8</v>
          </cell>
          <cell r="F157">
            <v>15</v>
          </cell>
          <cell r="G157">
            <v>6</v>
          </cell>
          <cell r="H157" t="str">
            <v>CG82</v>
          </cell>
          <cell r="I157" t="str">
            <v>CG87</v>
          </cell>
          <cell r="J157" t="str">
            <v>PE</v>
          </cell>
          <cell r="K157">
            <v>0</v>
          </cell>
          <cell r="L157">
            <v>0</v>
          </cell>
          <cell r="M157" t="str">
            <v>C5B R/L</v>
          </cell>
          <cell r="N157" t="str">
            <v>P7T</v>
          </cell>
          <cell r="O157">
            <v>12.1</v>
          </cell>
        </row>
        <row r="158">
          <cell r="A158" t="str">
            <v>N70ZL13</v>
          </cell>
          <cell r="B158" t="str">
            <v>N70ZLPE13</v>
          </cell>
          <cell r="C158" t="str">
            <v>N70ZL</v>
          </cell>
          <cell r="D158">
            <v>6</v>
          </cell>
          <cell r="E158">
            <v>7</v>
          </cell>
          <cell r="F158">
            <v>13</v>
          </cell>
          <cell r="G158">
            <v>6</v>
          </cell>
          <cell r="H158" t="str">
            <v>CG82</v>
          </cell>
          <cell r="I158" t="str">
            <v>CG87</v>
          </cell>
          <cell r="J158" t="str">
            <v>PE</v>
          </cell>
          <cell r="K158">
            <v>0</v>
          </cell>
          <cell r="L158">
            <v>0</v>
          </cell>
          <cell r="M158" t="str">
            <v>C5B R/L</v>
          </cell>
          <cell r="N158" t="str">
            <v>P7T</v>
          </cell>
          <cell r="O158">
            <v>10.9</v>
          </cell>
        </row>
        <row r="159">
          <cell r="A159" t="str">
            <v>N70Z16</v>
          </cell>
          <cell r="B159" t="str">
            <v>N70ZPE16</v>
          </cell>
          <cell r="C159" t="str">
            <v>N70Z</v>
          </cell>
          <cell r="D159">
            <v>8</v>
          </cell>
          <cell r="E159">
            <v>8</v>
          </cell>
          <cell r="F159">
            <v>16</v>
          </cell>
          <cell r="G159">
            <v>6</v>
          </cell>
          <cell r="H159" t="str">
            <v>CG82</v>
          </cell>
          <cell r="I159" t="str">
            <v>CG87</v>
          </cell>
          <cell r="J159" t="str">
            <v>PE</v>
          </cell>
          <cell r="K159">
            <v>0</v>
          </cell>
          <cell r="L159">
            <v>0</v>
          </cell>
          <cell r="M159" t="str">
            <v>C5B R/L</v>
          </cell>
          <cell r="N159" t="str">
            <v>P7T</v>
          </cell>
          <cell r="O159">
            <v>10.9</v>
          </cell>
        </row>
        <row r="160">
          <cell r="A160" t="str">
            <v>NS409</v>
          </cell>
          <cell r="B160" t="str">
            <v>NS40PE9</v>
          </cell>
          <cell r="C160" t="str">
            <v>NS40</v>
          </cell>
          <cell r="D160">
            <v>4</v>
          </cell>
          <cell r="E160">
            <v>5</v>
          </cell>
          <cell r="F160">
            <v>9</v>
          </cell>
          <cell r="G160">
            <v>6</v>
          </cell>
          <cell r="H160" t="str">
            <v>CM84</v>
          </cell>
          <cell r="I160" t="str">
            <v>CM87</v>
          </cell>
          <cell r="J160" t="str">
            <v>PE</v>
          </cell>
          <cell r="K160">
            <v>0</v>
          </cell>
          <cell r="L160">
            <v>0</v>
          </cell>
          <cell r="M160" t="str">
            <v>C4A R/L</v>
          </cell>
          <cell r="N160" t="str">
            <v>P4M</v>
          </cell>
          <cell r="O160">
            <v>5.8</v>
          </cell>
        </row>
        <row r="161">
          <cell r="A161" t="str">
            <v>NS409</v>
          </cell>
          <cell r="B161" t="str">
            <v>NS40PULP9</v>
          </cell>
          <cell r="C161" t="str">
            <v>NS40</v>
          </cell>
          <cell r="D161">
            <v>4</v>
          </cell>
          <cell r="E161">
            <v>5</v>
          </cell>
          <cell r="F161">
            <v>9</v>
          </cell>
          <cell r="G161">
            <v>6</v>
          </cell>
          <cell r="H161" t="str">
            <v>CM84</v>
          </cell>
          <cell r="I161" t="str">
            <v>CM87</v>
          </cell>
          <cell r="J161" t="str">
            <v>PULP</v>
          </cell>
          <cell r="K161">
            <v>0</v>
          </cell>
          <cell r="L161">
            <v>0</v>
          </cell>
          <cell r="M161" t="str">
            <v>C4A R/L</v>
          </cell>
          <cell r="N161" t="str">
            <v>P4M</v>
          </cell>
          <cell r="O161">
            <v>5.8</v>
          </cell>
        </row>
        <row r="162">
          <cell r="A162" t="str">
            <v>NS407</v>
          </cell>
          <cell r="B162" t="str">
            <v>NS40PE7</v>
          </cell>
          <cell r="C162" t="str">
            <v>NS40</v>
          </cell>
          <cell r="D162">
            <v>3</v>
          </cell>
          <cell r="E162">
            <v>4</v>
          </cell>
          <cell r="F162">
            <v>7</v>
          </cell>
          <cell r="G162">
            <v>6</v>
          </cell>
          <cell r="H162" t="str">
            <v>CM84</v>
          </cell>
          <cell r="I162" t="str">
            <v>CM87</v>
          </cell>
          <cell r="J162" t="str">
            <v>PE</v>
          </cell>
          <cell r="K162">
            <v>0</v>
          </cell>
          <cell r="L162">
            <v>0</v>
          </cell>
          <cell r="M162" t="str">
            <v>C4A R/L</v>
          </cell>
          <cell r="N162" t="str">
            <v>P4M</v>
          </cell>
          <cell r="O162">
            <v>5.8</v>
          </cell>
        </row>
        <row r="163">
          <cell r="A163" t="str">
            <v>NS40L9</v>
          </cell>
          <cell r="B163" t="str">
            <v>NS40LPULP9</v>
          </cell>
          <cell r="C163" t="str">
            <v>NS40L</v>
          </cell>
          <cell r="D163">
            <v>4</v>
          </cell>
          <cell r="E163">
            <v>5</v>
          </cell>
          <cell r="F163">
            <v>9</v>
          </cell>
          <cell r="G163">
            <v>6</v>
          </cell>
          <cell r="H163" t="str">
            <v>CM84</v>
          </cell>
          <cell r="I163" t="str">
            <v>CM87</v>
          </cell>
          <cell r="J163" t="str">
            <v>PULP</v>
          </cell>
          <cell r="K163">
            <v>0</v>
          </cell>
          <cell r="L163">
            <v>0</v>
          </cell>
          <cell r="M163" t="str">
            <v>C4A R/L</v>
          </cell>
          <cell r="N163" t="str">
            <v>P4M</v>
          </cell>
          <cell r="O163">
            <v>5.8</v>
          </cell>
        </row>
        <row r="164">
          <cell r="A164" t="str">
            <v>NS40L9</v>
          </cell>
          <cell r="B164" t="str">
            <v>NS40LPE9</v>
          </cell>
          <cell r="C164" t="str">
            <v>NS40L</v>
          </cell>
          <cell r="D164">
            <v>4</v>
          </cell>
          <cell r="E164">
            <v>5</v>
          </cell>
          <cell r="F164">
            <v>9</v>
          </cell>
          <cell r="G164">
            <v>6</v>
          </cell>
          <cell r="H164" t="str">
            <v>CM84</v>
          </cell>
          <cell r="I164" t="str">
            <v>CM87</v>
          </cell>
          <cell r="J164" t="str">
            <v>PE</v>
          </cell>
          <cell r="K164">
            <v>0</v>
          </cell>
          <cell r="L164">
            <v>0</v>
          </cell>
          <cell r="M164" t="str">
            <v>C4A R/L</v>
          </cell>
          <cell r="N164" t="str">
            <v>P4M</v>
          </cell>
          <cell r="O164">
            <v>5.8</v>
          </cell>
        </row>
        <row r="165">
          <cell r="A165" t="str">
            <v>NS40L7</v>
          </cell>
          <cell r="B165" t="str">
            <v>NS40LPE7</v>
          </cell>
          <cell r="C165" t="str">
            <v>NS40L</v>
          </cell>
          <cell r="D165">
            <v>3</v>
          </cell>
          <cell r="E165">
            <v>4</v>
          </cell>
          <cell r="F165">
            <v>7</v>
          </cell>
          <cell r="G165">
            <v>6</v>
          </cell>
          <cell r="H165" t="str">
            <v>CM84</v>
          </cell>
          <cell r="I165" t="str">
            <v>CM87</v>
          </cell>
          <cell r="J165" t="str">
            <v>PE</v>
          </cell>
          <cell r="K165">
            <v>0</v>
          </cell>
          <cell r="L165">
            <v>0</v>
          </cell>
          <cell r="M165" t="str">
            <v>C4A R/L</v>
          </cell>
          <cell r="N165" t="str">
            <v>P4M</v>
          </cell>
          <cell r="O165">
            <v>5.8</v>
          </cell>
        </row>
        <row r="166">
          <cell r="A166" t="str">
            <v>NS40LS9</v>
          </cell>
          <cell r="B166" t="str">
            <v>NS40LSPE9</v>
          </cell>
          <cell r="C166" t="str">
            <v>NS40LS</v>
          </cell>
          <cell r="D166">
            <v>4</v>
          </cell>
          <cell r="E166">
            <v>5</v>
          </cell>
          <cell r="F166">
            <v>9</v>
          </cell>
          <cell r="G166">
            <v>6</v>
          </cell>
          <cell r="H166" t="str">
            <v>CM84</v>
          </cell>
          <cell r="I166" t="str">
            <v>CM87</v>
          </cell>
          <cell r="J166" t="str">
            <v>PE</v>
          </cell>
          <cell r="K166">
            <v>0</v>
          </cell>
          <cell r="L166">
            <v>0</v>
          </cell>
          <cell r="M166" t="str">
            <v>C4A R/L</v>
          </cell>
          <cell r="N166" t="str">
            <v>P4M</v>
          </cell>
          <cell r="O166">
            <v>5.8</v>
          </cell>
        </row>
        <row r="167">
          <cell r="A167" t="str">
            <v>NS40LS9</v>
          </cell>
          <cell r="B167" t="str">
            <v>NS40LSPULP9</v>
          </cell>
          <cell r="C167" t="str">
            <v>NS40LS</v>
          </cell>
          <cell r="D167">
            <v>4</v>
          </cell>
          <cell r="E167">
            <v>5</v>
          </cell>
          <cell r="F167">
            <v>9</v>
          </cell>
          <cell r="G167">
            <v>6</v>
          </cell>
          <cell r="H167" t="str">
            <v>CM84</v>
          </cell>
          <cell r="I167" t="str">
            <v>CM87</v>
          </cell>
          <cell r="J167" t="str">
            <v>PULP</v>
          </cell>
          <cell r="K167">
            <v>0</v>
          </cell>
          <cell r="L167">
            <v>0</v>
          </cell>
          <cell r="M167" t="str">
            <v>C4A R/L</v>
          </cell>
          <cell r="N167" t="str">
            <v>P4M</v>
          </cell>
          <cell r="O167">
            <v>5.8</v>
          </cell>
        </row>
        <row r="168">
          <cell r="A168" t="str">
            <v>NS40LS7</v>
          </cell>
          <cell r="B168" t="str">
            <v>NS40LSPE7</v>
          </cell>
          <cell r="C168" t="str">
            <v>NS40LS</v>
          </cell>
          <cell r="D168">
            <v>3</v>
          </cell>
          <cell r="E168">
            <v>4</v>
          </cell>
          <cell r="F168">
            <v>7</v>
          </cell>
          <cell r="G168">
            <v>6</v>
          </cell>
          <cell r="H168" t="str">
            <v>CM84</v>
          </cell>
          <cell r="I168" t="str">
            <v>CM87</v>
          </cell>
          <cell r="J168" t="str">
            <v>PE</v>
          </cell>
          <cell r="K168">
            <v>0</v>
          </cell>
          <cell r="L168">
            <v>0</v>
          </cell>
          <cell r="M168" t="str">
            <v>C4A R/L</v>
          </cell>
          <cell r="N168" t="str">
            <v>P4M</v>
          </cell>
          <cell r="O168">
            <v>5.8</v>
          </cell>
        </row>
        <row r="169">
          <cell r="A169" t="str">
            <v>NS40S9</v>
          </cell>
          <cell r="B169" t="str">
            <v>NS40SPULP9</v>
          </cell>
          <cell r="C169" t="str">
            <v>NS40S</v>
          </cell>
          <cell r="D169">
            <v>4</v>
          </cell>
          <cell r="E169">
            <v>5</v>
          </cell>
          <cell r="F169">
            <v>9</v>
          </cell>
          <cell r="G169">
            <v>6</v>
          </cell>
          <cell r="H169" t="str">
            <v>CM84</v>
          </cell>
          <cell r="I169" t="str">
            <v>CM87</v>
          </cell>
          <cell r="J169" t="str">
            <v>PULP</v>
          </cell>
          <cell r="K169">
            <v>0</v>
          </cell>
          <cell r="L169">
            <v>0</v>
          </cell>
          <cell r="M169" t="str">
            <v>C4A R/L</v>
          </cell>
          <cell r="N169" t="str">
            <v>P4M</v>
          </cell>
          <cell r="O169">
            <v>5.8</v>
          </cell>
        </row>
        <row r="170">
          <cell r="A170" t="str">
            <v>NS40S9</v>
          </cell>
          <cell r="B170" t="str">
            <v>NS40SPE9</v>
          </cell>
          <cell r="C170" t="str">
            <v>NS40S</v>
          </cell>
          <cell r="D170">
            <v>4</v>
          </cell>
          <cell r="E170">
            <v>5</v>
          </cell>
          <cell r="F170">
            <v>9</v>
          </cell>
          <cell r="G170">
            <v>6</v>
          </cell>
          <cell r="H170" t="str">
            <v>CM84</v>
          </cell>
          <cell r="I170" t="str">
            <v>CM87</v>
          </cell>
          <cell r="J170" t="str">
            <v>PE</v>
          </cell>
          <cell r="K170">
            <v>0</v>
          </cell>
          <cell r="L170">
            <v>0</v>
          </cell>
          <cell r="M170" t="str">
            <v>C4A R/L</v>
          </cell>
          <cell r="N170" t="str">
            <v>P4M</v>
          </cell>
          <cell r="O170">
            <v>5.8</v>
          </cell>
        </row>
        <row r="171">
          <cell r="A171" t="str">
            <v>NS40S7</v>
          </cell>
          <cell r="B171" t="str">
            <v>NS40SPE7</v>
          </cell>
          <cell r="C171" t="str">
            <v>NS40S</v>
          </cell>
          <cell r="D171">
            <v>3</v>
          </cell>
          <cell r="E171">
            <v>4</v>
          </cell>
          <cell r="F171">
            <v>7</v>
          </cell>
          <cell r="G171">
            <v>6</v>
          </cell>
          <cell r="H171" t="str">
            <v>CM84</v>
          </cell>
          <cell r="I171" t="str">
            <v>CM87</v>
          </cell>
          <cell r="J171" t="str">
            <v>PE</v>
          </cell>
          <cell r="K171">
            <v>0</v>
          </cell>
          <cell r="L171">
            <v>0</v>
          </cell>
          <cell r="M171" t="str">
            <v>C4A R/L</v>
          </cell>
          <cell r="N171" t="str">
            <v>P4M</v>
          </cell>
          <cell r="O171">
            <v>5.8</v>
          </cell>
        </row>
        <row r="172">
          <cell r="A172" t="str">
            <v>NS40Z11</v>
          </cell>
          <cell r="B172" t="str">
            <v>NS40ZPULP11</v>
          </cell>
          <cell r="C172" t="str">
            <v>NS40Z</v>
          </cell>
          <cell r="D172">
            <v>5</v>
          </cell>
          <cell r="E172">
            <v>6</v>
          </cell>
          <cell r="F172">
            <v>11</v>
          </cell>
          <cell r="G172">
            <v>6</v>
          </cell>
          <cell r="H172" t="str">
            <v>CM84</v>
          </cell>
          <cell r="I172" t="str">
            <v>CM87</v>
          </cell>
          <cell r="J172" t="str">
            <v>PULP</v>
          </cell>
          <cell r="K172">
            <v>0</v>
          </cell>
          <cell r="L172">
            <v>0</v>
          </cell>
          <cell r="M172" t="str">
            <v>C4A R/L</v>
          </cell>
          <cell r="N172" t="str">
            <v>P4M</v>
          </cell>
          <cell r="O172">
            <v>6.7</v>
          </cell>
        </row>
        <row r="173">
          <cell r="A173" t="str">
            <v>NS40Z9</v>
          </cell>
          <cell r="B173" t="str">
            <v>NS40ZPE9</v>
          </cell>
          <cell r="C173" t="str">
            <v>NS40Z</v>
          </cell>
          <cell r="D173">
            <v>4</v>
          </cell>
          <cell r="E173">
            <v>5</v>
          </cell>
          <cell r="F173">
            <v>9</v>
          </cell>
          <cell r="G173">
            <v>6</v>
          </cell>
          <cell r="H173" t="str">
            <v>CM84</v>
          </cell>
          <cell r="I173" t="str">
            <v>CM87</v>
          </cell>
          <cell r="J173" t="str">
            <v>PE</v>
          </cell>
          <cell r="K173">
            <v>0</v>
          </cell>
          <cell r="L173">
            <v>0</v>
          </cell>
          <cell r="M173" t="str">
            <v>C4A R/L</v>
          </cell>
          <cell r="N173" t="str">
            <v>P4M</v>
          </cell>
          <cell r="O173">
            <v>6.7</v>
          </cell>
        </row>
        <row r="174">
          <cell r="A174" t="str">
            <v>NS40Z11</v>
          </cell>
          <cell r="B174" t="str">
            <v>NS40ZPE11</v>
          </cell>
          <cell r="C174" t="str">
            <v>NS40Z</v>
          </cell>
          <cell r="D174">
            <v>5</v>
          </cell>
          <cell r="E174">
            <v>6</v>
          </cell>
          <cell r="F174">
            <v>11</v>
          </cell>
          <cell r="G174">
            <v>6</v>
          </cell>
          <cell r="H174" t="str">
            <v>CM84</v>
          </cell>
          <cell r="I174" t="str">
            <v>CM87</v>
          </cell>
          <cell r="J174" t="str">
            <v>PE</v>
          </cell>
          <cell r="K174">
            <v>0</v>
          </cell>
          <cell r="L174">
            <v>0</v>
          </cell>
          <cell r="M174" t="str">
            <v>C4A R/L</v>
          </cell>
          <cell r="N174" t="str">
            <v>P4M</v>
          </cell>
          <cell r="O174">
            <v>6.7</v>
          </cell>
        </row>
        <row r="175">
          <cell r="A175" t="str">
            <v>NS40Z-911</v>
          </cell>
          <cell r="B175" t="str">
            <v>NS40Z-9PULP11</v>
          </cell>
          <cell r="C175" t="str">
            <v>NS40Z-9</v>
          </cell>
          <cell r="D175">
            <v>5</v>
          </cell>
          <cell r="E175">
            <v>6</v>
          </cell>
          <cell r="F175">
            <v>11</v>
          </cell>
          <cell r="G175">
            <v>6</v>
          </cell>
          <cell r="H175" t="str">
            <v>CM82</v>
          </cell>
          <cell r="I175" t="str">
            <v>CM87</v>
          </cell>
          <cell r="J175" t="str">
            <v>PULP</v>
          </cell>
          <cell r="K175">
            <v>0</v>
          </cell>
          <cell r="L175">
            <v>0</v>
          </cell>
          <cell r="M175" t="str">
            <v>C4A R/L</v>
          </cell>
          <cell r="N175" t="str">
            <v>P4M</v>
          </cell>
          <cell r="O175">
            <v>6.7</v>
          </cell>
        </row>
        <row r="176">
          <cell r="A176" t="str">
            <v>NS40ZL11</v>
          </cell>
          <cell r="B176" t="str">
            <v>NS40ZLPULP11</v>
          </cell>
          <cell r="C176" t="str">
            <v>NS40ZL</v>
          </cell>
          <cell r="D176">
            <v>5</v>
          </cell>
          <cell r="E176">
            <v>6</v>
          </cell>
          <cell r="F176">
            <v>11</v>
          </cell>
          <cell r="G176">
            <v>6</v>
          </cell>
          <cell r="H176" t="str">
            <v>CM84</v>
          </cell>
          <cell r="I176" t="str">
            <v>CM87</v>
          </cell>
          <cell r="J176" t="str">
            <v>PULP</v>
          </cell>
          <cell r="K176">
            <v>0</v>
          </cell>
          <cell r="L176">
            <v>0</v>
          </cell>
          <cell r="M176" t="str">
            <v>C4A R/L</v>
          </cell>
          <cell r="N176" t="str">
            <v>P4M</v>
          </cell>
          <cell r="O176">
            <v>6.7</v>
          </cell>
        </row>
        <row r="177">
          <cell r="A177" t="str">
            <v>NS40ZL9</v>
          </cell>
          <cell r="B177" t="str">
            <v>NS40ZLPULP9</v>
          </cell>
          <cell r="C177" t="str">
            <v>NS40ZL</v>
          </cell>
          <cell r="D177">
            <v>4</v>
          </cell>
          <cell r="E177">
            <v>5</v>
          </cell>
          <cell r="F177">
            <v>9</v>
          </cell>
          <cell r="G177">
            <v>6</v>
          </cell>
          <cell r="H177" t="str">
            <v>CM84</v>
          </cell>
          <cell r="I177" t="str">
            <v>CM87</v>
          </cell>
          <cell r="J177" t="str">
            <v>PULP</v>
          </cell>
          <cell r="K177">
            <v>0</v>
          </cell>
          <cell r="L177">
            <v>0</v>
          </cell>
          <cell r="M177" t="str">
            <v>C4A R/L</v>
          </cell>
          <cell r="N177" t="str">
            <v>P4M</v>
          </cell>
          <cell r="O177">
            <v>6.7</v>
          </cell>
        </row>
        <row r="178">
          <cell r="A178" t="str">
            <v>NS40ZL11</v>
          </cell>
          <cell r="B178" t="str">
            <v>NS40ZLPE11</v>
          </cell>
          <cell r="C178" t="str">
            <v>NS40ZL</v>
          </cell>
          <cell r="D178">
            <v>5</v>
          </cell>
          <cell r="E178">
            <v>6</v>
          </cell>
          <cell r="F178">
            <v>11</v>
          </cell>
          <cell r="G178">
            <v>6</v>
          </cell>
          <cell r="H178" t="str">
            <v>CM84</v>
          </cell>
          <cell r="I178" t="str">
            <v>CM87</v>
          </cell>
          <cell r="J178" t="str">
            <v>PE</v>
          </cell>
          <cell r="K178">
            <v>0</v>
          </cell>
          <cell r="L178">
            <v>0</v>
          </cell>
          <cell r="M178" t="str">
            <v>C4A R/L</v>
          </cell>
          <cell r="N178" t="str">
            <v>P4M</v>
          </cell>
          <cell r="O178">
            <v>6.7</v>
          </cell>
        </row>
        <row r="179">
          <cell r="A179" t="str">
            <v>NS40ZL-911</v>
          </cell>
          <cell r="B179" t="str">
            <v>NS40ZL-9PULP11</v>
          </cell>
          <cell r="C179" t="str">
            <v>NS40ZL-9</v>
          </cell>
          <cell r="D179">
            <v>5</v>
          </cell>
          <cell r="E179">
            <v>6</v>
          </cell>
          <cell r="F179">
            <v>11</v>
          </cell>
          <cell r="G179">
            <v>6</v>
          </cell>
          <cell r="H179" t="str">
            <v>CM82</v>
          </cell>
          <cell r="I179" t="str">
            <v>CM87</v>
          </cell>
          <cell r="J179" t="str">
            <v>PULP</v>
          </cell>
          <cell r="K179">
            <v>0</v>
          </cell>
          <cell r="L179">
            <v>0</v>
          </cell>
          <cell r="M179" t="str">
            <v>C4A R/L</v>
          </cell>
          <cell r="N179" t="str">
            <v>P4M</v>
          </cell>
          <cell r="O179">
            <v>6.7</v>
          </cell>
        </row>
        <row r="180">
          <cell r="A180" t="str">
            <v>NS40ZLS9</v>
          </cell>
          <cell r="B180" t="str">
            <v>NS40ZLSPE9</v>
          </cell>
          <cell r="C180" t="str">
            <v>NS40ZLS</v>
          </cell>
          <cell r="D180">
            <v>4</v>
          </cell>
          <cell r="E180">
            <v>5</v>
          </cell>
          <cell r="F180">
            <v>9</v>
          </cell>
          <cell r="G180">
            <v>6</v>
          </cell>
          <cell r="H180" t="str">
            <v>CM84</v>
          </cell>
          <cell r="I180" t="str">
            <v>CM87</v>
          </cell>
          <cell r="J180" t="str">
            <v>PE</v>
          </cell>
          <cell r="K180">
            <v>0</v>
          </cell>
          <cell r="L180">
            <v>0</v>
          </cell>
          <cell r="M180" t="str">
            <v>C4A R/L</v>
          </cell>
          <cell r="N180" t="str">
            <v>P4M</v>
          </cell>
          <cell r="O180">
            <v>6.7</v>
          </cell>
        </row>
        <row r="181">
          <cell r="A181" t="str">
            <v>NS40ZLS11</v>
          </cell>
          <cell r="B181" t="str">
            <v>NS40ZLSPULP11</v>
          </cell>
          <cell r="C181" t="str">
            <v>NS40ZLS</v>
          </cell>
          <cell r="D181">
            <v>5</v>
          </cell>
          <cell r="E181">
            <v>6</v>
          </cell>
          <cell r="F181">
            <v>11</v>
          </cell>
          <cell r="G181">
            <v>6</v>
          </cell>
          <cell r="H181" t="str">
            <v>CM84</v>
          </cell>
          <cell r="I181" t="str">
            <v>CM87</v>
          </cell>
          <cell r="J181" t="str">
            <v>PULP</v>
          </cell>
          <cell r="K181">
            <v>0</v>
          </cell>
          <cell r="L181">
            <v>0</v>
          </cell>
          <cell r="M181" t="str">
            <v>C4A R/L</v>
          </cell>
          <cell r="N181" t="str">
            <v>P4M</v>
          </cell>
          <cell r="O181">
            <v>6.7</v>
          </cell>
        </row>
        <row r="182">
          <cell r="A182" t="str">
            <v>NS40ZLS11</v>
          </cell>
          <cell r="B182" t="str">
            <v>NS40ZLSPE11</v>
          </cell>
          <cell r="C182" t="str">
            <v>NS40ZLS</v>
          </cell>
          <cell r="D182">
            <v>5</v>
          </cell>
          <cell r="E182">
            <v>6</v>
          </cell>
          <cell r="F182">
            <v>11</v>
          </cell>
          <cell r="G182">
            <v>6</v>
          </cell>
          <cell r="H182" t="str">
            <v>CM84</v>
          </cell>
          <cell r="I182" t="str">
            <v>CM87</v>
          </cell>
          <cell r="J182" t="str">
            <v>PE</v>
          </cell>
          <cell r="K182">
            <v>0</v>
          </cell>
          <cell r="L182">
            <v>0</v>
          </cell>
          <cell r="M182" t="str">
            <v>C4A R/L</v>
          </cell>
          <cell r="N182" t="str">
            <v>P4M</v>
          </cell>
          <cell r="O182">
            <v>6.7</v>
          </cell>
        </row>
        <row r="183">
          <cell r="A183" t="str">
            <v>NS40ZS11</v>
          </cell>
          <cell r="B183" t="str">
            <v>NS40ZSPULP11</v>
          </cell>
          <cell r="C183" t="str">
            <v>NS40ZS</v>
          </cell>
          <cell r="D183">
            <v>5</v>
          </cell>
          <cell r="E183">
            <v>6</v>
          </cell>
          <cell r="F183">
            <v>11</v>
          </cell>
          <cell r="G183">
            <v>6</v>
          </cell>
          <cell r="H183" t="str">
            <v>CM84</v>
          </cell>
          <cell r="I183" t="str">
            <v>CM87</v>
          </cell>
          <cell r="J183" t="str">
            <v>PULP</v>
          </cell>
          <cell r="K183">
            <v>0</v>
          </cell>
          <cell r="L183">
            <v>0</v>
          </cell>
          <cell r="M183" t="str">
            <v>C4A R/L</v>
          </cell>
          <cell r="N183" t="str">
            <v>P4M</v>
          </cell>
          <cell r="O183">
            <v>6.7</v>
          </cell>
        </row>
        <row r="184">
          <cell r="A184" t="str">
            <v>NS40ZS9</v>
          </cell>
          <cell r="B184" t="str">
            <v>NS40ZSPE9</v>
          </cell>
          <cell r="C184" t="str">
            <v>NS40ZS</v>
          </cell>
          <cell r="D184">
            <v>4</v>
          </cell>
          <cell r="E184">
            <v>5</v>
          </cell>
          <cell r="F184">
            <v>9</v>
          </cell>
          <cell r="G184">
            <v>6</v>
          </cell>
          <cell r="H184" t="str">
            <v>CM84</v>
          </cell>
          <cell r="I184" t="str">
            <v>CM87</v>
          </cell>
          <cell r="J184" t="str">
            <v>PE</v>
          </cell>
          <cell r="K184">
            <v>0</v>
          </cell>
          <cell r="L184">
            <v>0</v>
          </cell>
          <cell r="M184" t="str">
            <v>C4A R/L</v>
          </cell>
          <cell r="N184" t="str">
            <v>P4M</v>
          </cell>
          <cell r="O184">
            <v>6.7</v>
          </cell>
        </row>
        <row r="185">
          <cell r="A185" t="str">
            <v>NS40ZS11</v>
          </cell>
          <cell r="B185" t="str">
            <v>NS40ZSPE11</v>
          </cell>
          <cell r="C185" t="str">
            <v>NS40ZS</v>
          </cell>
          <cell r="D185">
            <v>5</v>
          </cell>
          <cell r="E185">
            <v>6</v>
          </cell>
          <cell r="F185">
            <v>11</v>
          </cell>
          <cell r="G185">
            <v>6</v>
          </cell>
          <cell r="H185" t="str">
            <v>CM84</v>
          </cell>
          <cell r="I185" t="str">
            <v>CM87</v>
          </cell>
          <cell r="J185" t="str">
            <v>PE</v>
          </cell>
          <cell r="K185">
            <v>0</v>
          </cell>
          <cell r="L185">
            <v>0</v>
          </cell>
          <cell r="M185" t="str">
            <v>C4A R/L</v>
          </cell>
          <cell r="N185" t="str">
            <v>P4M</v>
          </cell>
          <cell r="O185">
            <v>6.7</v>
          </cell>
        </row>
        <row r="186">
          <cell r="A186" t="str">
            <v>NS6013</v>
          </cell>
          <cell r="B186" t="str">
            <v>NS60PULP13</v>
          </cell>
          <cell r="C186" t="str">
            <v>NS60</v>
          </cell>
          <cell r="D186">
            <v>6</v>
          </cell>
          <cell r="E186">
            <v>7</v>
          </cell>
          <cell r="F186">
            <v>13</v>
          </cell>
          <cell r="G186">
            <v>6</v>
          </cell>
          <cell r="H186" t="str">
            <v>CM84</v>
          </cell>
          <cell r="I186" t="str">
            <v>CM87</v>
          </cell>
          <cell r="J186" t="str">
            <v>PULP</v>
          </cell>
          <cell r="K186">
            <v>0</v>
          </cell>
          <cell r="L186">
            <v>0</v>
          </cell>
          <cell r="M186" t="str">
            <v>C4A R/L</v>
          </cell>
          <cell r="N186" t="str">
            <v>P4M</v>
          </cell>
          <cell r="O186">
            <v>7.8</v>
          </cell>
        </row>
        <row r="187">
          <cell r="A187" t="str">
            <v>NS6013</v>
          </cell>
          <cell r="B187" t="str">
            <v>NS60PE13</v>
          </cell>
          <cell r="C187" t="str">
            <v>NS60</v>
          </cell>
          <cell r="D187">
            <v>6</v>
          </cell>
          <cell r="E187">
            <v>7</v>
          </cell>
          <cell r="F187">
            <v>13</v>
          </cell>
          <cell r="G187">
            <v>6</v>
          </cell>
          <cell r="H187" t="str">
            <v>CM84</v>
          </cell>
          <cell r="I187" t="str">
            <v>CM87</v>
          </cell>
          <cell r="J187" t="str">
            <v>PE</v>
          </cell>
          <cell r="K187">
            <v>0</v>
          </cell>
          <cell r="L187">
            <v>0</v>
          </cell>
          <cell r="M187" t="str">
            <v>C4A R/L</v>
          </cell>
          <cell r="N187" t="str">
            <v>P4M</v>
          </cell>
          <cell r="O187">
            <v>7.8</v>
          </cell>
        </row>
        <row r="188">
          <cell r="A188" t="str">
            <v>NS6011</v>
          </cell>
          <cell r="B188" t="str">
            <v>NS60PE11</v>
          </cell>
          <cell r="C188" t="str">
            <v>NS60</v>
          </cell>
          <cell r="D188">
            <v>5</v>
          </cell>
          <cell r="E188">
            <v>6</v>
          </cell>
          <cell r="F188">
            <v>11</v>
          </cell>
          <cell r="G188">
            <v>6</v>
          </cell>
          <cell r="H188" t="str">
            <v>CM84</v>
          </cell>
          <cell r="I188" t="str">
            <v>CM87</v>
          </cell>
          <cell r="J188" t="str">
            <v>PE</v>
          </cell>
          <cell r="K188">
            <v>0</v>
          </cell>
          <cell r="L188">
            <v>0</v>
          </cell>
          <cell r="M188" t="str">
            <v>C4A R/L</v>
          </cell>
          <cell r="N188" t="str">
            <v>P4M</v>
          </cell>
          <cell r="O188">
            <v>7.8</v>
          </cell>
        </row>
        <row r="189">
          <cell r="A189" t="str">
            <v>NS60-913</v>
          </cell>
          <cell r="B189" t="str">
            <v>NS60-9PULP13</v>
          </cell>
          <cell r="C189" t="str">
            <v>NS60-9</v>
          </cell>
          <cell r="D189">
            <v>6</v>
          </cell>
          <cell r="E189">
            <v>7</v>
          </cell>
          <cell r="F189">
            <v>13</v>
          </cell>
          <cell r="G189">
            <v>6</v>
          </cell>
          <cell r="H189" t="str">
            <v>CM82</v>
          </cell>
          <cell r="I189" t="str">
            <v>CM87</v>
          </cell>
          <cell r="J189" t="str">
            <v>PULP</v>
          </cell>
          <cell r="K189">
            <v>0</v>
          </cell>
          <cell r="L189">
            <v>0</v>
          </cell>
          <cell r="M189" t="str">
            <v>C4A R/L</v>
          </cell>
          <cell r="N189" t="str">
            <v>P4M</v>
          </cell>
          <cell r="O189">
            <v>7.8</v>
          </cell>
        </row>
        <row r="190">
          <cell r="A190" t="str">
            <v>NS60L13</v>
          </cell>
          <cell r="B190" t="str">
            <v>NS60LPULP13</v>
          </cell>
          <cell r="C190" t="str">
            <v>NS60L</v>
          </cell>
          <cell r="D190">
            <v>6</v>
          </cell>
          <cell r="E190">
            <v>7</v>
          </cell>
          <cell r="F190">
            <v>13</v>
          </cell>
          <cell r="G190">
            <v>6</v>
          </cell>
          <cell r="H190" t="str">
            <v>CM84</v>
          </cell>
          <cell r="I190" t="str">
            <v>CM87</v>
          </cell>
          <cell r="J190" t="str">
            <v>PULP</v>
          </cell>
          <cell r="K190">
            <v>0</v>
          </cell>
          <cell r="L190">
            <v>0</v>
          </cell>
          <cell r="M190" t="str">
            <v>C4A R/L</v>
          </cell>
          <cell r="N190" t="str">
            <v>P4M</v>
          </cell>
          <cell r="O190">
            <v>7.8</v>
          </cell>
        </row>
        <row r="191">
          <cell r="A191" t="str">
            <v>NS60L13</v>
          </cell>
          <cell r="B191" t="str">
            <v>NS60LPE13</v>
          </cell>
          <cell r="C191" t="str">
            <v>NS60L</v>
          </cell>
          <cell r="D191">
            <v>6</v>
          </cell>
          <cell r="E191">
            <v>7</v>
          </cell>
          <cell r="F191">
            <v>13</v>
          </cell>
          <cell r="G191">
            <v>6</v>
          </cell>
          <cell r="H191" t="str">
            <v>CM84</v>
          </cell>
          <cell r="I191" t="str">
            <v>CM87</v>
          </cell>
          <cell r="J191" t="str">
            <v>PE</v>
          </cell>
          <cell r="K191">
            <v>0</v>
          </cell>
          <cell r="L191">
            <v>0</v>
          </cell>
          <cell r="M191" t="str">
            <v>C4A R/L</v>
          </cell>
          <cell r="N191" t="str">
            <v>P4M</v>
          </cell>
          <cell r="O191">
            <v>7.8</v>
          </cell>
        </row>
        <row r="192">
          <cell r="A192" t="str">
            <v>NS60L11</v>
          </cell>
          <cell r="B192" t="str">
            <v>NS60LPE11</v>
          </cell>
          <cell r="C192" t="str">
            <v>NS60L</v>
          </cell>
          <cell r="D192">
            <v>5</v>
          </cell>
          <cell r="E192">
            <v>6</v>
          </cell>
          <cell r="F192">
            <v>11</v>
          </cell>
          <cell r="G192">
            <v>6</v>
          </cell>
          <cell r="H192" t="str">
            <v>CM84</v>
          </cell>
          <cell r="I192" t="str">
            <v>CM87</v>
          </cell>
          <cell r="J192" t="str">
            <v>PE</v>
          </cell>
          <cell r="K192">
            <v>0</v>
          </cell>
          <cell r="L192">
            <v>0</v>
          </cell>
          <cell r="M192" t="str">
            <v>C4A R/L</v>
          </cell>
          <cell r="N192" t="str">
            <v>P4M</v>
          </cell>
          <cell r="O192">
            <v>7.8</v>
          </cell>
        </row>
        <row r="193">
          <cell r="A193" t="str">
            <v>NS60L-913</v>
          </cell>
          <cell r="B193" t="str">
            <v>NS60L-9PULP13</v>
          </cell>
          <cell r="C193" t="str">
            <v>NS60L-9</v>
          </cell>
          <cell r="D193">
            <v>6</v>
          </cell>
          <cell r="E193">
            <v>7</v>
          </cell>
          <cell r="F193">
            <v>13</v>
          </cell>
          <cell r="G193">
            <v>6</v>
          </cell>
          <cell r="H193" t="str">
            <v>CM82</v>
          </cell>
          <cell r="I193" t="str">
            <v>CM87</v>
          </cell>
          <cell r="J193" t="str">
            <v>PULP</v>
          </cell>
          <cell r="K193">
            <v>0</v>
          </cell>
          <cell r="L193">
            <v>0</v>
          </cell>
          <cell r="M193" t="str">
            <v>C4A R/L</v>
          </cell>
          <cell r="N193" t="str">
            <v>P4M</v>
          </cell>
          <cell r="O193">
            <v>7.8</v>
          </cell>
        </row>
        <row r="194">
          <cell r="A194" t="str">
            <v>NS60LS11</v>
          </cell>
          <cell r="B194" t="str">
            <v>NS60LSPE11</v>
          </cell>
          <cell r="C194" t="str">
            <v>NS60LS</v>
          </cell>
          <cell r="D194">
            <v>5</v>
          </cell>
          <cell r="E194">
            <v>6</v>
          </cell>
          <cell r="F194">
            <v>11</v>
          </cell>
          <cell r="G194">
            <v>6</v>
          </cell>
          <cell r="H194" t="str">
            <v>CM84</v>
          </cell>
          <cell r="I194" t="str">
            <v>CM87</v>
          </cell>
          <cell r="J194" t="str">
            <v>PE</v>
          </cell>
          <cell r="K194">
            <v>0</v>
          </cell>
          <cell r="L194">
            <v>0</v>
          </cell>
          <cell r="M194" t="str">
            <v>C4A R/L</v>
          </cell>
          <cell r="N194" t="str">
            <v>P4M</v>
          </cell>
          <cell r="O194">
            <v>7.8</v>
          </cell>
        </row>
        <row r="195">
          <cell r="A195" t="str">
            <v>NS60LS13</v>
          </cell>
          <cell r="B195" t="str">
            <v>NS60LSPE13</v>
          </cell>
          <cell r="C195" t="str">
            <v>NS60LS</v>
          </cell>
          <cell r="D195">
            <v>6</v>
          </cell>
          <cell r="E195">
            <v>7</v>
          </cell>
          <cell r="F195">
            <v>13</v>
          </cell>
          <cell r="G195">
            <v>6</v>
          </cell>
          <cell r="H195" t="str">
            <v>CM84</v>
          </cell>
          <cell r="I195" t="str">
            <v>CM87</v>
          </cell>
          <cell r="J195" t="str">
            <v>PE</v>
          </cell>
          <cell r="K195">
            <v>0</v>
          </cell>
          <cell r="L195">
            <v>0</v>
          </cell>
          <cell r="M195" t="str">
            <v>C4A R/L</v>
          </cell>
          <cell r="N195" t="str">
            <v>P4M</v>
          </cell>
          <cell r="O195">
            <v>7.8</v>
          </cell>
        </row>
        <row r="196">
          <cell r="A196" t="str">
            <v>NS60LS13</v>
          </cell>
          <cell r="B196" t="str">
            <v>NS60LSPULP13</v>
          </cell>
          <cell r="C196" t="str">
            <v>NS60LS</v>
          </cell>
          <cell r="D196">
            <v>6</v>
          </cell>
          <cell r="E196">
            <v>7</v>
          </cell>
          <cell r="F196">
            <v>13</v>
          </cell>
          <cell r="G196">
            <v>6</v>
          </cell>
          <cell r="H196" t="str">
            <v>CM84</v>
          </cell>
          <cell r="I196" t="str">
            <v>CM87</v>
          </cell>
          <cell r="J196" t="str">
            <v>PULP</v>
          </cell>
          <cell r="K196">
            <v>0</v>
          </cell>
          <cell r="L196">
            <v>0</v>
          </cell>
          <cell r="M196" t="str">
            <v>C4A R/L</v>
          </cell>
          <cell r="N196" t="str">
            <v>P4M</v>
          </cell>
          <cell r="O196">
            <v>7.8</v>
          </cell>
        </row>
        <row r="197">
          <cell r="A197" t="str">
            <v>NS60S11</v>
          </cell>
          <cell r="B197" t="str">
            <v>NS60SPE11</v>
          </cell>
          <cell r="C197" t="str">
            <v>NS60S</v>
          </cell>
          <cell r="D197">
            <v>5</v>
          </cell>
          <cell r="E197">
            <v>6</v>
          </cell>
          <cell r="F197">
            <v>11</v>
          </cell>
          <cell r="G197">
            <v>6</v>
          </cell>
          <cell r="H197" t="str">
            <v>CM84</v>
          </cell>
          <cell r="I197" t="str">
            <v>CM87</v>
          </cell>
          <cell r="J197" t="str">
            <v>PE</v>
          </cell>
          <cell r="K197">
            <v>0</v>
          </cell>
          <cell r="L197">
            <v>0</v>
          </cell>
          <cell r="M197" t="str">
            <v>C4A R/L</v>
          </cell>
          <cell r="N197" t="str">
            <v>P4M</v>
          </cell>
          <cell r="O197">
            <v>7.8</v>
          </cell>
        </row>
        <row r="198">
          <cell r="A198" t="str">
            <v>NS60S13</v>
          </cell>
          <cell r="B198" t="str">
            <v>NS60SPE13</v>
          </cell>
          <cell r="C198" t="str">
            <v>NS60S</v>
          </cell>
          <cell r="D198">
            <v>6</v>
          </cell>
          <cell r="E198">
            <v>7</v>
          </cell>
          <cell r="F198">
            <v>13</v>
          </cell>
          <cell r="G198">
            <v>6</v>
          </cell>
          <cell r="H198" t="str">
            <v>CM84</v>
          </cell>
          <cell r="I198" t="str">
            <v>CM87</v>
          </cell>
          <cell r="J198" t="str">
            <v>PE</v>
          </cell>
          <cell r="K198">
            <v>0</v>
          </cell>
          <cell r="L198">
            <v>0</v>
          </cell>
          <cell r="M198" t="str">
            <v>C4A R/L</v>
          </cell>
          <cell r="N198" t="str">
            <v>P4M</v>
          </cell>
          <cell r="O198">
            <v>7.8</v>
          </cell>
        </row>
        <row r="199">
          <cell r="A199" t="str">
            <v>NS60S13</v>
          </cell>
          <cell r="B199" t="str">
            <v>NS60SPULP13</v>
          </cell>
          <cell r="C199" t="str">
            <v>NS60S</v>
          </cell>
          <cell r="D199">
            <v>6</v>
          </cell>
          <cell r="E199">
            <v>7</v>
          </cell>
          <cell r="F199">
            <v>13</v>
          </cell>
          <cell r="G199">
            <v>6</v>
          </cell>
          <cell r="H199" t="str">
            <v>CM84</v>
          </cell>
          <cell r="I199" t="str">
            <v>CM87</v>
          </cell>
          <cell r="J199" t="str">
            <v>PULP</v>
          </cell>
          <cell r="K199">
            <v>0</v>
          </cell>
          <cell r="L199">
            <v>0</v>
          </cell>
          <cell r="M199" t="str">
            <v>C4A R/L</v>
          </cell>
          <cell r="N199" t="str">
            <v>P4M</v>
          </cell>
          <cell r="O199">
            <v>7.8</v>
          </cell>
        </row>
        <row r="200">
          <cell r="A200" t="str">
            <v>NS7013</v>
          </cell>
          <cell r="B200" t="str">
            <v>NS70PE13</v>
          </cell>
          <cell r="C200" t="str">
            <v>NS70</v>
          </cell>
          <cell r="D200">
            <v>6</v>
          </cell>
          <cell r="E200">
            <v>7</v>
          </cell>
          <cell r="F200">
            <v>13</v>
          </cell>
          <cell r="G200">
            <v>6</v>
          </cell>
          <cell r="H200" t="str">
            <v>CG82</v>
          </cell>
          <cell r="I200" t="str">
            <v>CG87</v>
          </cell>
          <cell r="J200" t="str">
            <v>PE</v>
          </cell>
          <cell r="K200">
            <v>0</v>
          </cell>
          <cell r="L200">
            <v>0</v>
          </cell>
          <cell r="M200" t="str">
            <v>C5C R/L</v>
          </cell>
          <cell r="N200" t="str">
            <v>P7T</v>
          </cell>
          <cell r="O200">
            <v>10.199999999999999</v>
          </cell>
        </row>
        <row r="201">
          <cell r="A201" t="str">
            <v>NS7013</v>
          </cell>
          <cell r="B201" t="str">
            <v>NS70PULP13</v>
          </cell>
          <cell r="C201" t="str">
            <v>NS70</v>
          </cell>
          <cell r="D201">
            <v>6</v>
          </cell>
          <cell r="E201">
            <v>7</v>
          </cell>
          <cell r="F201">
            <v>13</v>
          </cell>
          <cell r="G201">
            <v>6</v>
          </cell>
          <cell r="H201" t="str">
            <v>CG82</v>
          </cell>
          <cell r="I201" t="str">
            <v>CG87</v>
          </cell>
          <cell r="J201" t="str">
            <v>PULP</v>
          </cell>
          <cell r="K201">
            <v>0</v>
          </cell>
          <cell r="L201">
            <v>0</v>
          </cell>
          <cell r="M201" t="str">
            <v>C5C R/L</v>
          </cell>
          <cell r="N201" t="str">
            <v>P7T</v>
          </cell>
          <cell r="O201">
            <v>10.199999999999999</v>
          </cell>
        </row>
        <row r="202">
          <cell r="A202" t="str">
            <v>NS7011</v>
          </cell>
          <cell r="B202" t="str">
            <v>NS70PE11</v>
          </cell>
          <cell r="C202" t="str">
            <v>NS70</v>
          </cell>
          <cell r="D202">
            <v>5</v>
          </cell>
          <cell r="E202">
            <v>6</v>
          </cell>
          <cell r="F202">
            <v>11</v>
          </cell>
          <cell r="G202">
            <v>6</v>
          </cell>
          <cell r="H202" t="str">
            <v>CG82</v>
          </cell>
          <cell r="I202" t="str">
            <v>CG87</v>
          </cell>
          <cell r="J202" t="str">
            <v>PE</v>
          </cell>
          <cell r="K202">
            <v>0</v>
          </cell>
          <cell r="L202">
            <v>0</v>
          </cell>
          <cell r="M202" t="str">
            <v>C5C R/L</v>
          </cell>
          <cell r="N202" t="str">
            <v>P7T</v>
          </cell>
          <cell r="O202">
            <v>10.199999999999999</v>
          </cell>
        </row>
        <row r="203">
          <cell r="A203" t="str">
            <v>NS70-913</v>
          </cell>
          <cell r="B203" t="str">
            <v>NS70-9PE13</v>
          </cell>
          <cell r="C203" t="str">
            <v>NS70-9</v>
          </cell>
          <cell r="D203">
            <v>6</v>
          </cell>
          <cell r="E203">
            <v>7</v>
          </cell>
          <cell r="F203">
            <v>13</v>
          </cell>
          <cell r="G203">
            <v>6</v>
          </cell>
          <cell r="H203" t="str">
            <v>CG80</v>
          </cell>
          <cell r="I203" t="str">
            <v>CG85</v>
          </cell>
          <cell r="J203" t="str">
            <v>PE</v>
          </cell>
          <cell r="K203">
            <v>0</v>
          </cell>
          <cell r="L203">
            <v>0</v>
          </cell>
          <cell r="M203" t="str">
            <v>C5C R/L</v>
          </cell>
          <cell r="N203" t="str">
            <v>P7T</v>
          </cell>
          <cell r="O203">
            <v>10.199999999999999</v>
          </cell>
        </row>
        <row r="204">
          <cell r="A204" t="str">
            <v>NS70L13</v>
          </cell>
          <cell r="B204" t="str">
            <v>NS70LPE13</v>
          </cell>
          <cell r="C204" t="str">
            <v>NS70L</v>
          </cell>
          <cell r="D204">
            <v>6</v>
          </cell>
          <cell r="E204">
            <v>7</v>
          </cell>
          <cell r="F204">
            <v>13</v>
          </cell>
          <cell r="G204">
            <v>6</v>
          </cell>
          <cell r="H204" t="str">
            <v>CG82</v>
          </cell>
          <cell r="I204" t="str">
            <v>CG87</v>
          </cell>
          <cell r="J204" t="str">
            <v>PE</v>
          </cell>
          <cell r="K204">
            <v>0</v>
          </cell>
          <cell r="L204">
            <v>0</v>
          </cell>
          <cell r="M204" t="str">
            <v>C5C R/L</v>
          </cell>
          <cell r="N204" t="str">
            <v>P7T</v>
          </cell>
          <cell r="O204">
            <v>10.199999999999999</v>
          </cell>
        </row>
        <row r="205">
          <cell r="A205" t="str">
            <v>NS70L14</v>
          </cell>
          <cell r="B205" t="str">
            <v>NS70LPE14</v>
          </cell>
          <cell r="C205" t="str">
            <v>NS70L</v>
          </cell>
          <cell r="D205">
            <v>7</v>
          </cell>
          <cell r="E205">
            <v>7</v>
          </cell>
          <cell r="F205">
            <v>14</v>
          </cell>
          <cell r="G205">
            <v>6</v>
          </cell>
          <cell r="H205" t="str">
            <v>CG82</v>
          </cell>
          <cell r="I205" t="str">
            <v>CG87</v>
          </cell>
          <cell r="J205" t="str">
            <v>PE</v>
          </cell>
          <cell r="K205">
            <v>0</v>
          </cell>
          <cell r="L205">
            <v>0</v>
          </cell>
          <cell r="M205" t="str">
            <v>C5C R/L</v>
          </cell>
          <cell r="N205" t="str">
            <v>P7T</v>
          </cell>
          <cell r="O205">
            <v>10.199999999999999</v>
          </cell>
        </row>
        <row r="206">
          <cell r="A206" t="str">
            <v>NS70L11</v>
          </cell>
          <cell r="B206" t="str">
            <v>NS70LPE11</v>
          </cell>
          <cell r="C206" t="str">
            <v>NS70L</v>
          </cell>
          <cell r="D206">
            <v>5</v>
          </cell>
          <cell r="E206">
            <v>6</v>
          </cell>
          <cell r="F206">
            <v>11</v>
          </cell>
          <cell r="G206">
            <v>6</v>
          </cell>
          <cell r="H206" t="str">
            <v>CG82</v>
          </cell>
          <cell r="I206" t="str">
            <v>CG87</v>
          </cell>
          <cell r="J206" t="str">
            <v>PE</v>
          </cell>
          <cell r="K206">
            <v>0</v>
          </cell>
          <cell r="L206">
            <v>0</v>
          </cell>
          <cell r="M206" t="str">
            <v>C5C R/L</v>
          </cell>
          <cell r="N206" t="str">
            <v>P7T</v>
          </cell>
          <cell r="O206">
            <v>10.199999999999999</v>
          </cell>
        </row>
        <row r="207">
          <cell r="A207" t="str">
            <v>NS70L13</v>
          </cell>
          <cell r="B207" t="str">
            <v>NS70LPULP13</v>
          </cell>
          <cell r="C207" t="str">
            <v>NS70L</v>
          </cell>
          <cell r="D207">
            <v>6</v>
          </cell>
          <cell r="E207">
            <v>7</v>
          </cell>
          <cell r="F207">
            <v>13</v>
          </cell>
          <cell r="G207">
            <v>6</v>
          </cell>
          <cell r="H207" t="str">
            <v>CG82</v>
          </cell>
          <cell r="I207" t="str">
            <v>CG87</v>
          </cell>
          <cell r="J207" t="str">
            <v>PULP</v>
          </cell>
          <cell r="K207">
            <v>0</v>
          </cell>
          <cell r="L207">
            <v>0</v>
          </cell>
          <cell r="M207" t="str">
            <v>C5C R/L</v>
          </cell>
          <cell r="N207" t="str">
            <v>P7T</v>
          </cell>
          <cell r="O207">
            <v>10.199999999999999</v>
          </cell>
        </row>
        <row r="208">
          <cell r="A208" t="str">
            <v>NX120-717</v>
          </cell>
          <cell r="B208" t="str">
            <v>NX120-7PE17</v>
          </cell>
          <cell r="C208" t="str">
            <v>NX120-7</v>
          </cell>
          <cell r="D208">
            <v>9</v>
          </cell>
          <cell r="E208">
            <v>8</v>
          </cell>
          <cell r="F208">
            <v>17</v>
          </cell>
          <cell r="G208">
            <v>6</v>
          </cell>
          <cell r="H208" t="str">
            <v>CG85</v>
          </cell>
          <cell r="I208" t="str">
            <v>CG85</v>
          </cell>
          <cell r="J208" t="str">
            <v>PE</v>
          </cell>
          <cell r="K208">
            <v>0</v>
          </cell>
          <cell r="L208">
            <v>0</v>
          </cell>
          <cell r="M208" t="str">
            <v>C5B R/L</v>
          </cell>
          <cell r="N208" t="str">
            <v>P7T</v>
          </cell>
          <cell r="O208">
            <v>13.8</v>
          </cell>
        </row>
        <row r="209">
          <cell r="A209" t="str">
            <v>NX120-715</v>
          </cell>
          <cell r="B209" t="str">
            <v>NX120-7PE15</v>
          </cell>
          <cell r="C209" t="str">
            <v>NX120-7</v>
          </cell>
          <cell r="D209">
            <v>8</v>
          </cell>
          <cell r="E209">
            <v>7</v>
          </cell>
          <cell r="F209">
            <v>15</v>
          </cell>
          <cell r="G209">
            <v>6</v>
          </cell>
          <cell r="H209" t="str">
            <v>CG85</v>
          </cell>
          <cell r="I209" t="str">
            <v>CG85</v>
          </cell>
          <cell r="J209" t="str">
            <v>PE</v>
          </cell>
          <cell r="K209">
            <v>0</v>
          </cell>
          <cell r="L209">
            <v>0</v>
          </cell>
          <cell r="M209" t="str">
            <v>C5B R/L</v>
          </cell>
          <cell r="N209" t="str">
            <v>P7T</v>
          </cell>
          <cell r="O209">
            <v>13.8</v>
          </cell>
        </row>
        <row r="210">
          <cell r="A210" t="str">
            <v>NX120-7L17</v>
          </cell>
          <cell r="B210" t="str">
            <v>NX120-7LPE17</v>
          </cell>
          <cell r="C210" t="str">
            <v>NX120-7L</v>
          </cell>
          <cell r="D210">
            <v>9</v>
          </cell>
          <cell r="E210">
            <v>8</v>
          </cell>
          <cell r="F210">
            <v>17</v>
          </cell>
          <cell r="G210">
            <v>6</v>
          </cell>
          <cell r="H210" t="str">
            <v>CG85</v>
          </cell>
          <cell r="I210" t="str">
            <v>CG85</v>
          </cell>
          <cell r="J210" t="str">
            <v>PE</v>
          </cell>
          <cell r="K210">
            <v>0</v>
          </cell>
          <cell r="L210">
            <v>0</v>
          </cell>
          <cell r="M210" t="str">
            <v>C5B R/L</v>
          </cell>
          <cell r="N210" t="str">
            <v>P7T</v>
          </cell>
          <cell r="O210">
            <v>13.8</v>
          </cell>
        </row>
        <row r="211">
          <cell r="A211" t="str">
            <v>NX120-7L15</v>
          </cell>
          <cell r="B211" t="str">
            <v>NX120-7LPE15</v>
          </cell>
          <cell r="C211" t="str">
            <v>NX120-7L</v>
          </cell>
          <cell r="D211">
            <v>8</v>
          </cell>
          <cell r="E211">
            <v>7</v>
          </cell>
          <cell r="F211">
            <v>15</v>
          </cell>
          <cell r="G211">
            <v>6</v>
          </cell>
          <cell r="H211" t="str">
            <v>CG85</v>
          </cell>
          <cell r="I211" t="str">
            <v>CG85</v>
          </cell>
          <cell r="J211" t="str">
            <v>PE</v>
          </cell>
          <cell r="K211">
            <v>0</v>
          </cell>
          <cell r="L211">
            <v>0</v>
          </cell>
          <cell r="M211" t="str">
            <v>C5B R/L</v>
          </cell>
          <cell r="N211" t="str">
            <v>P7T</v>
          </cell>
          <cell r="O211">
            <v>13.8</v>
          </cell>
        </row>
        <row r="212">
          <cell r="A212" t="str">
            <v>N100-920</v>
          </cell>
          <cell r="B212" t="str">
            <v>N100-9PULP20</v>
          </cell>
          <cell r="C212" t="str">
            <v>N100-9</v>
          </cell>
          <cell r="D212">
            <v>10</v>
          </cell>
          <cell r="E212">
            <v>10</v>
          </cell>
          <cell r="F212">
            <v>20</v>
          </cell>
          <cell r="G212">
            <v>6</v>
          </cell>
          <cell r="H212" t="str">
            <v>CG80</v>
          </cell>
          <cell r="I212" t="str">
            <v>CG87</v>
          </cell>
          <cell r="J212" t="str">
            <v>PULP</v>
          </cell>
          <cell r="K212">
            <v>0</v>
          </cell>
          <cell r="L212">
            <v>0</v>
          </cell>
          <cell r="M212" t="str">
            <v>C1227 R/L</v>
          </cell>
          <cell r="N212" t="str">
            <v>P7T</v>
          </cell>
          <cell r="O212">
            <v>14.9</v>
          </cell>
        </row>
        <row r="213">
          <cell r="A213" t="str">
            <v>NS70-914</v>
          </cell>
          <cell r="B213" t="str">
            <v>NS70-9PE14</v>
          </cell>
          <cell r="C213" t="str">
            <v>NS70-9</v>
          </cell>
          <cell r="D213">
            <v>7</v>
          </cell>
          <cell r="E213">
            <v>7</v>
          </cell>
          <cell r="F213">
            <v>14</v>
          </cell>
          <cell r="G213">
            <v>6</v>
          </cell>
          <cell r="H213" t="str">
            <v>CG80</v>
          </cell>
          <cell r="I213" t="str">
            <v>CG85</v>
          </cell>
          <cell r="J213" t="str">
            <v>PE</v>
          </cell>
          <cell r="K213">
            <v>0</v>
          </cell>
          <cell r="L213">
            <v>0</v>
          </cell>
          <cell r="M213" t="str">
            <v>C5C R/L</v>
          </cell>
          <cell r="N213" t="str">
            <v>P7T</v>
          </cell>
          <cell r="O213">
            <v>10.4</v>
          </cell>
        </row>
        <row r="214">
          <cell r="A214" t="str">
            <v>N70-915</v>
          </cell>
          <cell r="B214" t="str">
            <v>N70-9PE15</v>
          </cell>
          <cell r="C214" t="str">
            <v>N70-9</v>
          </cell>
          <cell r="D214">
            <v>8</v>
          </cell>
          <cell r="E214">
            <v>7</v>
          </cell>
          <cell r="F214">
            <v>15</v>
          </cell>
          <cell r="G214">
            <v>6</v>
          </cell>
          <cell r="H214" t="str">
            <v>CG80</v>
          </cell>
          <cell r="I214" t="str">
            <v>CG85</v>
          </cell>
          <cell r="J214" t="str">
            <v>PE</v>
          </cell>
          <cell r="K214">
            <v>0</v>
          </cell>
          <cell r="L214">
            <v>0</v>
          </cell>
          <cell r="M214" t="str">
            <v>C5B R/L</v>
          </cell>
          <cell r="N214" t="str">
            <v>P7T</v>
          </cell>
          <cell r="O214">
            <v>12.1</v>
          </cell>
        </row>
        <row r="215">
          <cell r="A215" t="str">
            <v>NX120-717</v>
          </cell>
          <cell r="B215" t="str">
            <v>NX120-7PULP17</v>
          </cell>
          <cell r="C215" t="str">
            <v>NX120-7</v>
          </cell>
          <cell r="D215">
            <v>9</v>
          </cell>
          <cell r="E215">
            <v>8</v>
          </cell>
          <cell r="F215">
            <v>17</v>
          </cell>
          <cell r="G215">
            <v>6</v>
          </cell>
          <cell r="H215" t="str">
            <v>CG85</v>
          </cell>
          <cell r="I215" t="str">
            <v>CG85</v>
          </cell>
          <cell r="J215" t="str">
            <v>PULP</v>
          </cell>
          <cell r="K215">
            <v>0</v>
          </cell>
          <cell r="L215">
            <v>0</v>
          </cell>
          <cell r="M215" t="str">
            <v>C5B R/L</v>
          </cell>
          <cell r="N215" t="str">
            <v>P7T</v>
          </cell>
          <cell r="O215">
            <v>13.8</v>
          </cell>
        </row>
        <row r="216">
          <cell r="A216" t="str">
            <v>105D3118</v>
          </cell>
          <cell r="B216" t="str">
            <v>105D31PE18</v>
          </cell>
          <cell r="C216" t="str">
            <v>105D31</v>
          </cell>
          <cell r="D216">
            <v>9</v>
          </cell>
          <cell r="E216">
            <v>9</v>
          </cell>
          <cell r="F216">
            <v>18</v>
          </cell>
          <cell r="G216">
            <v>6</v>
          </cell>
          <cell r="H216" t="str">
            <v>CG85</v>
          </cell>
          <cell r="I216" t="str">
            <v>CG85</v>
          </cell>
          <cell r="J216" t="str">
            <v>PE</v>
          </cell>
          <cell r="K216">
            <v>0</v>
          </cell>
          <cell r="L216">
            <v>0</v>
          </cell>
          <cell r="M216" t="str">
            <v>C5B R/L</v>
          </cell>
          <cell r="N216" t="str">
            <v>P7T</v>
          </cell>
          <cell r="O216">
            <v>13.8</v>
          </cell>
        </row>
        <row r="217">
          <cell r="A217" t="str">
            <v>N0315</v>
          </cell>
          <cell r="B217" t="str">
            <v>N03PE15</v>
          </cell>
          <cell r="C217" t="str">
            <v>N03</v>
          </cell>
          <cell r="D217">
            <v>8</v>
          </cell>
          <cell r="E217">
            <v>7</v>
          </cell>
          <cell r="F217">
            <v>15</v>
          </cell>
          <cell r="G217">
            <v>3</v>
          </cell>
          <cell r="H217" t="str">
            <v>CR82</v>
          </cell>
          <cell r="I217" t="str">
            <v>CR87</v>
          </cell>
          <cell r="J217" t="str">
            <v>PE</v>
          </cell>
          <cell r="K217">
            <v>0</v>
          </cell>
          <cell r="L217">
            <v>0</v>
          </cell>
          <cell r="M217" t="str">
            <v>C8R/L</v>
          </cell>
          <cell r="N217" t="str">
            <v>P0973</v>
          </cell>
          <cell r="O217">
            <v>0</v>
          </cell>
        </row>
        <row r="218">
          <cell r="A218" t="str">
            <v>MF32511</v>
          </cell>
          <cell r="B218" t="str">
            <v>MF325PE11</v>
          </cell>
          <cell r="C218" t="str">
            <v>MF325</v>
          </cell>
          <cell r="D218">
            <v>6</v>
          </cell>
          <cell r="E218">
            <v>5</v>
          </cell>
          <cell r="F218">
            <v>11</v>
          </cell>
          <cell r="G218">
            <v>6</v>
          </cell>
          <cell r="H218" t="str">
            <v>YM84</v>
          </cell>
          <cell r="I218" t="str">
            <v>YM84</v>
          </cell>
          <cell r="J218" t="str">
            <v>PE</v>
          </cell>
          <cell r="K218">
            <v>0</v>
          </cell>
          <cell r="L218">
            <v>0</v>
          </cell>
          <cell r="M218" t="str">
            <v>C5DL/R</v>
          </cell>
          <cell r="N218" t="str">
            <v>P7T</v>
          </cell>
          <cell r="O218">
            <v>0</v>
          </cell>
        </row>
        <row r="219">
          <cell r="A219" t="str">
            <v>N12D19</v>
          </cell>
          <cell r="B219" t="str">
            <v>N12DPE19</v>
          </cell>
          <cell r="C219" t="str">
            <v>N12D</v>
          </cell>
          <cell r="D219">
            <v>10</v>
          </cell>
          <cell r="E219">
            <v>9</v>
          </cell>
          <cell r="F219">
            <v>19</v>
          </cell>
          <cell r="G219">
            <v>3</v>
          </cell>
          <cell r="H219" t="str">
            <v>CG80</v>
          </cell>
          <cell r="I219" t="str">
            <v>CG85</v>
          </cell>
          <cell r="J219" t="str">
            <v>PE</v>
          </cell>
          <cell r="K219">
            <v>0</v>
          </cell>
          <cell r="L219">
            <v>0</v>
          </cell>
          <cell r="M219" t="str">
            <v>C5B R/L</v>
          </cell>
          <cell r="N219" t="str">
            <v>P0968</v>
          </cell>
          <cell r="O219">
            <v>0</v>
          </cell>
        </row>
        <row r="220">
          <cell r="A220" t="str">
            <v>NS40A8</v>
          </cell>
          <cell r="B220" t="str">
            <v>NS40APE8</v>
          </cell>
          <cell r="C220" t="str">
            <v>NS40A</v>
          </cell>
          <cell r="D220">
            <v>4</v>
          </cell>
          <cell r="E220">
            <v>4</v>
          </cell>
          <cell r="F220">
            <v>8</v>
          </cell>
          <cell r="G220">
            <v>6</v>
          </cell>
          <cell r="H220" t="str">
            <v>CM84</v>
          </cell>
          <cell r="I220" t="str">
            <v>YM84</v>
          </cell>
          <cell r="J220" t="str">
            <v>PE</v>
          </cell>
          <cell r="K220">
            <v>0</v>
          </cell>
          <cell r="L220">
            <v>0</v>
          </cell>
          <cell r="M220" t="str">
            <v>C4A R/L</v>
          </cell>
          <cell r="N220" t="str">
            <v>P4M</v>
          </cell>
          <cell r="O220">
            <v>0</v>
          </cell>
        </row>
        <row r="221">
          <cell r="A221" t="str">
            <v>NS70G13</v>
          </cell>
          <cell r="B221" t="str">
            <v>NS70GPE13</v>
          </cell>
          <cell r="C221" t="str">
            <v>NS70G</v>
          </cell>
          <cell r="D221">
            <v>6</v>
          </cell>
          <cell r="E221">
            <v>7</v>
          </cell>
          <cell r="F221">
            <v>13</v>
          </cell>
          <cell r="G221">
            <v>6</v>
          </cell>
          <cell r="H221" t="str">
            <v>CG85</v>
          </cell>
          <cell r="I221" t="str">
            <v>YG87</v>
          </cell>
          <cell r="J221" t="str">
            <v>PE</v>
          </cell>
          <cell r="K221">
            <v>0</v>
          </cell>
          <cell r="L221">
            <v>0</v>
          </cell>
          <cell r="M221" t="str">
            <v>C5C R/L</v>
          </cell>
          <cell r="N221" t="str">
            <v>P7T</v>
          </cell>
          <cell r="O221">
            <v>0</v>
          </cell>
        </row>
        <row r="222">
          <cell r="A222" t="str">
            <v>N50G9</v>
          </cell>
          <cell r="B222" t="str">
            <v>N50GPE9</v>
          </cell>
          <cell r="C222" t="str">
            <v>N50G</v>
          </cell>
          <cell r="D222">
            <v>5</v>
          </cell>
          <cell r="E222">
            <v>4</v>
          </cell>
          <cell r="F222">
            <v>9</v>
          </cell>
          <cell r="G222">
            <v>6</v>
          </cell>
          <cell r="H222" t="str">
            <v>CG85</v>
          </cell>
          <cell r="I222" t="str">
            <v>YG87</v>
          </cell>
          <cell r="J222" t="str">
            <v>PE</v>
          </cell>
          <cell r="K222">
            <v>0</v>
          </cell>
          <cell r="L222">
            <v>0</v>
          </cell>
          <cell r="M222" t="str">
            <v>C5C R/L</v>
          </cell>
          <cell r="N222" t="str">
            <v>P7T</v>
          </cell>
          <cell r="O222">
            <v>0</v>
          </cell>
        </row>
        <row r="223">
          <cell r="A223" t="str">
            <v>MF6003818</v>
          </cell>
          <cell r="B223" t="str">
            <v>MF60038PE18</v>
          </cell>
          <cell r="C223" t="str">
            <v>MF60038</v>
          </cell>
          <cell r="D223">
            <v>9</v>
          </cell>
          <cell r="E223">
            <v>9</v>
          </cell>
          <cell r="F223">
            <v>18</v>
          </cell>
          <cell r="G223">
            <v>6</v>
          </cell>
          <cell r="H223" t="str">
            <v>YG82HD</v>
          </cell>
          <cell r="I223" t="str">
            <v>YG85</v>
          </cell>
          <cell r="J223" t="str">
            <v>PE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A224" t="str">
            <v>MF6003820</v>
          </cell>
          <cell r="B224" t="str">
            <v>MF60038PE20</v>
          </cell>
          <cell r="C224" t="str">
            <v>MF60038</v>
          </cell>
          <cell r="D224">
            <v>10</v>
          </cell>
          <cell r="E224">
            <v>10</v>
          </cell>
          <cell r="F224">
            <v>20</v>
          </cell>
          <cell r="G224">
            <v>6</v>
          </cell>
          <cell r="H224" t="str">
            <v>YG80</v>
          </cell>
          <cell r="I224" t="str">
            <v>YG85</v>
          </cell>
          <cell r="J224" t="str">
            <v>PE</v>
          </cell>
          <cell r="K224">
            <v>0</v>
          </cell>
          <cell r="L224">
            <v>0</v>
          </cell>
          <cell r="M224" t="str">
            <v>C5DL/R</v>
          </cell>
          <cell r="N224" t="str">
            <v>P8G2</v>
          </cell>
          <cell r="O224">
            <v>0</v>
          </cell>
        </row>
        <row r="225">
          <cell r="A225" t="str">
            <v>MF580-2414</v>
          </cell>
          <cell r="B225" t="str">
            <v>MF580-24PE14</v>
          </cell>
          <cell r="C225" t="str">
            <v>MF580-24</v>
          </cell>
          <cell r="D225">
            <v>7</v>
          </cell>
          <cell r="E225">
            <v>7</v>
          </cell>
          <cell r="F225">
            <v>14</v>
          </cell>
          <cell r="G225">
            <v>6</v>
          </cell>
          <cell r="H225" t="str">
            <v>YG80</v>
          </cell>
          <cell r="I225" t="str">
            <v>YG85</v>
          </cell>
          <cell r="J225" t="str">
            <v>PE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A226" t="str">
            <v>34B20L11</v>
          </cell>
          <cell r="B226" t="str">
            <v>34B20LPE11</v>
          </cell>
          <cell r="C226" t="str">
            <v>34B20L</v>
          </cell>
          <cell r="D226">
            <v>5</v>
          </cell>
          <cell r="E226">
            <v>6</v>
          </cell>
          <cell r="F226">
            <v>11</v>
          </cell>
          <cell r="G226">
            <v>6</v>
          </cell>
          <cell r="H226" t="str">
            <v>YM84</v>
          </cell>
          <cell r="I226" t="str">
            <v>CM84</v>
          </cell>
          <cell r="J226" t="str">
            <v>PE</v>
          </cell>
          <cell r="K226">
            <v>0</v>
          </cell>
          <cell r="L226">
            <v>0</v>
          </cell>
          <cell r="M226" t="str">
            <v>C4A R/L</v>
          </cell>
          <cell r="N226" t="str">
            <v>P4M</v>
          </cell>
          <cell r="O226">
            <v>0</v>
          </cell>
        </row>
        <row r="227">
          <cell r="A227" t="str">
            <v>NS70LG13</v>
          </cell>
          <cell r="B227" t="str">
            <v>NS70LGPE13</v>
          </cell>
          <cell r="C227" t="str">
            <v>NS70LG</v>
          </cell>
          <cell r="D227">
            <v>6</v>
          </cell>
          <cell r="E227">
            <v>7</v>
          </cell>
          <cell r="F227">
            <v>13</v>
          </cell>
          <cell r="G227">
            <v>6</v>
          </cell>
          <cell r="H227" t="str">
            <v>CG85</v>
          </cell>
          <cell r="I227" t="str">
            <v>YG87</v>
          </cell>
          <cell r="J227" t="str">
            <v>PE</v>
          </cell>
          <cell r="K227">
            <v>0</v>
          </cell>
          <cell r="L227">
            <v>0</v>
          </cell>
          <cell r="M227" t="str">
            <v>C5C R/L</v>
          </cell>
          <cell r="N227" t="str">
            <v>P7T</v>
          </cell>
          <cell r="O227">
            <v>0</v>
          </cell>
        </row>
        <row r="228">
          <cell r="A228" t="str">
            <v>N50ZG11</v>
          </cell>
          <cell r="B228" t="str">
            <v>N50ZGPE11</v>
          </cell>
          <cell r="C228" t="str">
            <v>N50ZG</v>
          </cell>
          <cell r="D228">
            <v>5</v>
          </cell>
          <cell r="E228">
            <v>6</v>
          </cell>
          <cell r="F228">
            <v>11</v>
          </cell>
          <cell r="G228">
            <v>6</v>
          </cell>
          <cell r="H228" t="str">
            <v>CG85</v>
          </cell>
          <cell r="I228" t="str">
            <v>YG87</v>
          </cell>
          <cell r="J228" t="str">
            <v>PE</v>
          </cell>
          <cell r="K228">
            <v>0</v>
          </cell>
          <cell r="L228">
            <v>0</v>
          </cell>
          <cell r="M228" t="str">
            <v>C5C R/L</v>
          </cell>
          <cell r="N228" t="str">
            <v>P7T</v>
          </cell>
          <cell r="O228">
            <v>0</v>
          </cell>
        </row>
        <row r="229">
          <cell r="A229" t="str">
            <v>MF60018</v>
          </cell>
          <cell r="B229" t="str">
            <v>MF600PE18</v>
          </cell>
          <cell r="C229" t="str">
            <v>MF600</v>
          </cell>
          <cell r="D229">
            <v>9</v>
          </cell>
          <cell r="E229">
            <v>9</v>
          </cell>
          <cell r="F229">
            <v>18</v>
          </cell>
          <cell r="G229">
            <v>9</v>
          </cell>
          <cell r="H229" t="str">
            <v>YG82HD</v>
          </cell>
          <cell r="I229" t="str">
            <v>YG85</v>
          </cell>
          <cell r="J229" t="str">
            <v>PE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A230" t="str">
            <v>MF38215</v>
          </cell>
          <cell r="B230" t="str">
            <v>MF382PE15</v>
          </cell>
          <cell r="C230" t="str">
            <v>MF382</v>
          </cell>
          <cell r="D230">
            <v>8</v>
          </cell>
          <cell r="E230">
            <v>7</v>
          </cell>
          <cell r="F230">
            <v>15</v>
          </cell>
          <cell r="G230">
            <v>6</v>
          </cell>
          <cell r="H230" t="str">
            <v>YG82HD</v>
          </cell>
          <cell r="I230" t="str">
            <v>YG85</v>
          </cell>
          <cell r="J230" t="str">
            <v>PE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A231" t="str">
            <v>MF32312</v>
          </cell>
          <cell r="B231" t="str">
            <v>MF323PE12</v>
          </cell>
          <cell r="C231" t="str">
            <v>MF323</v>
          </cell>
          <cell r="D231">
            <v>6</v>
          </cell>
          <cell r="E231">
            <v>6</v>
          </cell>
          <cell r="F231">
            <v>12</v>
          </cell>
          <cell r="G231">
            <v>6</v>
          </cell>
          <cell r="H231" t="str">
            <v>YG82HD</v>
          </cell>
          <cell r="I231" t="str">
            <v>YG85</v>
          </cell>
          <cell r="J231" t="str">
            <v>PE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A232" t="str">
            <v>MF38518</v>
          </cell>
          <cell r="B232" t="str">
            <v>MF385PE18</v>
          </cell>
          <cell r="C232" t="str">
            <v>MF385</v>
          </cell>
          <cell r="D232">
            <v>9</v>
          </cell>
          <cell r="E232">
            <v>9</v>
          </cell>
          <cell r="F232">
            <v>18</v>
          </cell>
          <cell r="G232">
            <v>9</v>
          </cell>
          <cell r="H232" t="str">
            <v>YG82HD</v>
          </cell>
          <cell r="I232" t="str">
            <v>YG85</v>
          </cell>
          <cell r="J232" t="str">
            <v>PE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A233" t="str">
            <v>NS6012</v>
          </cell>
          <cell r="B233" t="str">
            <v>NS60PE12</v>
          </cell>
          <cell r="C233" t="str">
            <v>NS60</v>
          </cell>
          <cell r="D233">
            <v>6</v>
          </cell>
          <cell r="E233">
            <v>6</v>
          </cell>
          <cell r="F233">
            <v>12</v>
          </cell>
          <cell r="G233">
            <v>6</v>
          </cell>
          <cell r="H233" t="str">
            <v>CM84</v>
          </cell>
          <cell r="I233" t="str">
            <v>YM84C</v>
          </cell>
          <cell r="J233" t="str">
            <v>PE</v>
          </cell>
          <cell r="K233">
            <v>0</v>
          </cell>
          <cell r="L233">
            <v>0</v>
          </cell>
          <cell r="M233" t="str">
            <v>C4CL/R</v>
          </cell>
          <cell r="N233" t="str">
            <v>P4M</v>
          </cell>
          <cell r="O233">
            <v>0</v>
          </cell>
        </row>
        <row r="234">
          <cell r="A234" t="str">
            <v>MF75D2314</v>
          </cell>
          <cell r="B234" t="str">
            <v>MF75D23PE14</v>
          </cell>
          <cell r="C234" t="str">
            <v>MF75D23</v>
          </cell>
          <cell r="D234">
            <v>7</v>
          </cell>
          <cell r="E234">
            <v>7</v>
          </cell>
          <cell r="F234">
            <v>14</v>
          </cell>
          <cell r="G234">
            <v>6</v>
          </cell>
          <cell r="H234" t="str">
            <v>YG80</v>
          </cell>
          <cell r="I234" t="str">
            <v>YG85</v>
          </cell>
          <cell r="J234" t="str">
            <v>PE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A235" t="str">
            <v>MF105D3118</v>
          </cell>
          <cell r="B235" t="str">
            <v>MF105D31PE18</v>
          </cell>
          <cell r="C235" t="str">
            <v>MF105D31</v>
          </cell>
          <cell r="D235">
            <v>9</v>
          </cell>
          <cell r="E235">
            <v>9</v>
          </cell>
          <cell r="F235">
            <v>18</v>
          </cell>
          <cell r="G235">
            <v>6</v>
          </cell>
          <cell r="H235" t="str">
            <v>YG82</v>
          </cell>
          <cell r="I235" t="str">
            <v>YG87</v>
          </cell>
          <cell r="J235" t="str">
            <v>PE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A236" t="str">
            <v>GTZ4V7</v>
          </cell>
          <cell r="B236" t="str">
            <v>GTZ4VPE7</v>
          </cell>
          <cell r="C236" t="str">
            <v>GTZ4V</v>
          </cell>
          <cell r="D236">
            <v>3</v>
          </cell>
          <cell r="E236">
            <v>4</v>
          </cell>
          <cell r="F236">
            <v>7</v>
          </cell>
          <cell r="G236">
            <v>6</v>
          </cell>
          <cell r="H236" t="str">
            <v>M82</v>
          </cell>
          <cell r="I236" t="str">
            <v>M86</v>
          </cell>
          <cell r="J236" t="str">
            <v>PE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A237" t="str">
            <v>MFN12021</v>
          </cell>
          <cell r="B237" t="str">
            <v>MFN120PE21</v>
          </cell>
          <cell r="C237" t="str">
            <v>MFN120</v>
          </cell>
          <cell r="D237">
            <v>10</v>
          </cell>
          <cell r="E237">
            <v>11</v>
          </cell>
          <cell r="F237">
            <v>21</v>
          </cell>
          <cell r="G237">
            <v>6</v>
          </cell>
          <cell r="H237" t="str">
            <v>YG80</v>
          </cell>
          <cell r="I237" t="str">
            <v>YG85</v>
          </cell>
          <cell r="J237" t="str">
            <v>PE</v>
          </cell>
          <cell r="K237">
            <v>0</v>
          </cell>
          <cell r="L237">
            <v>0</v>
          </cell>
          <cell r="M237" t="str">
            <v>C12G2R/L</v>
          </cell>
          <cell r="N237" t="str">
            <v>P12G2</v>
          </cell>
          <cell r="O237">
            <v>0</v>
          </cell>
        </row>
        <row r="238">
          <cell r="A238" t="str">
            <v>MFN15027</v>
          </cell>
          <cell r="B238" t="str">
            <v>MFN150PE27</v>
          </cell>
          <cell r="C238" t="str">
            <v>MFN150</v>
          </cell>
          <cell r="D238">
            <v>13</v>
          </cell>
          <cell r="E238">
            <v>14</v>
          </cell>
          <cell r="F238">
            <v>27</v>
          </cell>
          <cell r="G238">
            <v>6</v>
          </cell>
          <cell r="H238" t="str">
            <v>YG80</v>
          </cell>
          <cell r="I238" t="str">
            <v>YG85</v>
          </cell>
          <cell r="J238" t="str">
            <v>PE</v>
          </cell>
          <cell r="K238">
            <v>0</v>
          </cell>
          <cell r="L238">
            <v>0</v>
          </cell>
          <cell r="M238" t="str">
            <v>C15G2R/L</v>
          </cell>
          <cell r="N238" t="str">
            <v>P1683</v>
          </cell>
          <cell r="O238">
            <v>0</v>
          </cell>
        </row>
        <row r="239">
          <cell r="A239" t="str">
            <v>MF5741214</v>
          </cell>
          <cell r="B239" t="str">
            <v>MF57412PE14</v>
          </cell>
          <cell r="C239" t="str">
            <v>MF57412</v>
          </cell>
          <cell r="D239">
            <v>7</v>
          </cell>
          <cell r="E239">
            <v>7</v>
          </cell>
          <cell r="F239">
            <v>14</v>
          </cell>
          <cell r="G239">
            <v>6</v>
          </cell>
          <cell r="H239" t="str">
            <v>YG79HD</v>
          </cell>
          <cell r="I239" t="str">
            <v>YG85</v>
          </cell>
          <cell r="J239" t="str">
            <v>PE</v>
          </cell>
          <cell r="K239">
            <v>0</v>
          </cell>
          <cell r="L239">
            <v>0</v>
          </cell>
          <cell r="M239" t="str">
            <v>C5D R/L</v>
          </cell>
          <cell r="N239" t="str">
            <v>P8G2</v>
          </cell>
          <cell r="O239">
            <v>0</v>
          </cell>
        </row>
        <row r="240">
          <cell r="A240" t="str">
            <v>MFN15031</v>
          </cell>
          <cell r="B240" t="str">
            <v>MFN150PE31</v>
          </cell>
          <cell r="C240" t="str">
            <v>MFN150</v>
          </cell>
          <cell r="D240">
            <v>16</v>
          </cell>
          <cell r="E240">
            <v>15</v>
          </cell>
          <cell r="F240">
            <v>31</v>
          </cell>
          <cell r="G240">
            <v>6</v>
          </cell>
          <cell r="H240" t="str">
            <v>YG79HD</v>
          </cell>
          <cell r="I240" t="str">
            <v>YG85</v>
          </cell>
          <cell r="J240" t="str">
            <v>PE</v>
          </cell>
          <cell r="K240">
            <v>0</v>
          </cell>
          <cell r="L240">
            <v>0</v>
          </cell>
          <cell r="M240" t="str">
            <v>C15G2R/L</v>
          </cell>
          <cell r="N240" t="str">
            <v>P1683</v>
          </cell>
          <cell r="O240">
            <v>0</v>
          </cell>
        </row>
        <row r="241">
          <cell r="A241" t="str">
            <v>MF560-7311</v>
          </cell>
          <cell r="B241" t="str">
            <v>MF560-73PE11</v>
          </cell>
          <cell r="C241" t="str">
            <v>MF560-73</v>
          </cell>
          <cell r="D241">
            <v>5</v>
          </cell>
          <cell r="E241">
            <v>6</v>
          </cell>
          <cell r="F241">
            <v>11</v>
          </cell>
          <cell r="G241">
            <v>6</v>
          </cell>
          <cell r="H241" t="str">
            <v>YG80</v>
          </cell>
          <cell r="I241" t="str">
            <v>YG85</v>
          </cell>
          <cell r="J241" t="str">
            <v>PE</v>
          </cell>
          <cell r="K241">
            <v>0</v>
          </cell>
          <cell r="L241">
            <v>0</v>
          </cell>
          <cell r="M241" t="str">
            <v>C5D R/L</v>
          </cell>
          <cell r="N241" t="str">
            <v>P8G2</v>
          </cell>
          <cell r="O241">
            <v>0</v>
          </cell>
        </row>
        <row r="242">
          <cell r="A242" t="str">
            <v>NS60AL12</v>
          </cell>
          <cell r="B242" t="str">
            <v>NS60ALPE12</v>
          </cell>
          <cell r="C242" t="str">
            <v>NS60AL</v>
          </cell>
          <cell r="D242">
            <v>6</v>
          </cell>
          <cell r="E242">
            <v>6</v>
          </cell>
          <cell r="F242">
            <v>12</v>
          </cell>
          <cell r="G242">
            <v>6</v>
          </cell>
          <cell r="H242" t="str">
            <v>CM84</v>
          </cell>
          <cell r="I242" t="str">
            <v>YM84C</v>
          </cell>
          <cell r="J242" t="str">
            <v>PE</v>
          </cell>
          <cell r="K242">
            <v>0</v>
          </cell>
          <cell r="L242">
            <v>0</v>
          </cell>
          <cell r="M242" t="str">
            <v>C4AL/R</v>
          </cell>
          <cell r="N242" t="str">
            <v>P4M</v>
          </cell>
          <cell r="O242">
            <v>0</v>
          </cell>
        </row>
        <row r="243">
          <cell r="A243" t="str">
            <v>NS60ALS12</v>
          </cell>
          <cell r="B243" t="str">
            <v>NS60ALSPE12</v>
          </cell>
          <cell r="C243" t="str">
            <v>NS60ALS</v>
          </cell>
          <cell r="D243">
            <v>6</v>
          </cell>
          <cell r="E243">
            <v>6</v>
          </cell>
          <cell r="F243">
            <v>12</v>
          </cell>
          <cell r="G243">
            <v>6</v>
          </cell>
          <cell r="H243" t="str">
            <v>CM84</v>
          </cell>
          <cell r="I243" t="str">
            <v>YM84C</v>
          </cell>
          <cell r="J243" t="str">
            <v>PE</v>
          </cell>
          <cell r="K243">
            <v>0</v>
          </cell>
          <cell r="L243">
            <v>0</v>
          </cell>
          <cell r="M243" t="str">
            <v>C4AL/R</v>
          </cell>
          <cell r="N243" t="str">
            <v>P4M</v>
          </cell>
          <cell r="O243">
            <v>0</v>
          </cell>
        </row>
        <row r="244">
          <cell r="A244" t="str">
            <v>MFN200H40</v>
          </cell>
          <cell r="B244" t="str">
            <v>MFN200HPE40</v>
          </cell>
          <cell r="C244" t="str">
            <v>MFN200H</v>
          </cell>
          <cell r="D244">
            <v>20</v>
          </cell>
          <cell r="E244">
            <v>20</v>
          </cell>
          <cell r="F244">
            <v>40</v>
          </cell>
          <cell r="G244">
            <v>6</v>
          </cell>
          <cell r="H244" t="str">
            <v>YG79HD</v>
          </cell>
          <cell r="I244" t="str">
            <v>YG85</v>
          </cell>
          <cell r="J244" t="str">
            <v>PE</v>
          </cell>
          <cell r="K244">
            <v>0</v>
          </cell>
          <cell r="L244">
            <v>0</v>
          </cell>
          <cell r="M244" t="str">
            <v>C15G2R/L</v>
          </cell>
          <cell r="N244" t="str">
            <v>P18865</v>
          </cell>
          <cell r="O244">
            <v>0</v>
          </cell>
        </row>
        <row r="245">
          <cell r="A245" t="str">
            <v>6701835</v>
          </cell>
          <cell r="B245" t="str">
            <v>67018PULP35</v>
          </cell>
          <cell r="C245">
            <v>67018</v>
          </cell>
          <cell r="D245">
            <v>18</v>
          </cell>
          <cell r="E245">
            <v>17</v>
          </cell>
          <cell r="F245">
            <v>35</v>
          </cell>
          <cell r="G245">
            <v>6</v>
          </cell>
          <cell r="H245" t="str">
            <v>CG80</v>
          </cell>
          <cell r="I245" t="str">
            <v>CG85</v>
          </cell>
          <cell r="J245" t="str">
            <v>PULP</v>
          </cell>
          <cell r="K245">
            <v>0</v>
          </cell>
          <cell r="L245">
            <v>0</v>
          </cell>
          <cell r="M245" t="str">
            <v>C15BR/L</v>
          </cell>
          <cell r="N245" t="str">
            <v>P14569</v>
          </cell>
          <cell r="O245">
            <v>0</v>
          </cell>
        </row>
        <row r="246">
          <cell r="A246" t="str">
            <v>6701835</v>
          </cell>
          <cell r="B246" t="str">
            <v>67018PE35</v>
          </cell>
          <cell r="C246">
            <v>67018</v>
          </cell>
          <cell r="D246">
            <v>18</v>
          </cell>
          <cell r="E246">
            <v>17</v>
          </cell>
          <cell r="F246">
            <v>35</v>
          </cell>
          <cell r="G246">
            <v>6</v>
          </cell>
          <cell r="H246" t="str">
            <v>CG80</v>
          </cell>
          <cell r="I246" t="str">
            <v>CG85</v>
          </cell>
          <cell r="J246" t="str">
            <v>PE</v>
          </cell>
          <cell r="K246">
            <v>0</v>
          </cell>
          <cell r="L246">
            <v>0</v>
          </cell>
          <cell r="M246" t="str">
            <v>C15BR/L</v>
          </cell>
          <cell r="N246" t="str">
            <v>P14569</v>
          </cell>
          <cell r="O246">
            <v>0</v>
          </cell>
        </row>
        <row r="247">
          <cell r="A247" t="str">
            <v>DINB31</v>
          </cell>
          <cell r="B247" t="str">
            <v>DINBPULP31</v>
          </cell>
          <cell r="C247" t="str">
            <v>DINB</v>
          </cell>
          <cell r="D247">
            <v>15</v>
          </cell>
          <cell r="E247">
            <v>16</v>
          </cell>
          <cell r="F247">
            <v>31</v>
          </cell>
          <cell r="G247">
            <v>6</v>
          </cell>
          <cell r="H247" t="str">
            <v>CG80</v>
          </cell>
          <cell r="I247" t="str">
            <v>CG85</v>
          </cell>
          <cell r="J247" t="str">
            <v>PULP</v>
          </cell>
          <cell r="K247">
            <v>0</v>
          </cell>
          <cell r="L247">
            <v>0</v>
          </cell>
          <cell r="M247" t="str">
            <v>C15BR/L</v>
          </cell>
          <cell r="N247" t="str">
            <v>P14569</v>
          </cell>
          <cell r="O247">
            <v>0</v>
          </cell>
        </row>
        <row r="248">
          <cell r="A248" t="str">
            <v/>
          </cell>
          <cell r="B248" t="str">
            <v/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</row>
        <row r="249">
          <cell r="A249" t="str">
            <v/>
          </cell>
          <cell r="B249" t="str">
            <v/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A250" t="str">
            <v/>
          </cell>
          <cell r="B250" t="str">
            <v/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A251" t="str">
            <v/>
          </cell>
          <cell r="B251" t="str">
            <v/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A252" t="str">
            <v/>
          </cell>
          <cell r="B252" t="str">
            <v/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A253" t="str">
            <v/>
          </cell>
          <cell r="B253" t="str">
            <v/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A254" t="str">
            <v/>
          </cell>
          <cell r="B254" t="str">
            <v/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A255" t="str">
            <v/>
          </cell>
          <cell r="B255" t="str">
            <v/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A256" t="str">
            <v/>
          </cell>
          <cell r="B256" t="str">
            <v/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A257" t="str">
            <v/>
          </cell>
          <cell r="B257" t="str">
            <v/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A258" t="str">
            <v/>
          </cell>
          <cell r="B258" t="str">
            <v/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A259" t="str">
            <v/>
          </cell>
          <cell r="B259" t="str">
            <v/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A260" t="str">
            <v/>
          </cell>
          <cell r="B260" t="str">
            <v/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A261" t="str">
            <v/>
          </cell>
          <cell r="B261" t="str">
            <v/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A262" t="str">
            <v/>
          </cell>
          <cell r="B262" t="str">
            <v/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A263" t="str">
            <v/>
          </cell>
          <cell r="B263" t="str">
            <v/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A264" t="str">
            <v/>
          </cell>
          <cell r="B264" t="str">
            <v/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A265" t="str">
            <v/>
          </cell>
          <cell r="B265" t="str">
            <v/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A266" t="str">
            <v/>
          </cell>
          <cell r="B266" t="str">
            <v/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A267" t="str">
            <v/>
          </cell>
          <cell r="B267" t="str">
            <v/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A268" t="str">
            <v/>
          </cell>
          <cell r="B268" t="str">
            <v/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A269" t="str">
            <v/>
          </cell>
          <cell r="B269" t="str">
            <v/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A270" t="str">
            <v/>
          </cell>
          <cell r="B270" t="str">
            <v/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A271" t="str">
            <v/>
          </cell>
          <cell r="B271" t="str">
            <v/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A272" t="str">
            <v/>
          </cell>
          <cell r="B272" t="str">
            <v/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 t="str">
            <v/>
          </cell>
          <cell r="B273" t="str">
            <v/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/>
          </cell>
          <cell r="B274" t="str">
            <v/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 t="str">
            <v/>
          </cell>
          <cell r="B275" t="str">
            <v/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A276" t="str">
            <v/>
          </cell>
          <cell r="B276" t="str">
            <v/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A277" t="str">
            <v/>
          </cell>
          <cell r="B277" t="str">
            <v/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A278" t="str">
            <v/>
          </cell>
          <cell r="B278" t="str">
            <v/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A279" t="str">
            <v/>
          </cell>
          <cell r="B279" t="str">
            <v/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A280" t="str">
            <v/>
          </cell>
          <cell r="B280" t="str">
            <v/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A281" t="str">
            <v/>
          </cell>
          <cell r="B281" t="str">
            <v/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A282" t="str">
            <v/>
          </cell>
          <cell r="B282" t="str">
            <v/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A283" t="str">
            <v/>
          </cell>
          <cell r="B283" t="str">
            <v/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A284" t="str">
            <v/>
          </cell>
          <cell r="B284" t="str">
            <v/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A285" t="str">
            <v/>
          </cell>
          <cell r="B285" t="str">
            <v/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A286" t="str">
            <v/>
          </cell>
          <cell r="B286" t="str">
            <v/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A287" t="str">
            <v/>
          </cell>
          <cell r="B287" t="str">
            <v/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A288" t="str">
            <v/>
          </cell>
          <cell r="B288" t="str">
            <v/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A289" t="str">
            <v/>
          </cell>
          <cell r="B289" t="str">
            <v/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A290" t="str">
            <v/>
          </cell>
          <cell r="B290" t="str">
            <v/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A291" t="str">
            <v/>
          </cell>
          <cell r="B291" t="str">
            <v/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A292" t="str">
            <v/>
          </cell>
          <cell r="B292" t="str">
            <v/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/>
          </cell>
          <cell r="B293" t="str">
            <v/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A294" t="str">
            <v/>
          </cell>
          <cell r="B294" t="str">
            <v/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A295" t="str">
            <v/>
          </cell>
          <cell r="B295" t="str">
            <v/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A296" t="str">
            <v/>
          </cell>
          <cell r="B296" t="str">
            <v/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A297" t="str">
            <v/>
          </cell>
          <cell r="B297" t="str">
            <v/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A298" t="str">
            <v/>
          </cell>
          <cell r="B298" t="str">
            <v/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A299" t="str">
            <v/>
          </cell>
          <cell r="B299" t="str">
            <v/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A300" t="str">
            <v/>
          </cell>
          <cell r="B300" t="str">
            <v/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A301" t="str">
            <v/>
          </cell>
          <cell r="B301" t="str">
            <v/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A302" t="str">
            <v/>
          </cell>
          <cell r="B302" t="str">
            <v/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A303" t="str">
            <v/>
          </cell>
          <cell r="B303" t="str">
            <v/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/>
          </cell>
          <cell r="B304" t="str">
            <v/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A305" t="str">
            <v/>
          </cell>
          <cell r="B305" t="str">
            <v/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A306" t="str">
            <v/>
          </cell>
          <cell r="B306" t="str">
            <v/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</row>
        <row r="307">
          <cell r="A307" t="str">
            <v/>
          </cell>
          <cell r="B307" t="str">
            <v/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A308" t="str">
            <v/>
          </cell>
          <cell r="B308" t="str">
            <v/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A309" t="str">
            <v/>
          </cell>
          <cell r="B309" t="str">
            <v/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A310" t="str">
            <v/>
          </cell>
          <cell r="B310" t="str">
            <v/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A311" t="str">
            <v/>
          </cell>
          <cell r="B311" t="str">
            <v/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A312" t="str">
            <v/>
          </cell>
          <cell r="B312" t="str">
            <v/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A313" t="str">
            <v/>
          </cell>
          <cell r="B313" t="str">
            <v/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A314" t="str">
            <v/>
          </cell>
          <cell r="B314" t="str">
            <v/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A315" t="str">
            <v/>
          </cell>
          <cell r="B315" t="str">
            <v/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A316" t="str">
            <v/>
          </cell>
          <cell r="B316" t="str">
            <v/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A317" t="str">
            <v/>
          </cell>
          <cell r="B317" t="str">
            <v/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A318" t="str">
            <v/>
          </cell>
          <cell r="B318" t="str">
            <v/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A319" t="str">
            <v/>
          </cell>
          <cell r="B319" t="str">
            <v/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A320" t="str">
            <v/>
          </cell>
          <cell r="B320" t="str">
            <v/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A321" t="str">
            <v/>
          </cell>
          <cell r="B321" t="str">
            <v/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A322" t="str">
            <v/>
          </cell>
          <cell r="B322" t="str">
            <v/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A323" t="str">
            <v/>
          </cell>
          <cell r="B323" t="str">
            <v/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A324" t="str">
            <v/>
          </cell>
          <cell r="B324" t="str">
            <v/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A325" t="str">
            <v/>
          </cell>
          <cell r="B325" t="str">
            <v/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A326" t="str">
            <v/>
          </cell>
          <cell r="B326" t="str">
            <v/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A327" t="str">
            <v/>
          </cell>
          <cell r="B327" t="str">
            <v/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A328" t="str">
            <v/>
          </cell>
          <cell r="B328" t="str">
            <v/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A329" t="str">
            <v/>
          </cell>
          <cell r="B329" t="str">
            <v/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A330" t="str">
            <v/>
          </cell>
          <cell r="B330" t="str">
            <v/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A331" t="str">
            <v/>
          </cell>
          <cell r="B331" t="str">
            <v/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A332" t="str">
            <v/>
          </cell>
          <cell r="B332" t="str">
            <v/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A333" t="str">
            <v/>
          </cell>
          <cell r="B333" t="str">
            <v/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A334" t="str">
            <v/>
          </cell>
          <cell r="B334" t="str">
            <v/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A335" t="str">
            <v/>
          </cell>
          <cell r="B335" t="str">
            <v/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A336" t="str">
            <v/>
          </cell>
          <cell r="B336" t="str">
            <v/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A337" t="str">
            <v/>
          </cell>
          <cell r="B337" t="str">
            <v/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A338" t="str">
            <v/>
          </cell>
          <cell r="B338" t="str">
            <v/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A339" t="str">
            <v/>
          </cell>
          <cell r="B339" t="str">
            <v/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A340" t="str">
            <v/>
          </cell>
          <cell r="B340" t="str">
            <v/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1">
          <cell r="A341" t="str">
            <v/>
          </cell>
          <cell r="B341" t="str">
            <v/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A342" t="str">
            <v/>
          </cell>
          <cell r="B342" t="str">
            <v/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A343" t="str">
            <v/>
          </cell>
          <cell r="B343" t="str">
            <v/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A344" t="str">
            <v/>
          </cell>
          <cell r="B344" t="str">
            <v/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5">
          <cell r="A345" t="str">
            <v/>
          </cell>
          <cell r="B345" t="str">
            <v/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A346" t="str">
            <v/>
          </cell>
          <cell r="B346" t="str">
            <v/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A347" t="str">
            <v/>
          </cell>
          <cell r="B347" t="str">
            <v/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A348" t="str">
            <v/>
          </cell>
          <cell r="B348" t="str">
            <v/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A349" t="str">
            <v/>
          </cell>
          <cell r="B349" t="str">
            <v/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A350" t="str">
            <v/>
          </cell>
          <cell r="B350" t="str">
            <v/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A351" t="str">
            <v/>
          </cell>
          <cell r="B351" t="str">
            <v/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A352" t="str">
            <v/>
          </cell>
          <cell r="B352" t="str">
            <v/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A353" t="str">
            <v/>
          </cell>
          <cell r="B353" t="str">
            <v/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A354" t="str">
            <v/>
          </cell>
          <cell r="B354" t="str">
            <v/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A355" t="str">
            <v/>
          </cell>
          <cell r="B355" t="str">
            <v/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A356" t="str">
            <v/>
          </cell>
          <cell r="B356" t="str">
            <v/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A357" t="str">
            <v/>
          </cell>
          <cell r="B357" t="str">
            <v/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A358" t="str">
            <v/>
          </cell>
          <cell r="B358" t="str">
            <v/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A359" t="str">
            <v/>
          </cell>
          <cell r="B359" t="str">
            <v/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A360" t="str">
            <v/>
          </cell>
          <cell r="B360" t="str">
            <v/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A361" t="str">
            <v/>
          </cell>
          <cell r="B361" t="str">
            <v/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A362" t="str">
            <v/>
          </cell>
          <cell r="B362" t="str">
            <v/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</row>
        <row r="363">
          <cell r="A363" t="str">
            <v/>
          </cell>
          <cell r="B363" t="str">
            <v/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A364" t="str">
            <v/>
          </cell>
          <cell r="B364" t="str">
            <v/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A365" t="str">
            <v/>
          </cell>
          <cell r="B365" t="str">
            <v/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A366" t="str">
            <v/>
          </cell>
          <cell r="B366" t="str">
            <v/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A367" t="str">
            <v/>
          </cell>
          <cell r="B367" t="str">
            <v/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A368" t="str">
            <v/>
          </cell>
          <cell r="B368" t="str">
            <v/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A369" t="str">
            <v/>
          </cell>
          <cell r="B369" t="str">
            <v/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A370" t="str">
            <v/>
          </cell>
          <cell r="B370" t="str">
            <v/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A371" t="str">
            <v/>
          </cell>
          <cell r="B371" t="str">
            <v/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A372" t="str">
            <v/>
          </cell>
          <cell r="B372" t="str">
            <v/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A373" t="str">
            <v/>
          </cell>
          <cell r="B373" t="str">
            <v/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A374" t="str">
            <v/>
          </cell>
          <cell r="B374" t="str">
            <v/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A375" t="str">
            <v/>
          </cell>
          <cell r="B375" t="str">
            <v/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A376" t="str">
            <v/>
          </cell>
          <cell r="B376" t="str">
            <v/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A377" t="str">
            <v/>
          </cell>
          <cell r="B377" t="str">
            <v/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A378" t="str">
            <v/>
          </cell>
          <cell r="B378" t="str">
            <v/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</row>
        <row r="379">
          <cell r="A379" t="str">
            <v/>
          </cell>
          <cell r="B379" t="str">
            <v/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</row>
        <row r="380">
          <cell r="A380" t="str">
            <v/>
          </cell>
          <cell r="B380" t="str">
            <v/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</row>
        <row r="381">
          <cell r="A381" t="str">
            <v/>
          </cell>
          <cell r="B381" t="str">
            <v/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</row>
        <row r="382">
          <cell r="A382" t="str">
            <v/>
          </cell>
          <cell r="B382" t="str">
            <v/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</row>
        <row r="383">
          <cell r="A383" t="str">
            <v/>
          </cell>
          <cell r="B383" t="str">
            <v/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</row>
        <row r="384">
          <cell r="A384" t="str">
            <v/>
          </cell>
          <cell r="B384" t="str">
            <v/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A385" t="str">
            <v/>
          </cell>
          <cell r="B385" t="str">
            <v/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A386" t="str">
            <v/>
          </cell>
          <cell r="B386" t="str">
            <v/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A387" t="str">
            <v/>
          </cell>
          <cell r="B387" t="str">
            <v/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A388" t="str">
            <v/>
          </cell>
          <cell r="B388" t="str">
            <v/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A389" t="str">
            <v/>
          </cell>
          <cell r="B389" t="str">
            <v/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</row>
        <row r="390">
          <cell r="A390" t="str">
            <v/>
          </cell>
          <cell r="B390" t="str">
            <v/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A391" t="str">
            <v/>
          </cell>
          <cell r="B391" t="str">
            <v/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A392" t="str">
            <v/>
          </cell>
          <cell r="B392" t="str">
            <v/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A393" t="str">
            <v/>
          </cell>
          <cell r="B393" t="str">
            <v/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A394" t="str">
            <v/>
          </cell>
          <cell r="B394" t="str">
            <v/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</row>
        <row r="395">
          <cell r="A395" t="str">
            <v/>
          </cell>
          <cell r="B395" t="str">
            <v/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A396" t="str">
            <v/>
          </cell>
          <cell r="B396" t="str">
            <v/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7">
          <cell r="A397" t="str">
            <v/>
          </cell>
          <cell r="B397" t="str">
            <v/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</row>
        <row r="398">
          <cell r="A398" t="str">
            <v/>
          </cell>
          <cell r="B398" t="str">
            <v/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</row>
        <row r="399">
          <cell r="A399" t="str">
            <v/>
          </cell>
          <cell r="B399" t="str">
            <v/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</row>
        <row r="400">
          <cell r="A400" t="str">
            <v/>
          </cell>
          <cell r="B400" t="str">
            <v/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A401" t="str">
            <v/>
          </cell>
          <cell r="B401" t="str">
            <v/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2">
          <cell r="A402" t="str">
            <v/>
          </cell>
          <cell r="B402" t="str">
            <v/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A403" t="str">
            <v/>
          </cell>
          <cell r="B403" t="str">
            <v/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</row>
        <row r="404">
          <cell r="A404" t="str">
            <v/>
          </cell>
          <cell r="B404" t="str">
            <v/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A405" t="str">
            <v/>
          </cell>
          <cell r="B405" t="str">
            <v/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6">
          <cell r="A406" t="str">
            <v/>
          </cell>
          <cell r="B406" t="str">
            <v/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</row>
        <row r="407">
          <cell r="A407" t="str">
            <v/>
          </cell>
          <cell r="B407" t="str">
            <v/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</row>
        <row r="408">
          <cell r="A408" t="str">
            <v/>
          </cell>
          <cell r="B408" t="str">
            <v/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</row>
        <row r="409">
          <cell r="A409" t="str">
            <v/>
          </cell>
          <cell r="B409" t="str">
            <v/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</row>
        <row r="410">
          <cell r="A410" t="str">
            <v/>
          </cell>
          <cell r="B410" t="str">
            <v/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A411" t="str">
            <v/>
          </cell>
          <cell r="B411" t="str">
            <v/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</row>
        <row r="412">
          <cell r="A412" t="str">
            <v/>
          </cell>
          <cell r="B412" t="str">
            <v/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A413" t="str">
            <v/>
          </cell>
          <cell r="B413" t="str">
            <v/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</row>
        <row r="414">
          <cell r="A414" t="str">
            <v/>
          </cell>
          <cell r="B414" t="str">
            <v/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A415" t="str">
            <v/>
          </cell>
          <cell r="B415" t="str">
            <v/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A416" t="str">
            <v/>
          </cell>
          <cell r="B416" t="str">
            <v/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A417" t="str">
            <v/>
          </cell>
          <cell r="B417" t="str">
            <v/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A418" t="str">
            <v/>
          </cell>
          <cell r="B418" t="str">
            <v/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A419" t="str">
            <v/>
          </cell>
          <cell r="B419" t="str">
            <v/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A420" t="str">
            <v/>
          </cell>
          <cell r="B420" t="str">
            <v/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A421" t="str">
            <v/>
          </cell>
          <cell r="B421" t="str">
            <v/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A422" t="str">
            <v/>
          </cell>
          <cell r="B422" t="str">
            <v/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</row>
        <row r="423">
          <cell r="A423" t="str">
            <v/>
          </cell>
          <cell r="B423" t="str">
            <v/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A424" t="str">
            <v/>
          </cell>
          <cell r="B424" t="str">
            <v/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A425" t="str">
            <v/>
          </cell>
          <cell r="B425" t="str">
            <v/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A426" t="str">
            <v/>
          </cell>
          <cell r="B426" t="str">
            <v/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A427" t="str">
            <v/>
          </cell>
          <cell r="B427" t="str">
            <v/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A428" t="str">
            <v/>
          </cell>
          <cell r="B428" t="str">
            <v/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A429" t="str">
            <v/>
          </cell>
          <cell r="B429" t="str">
            <v/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A430" t="str">
            <v/>
          </cell>
          <cell r="B430" t="str">
            <v/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A431" t="str">
            <v/>
          </cell>
          <cell r="B431" t="str">
            <v/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A432" t="str">
            <v/>
          </cell>
          <cell r="B432" t="str">
            <v/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A433" t="str">
            <v/>
          </cell>
          <cell r="B433" t="str">
            <v/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A434" t="str">
            <v/>
          </cell>
          <cell r="B434" t="str">
            <v/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A435" t="str">
            <v/>
          </cell>
          <cell r="B435" t="str">
            <v/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A436" t="str">
            <v/>
          </cell>
          <cell r="B436" t="str">
            <v/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A437" t="str">
            <v/>
          </cell>
          <cell r="B437" t="str">
            <v/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</row>
        <row r="438">
          <cell r="A438" t="str">
            <v/>
          </cell>
          <cell r="B438" t="str">
            <v/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A439" t="str">
            <v/>
          </cell>
          <cell r="B439" t="str">
            <v/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A440" t="str">
            <v/>
          </cell>
          <cell r="B440" t="str">
            <v/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A441" t="str">
            <v/>
          </cell>
          <cell r="B441" t="str">
            <v/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A442" t="str">
            <v/>
          </cell>
          <cell r="B442" t="str">
            <v/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A443" t="str">
            <v/>
          </cell>
          <cell r="B443" t="str">
            <v/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A444" t="str">
            <v/>
          </cell>
          <cell r="B444" t="str">
            <v/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A445" t="str">
            <v/>
          </cell>
          <cell r="B445" t="str">
            <v/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A446" t="str">
            <v/>
          </cell>
          <cell r="B446" t="str">
            <v/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A447" t="str">
            <v/>
          </cell>
          <cell r="B447" t="str">
            <v/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A448" t="str">
            <v/>
          </cell>
          <cell r="B448" t="str">
            <v/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A449" t="str">
            <v/>
          </cell>
          <cell r="B449" t="str">
            <v/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A450" t="str">
            <v/>
          </cell>
          <cell r="B450" t="str">
            <v/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A451" t="str">
            <v/>
          </cell>
          <cell r="B451" t="str">
            <v/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A452" t="str">
            <v/>
          </cell>
          <cell r="B452" t="str">
            <v/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A453" t="str">
            <v/>
          </cell>
          <cell r="B453" t="str">
            <v/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A454" t="str">
            <v/>
          </cell>
          <cell r="B454" t="str">
            <v/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A455" t="str">
            <v/>
          </cell>
          <cell r="B455" t="str">
            <v/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A456" t="str">
            <v/>
          </cell>
          <cell r="B456" t="str">
            <v/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A457" t="str">
            <v/>
          </cell>
          <cell r="B457" t="str">
            <v/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A458" t="str">
            <v/>
          </cell>
          <cell r="B458" t="str">
            <v/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</row>
        <row r="459">
          <cell r="A459" t="str">
            <v/>
          </cell>
          <cell r="B459" t="str">
            <v/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A460" t="str">
            <v/>
          </cell>
          <cell r="B460" t="str">
            <v/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A461" t="str">
            <v/>
          </cell>
          <cell r="B461" t="str">
            <v/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A462" t="str">
            <v/>
          </cell>
          <cell r="B462" t="str">
            <v/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A463" t="str">
            <v/>
          </cell>
          <cell r="B463" t="str">
            <v/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A464" t="str">
            <v/>
          </cell>
          <cell r="B464" t="str">
            <v/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A465" t="str">
            <v/>
          </cell>
          <cell r="B465" t="str">
            <v/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A466" t="str">
            <v/>
          </cell>
          <cell r="B466" t="str">
            <v/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A467" t="str">
            <v/>
          </cell>
          <cell r="B467" t="str">
            <v/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A468" t="str">
            <v/>
          </cell>
          <cell r="B468" t="str">
            <v/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A469" t="str">
            <v/>
          </cell>
          <cell r="B469" t="str">
            <v/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0">
          <cell r="A470" t="str">
            <v/>
          </cell>
          <cell r="B470" t="str">
            <v/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A471" t="str">
            <v/>
          </cell>
          <cell r="B471" t="str">
            <v/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A472" t="str">
            <v/>
          </cell>
          <cell r="B472" t="str">
            <v/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A473" t="str">
            <v/>
          </cell>
          <cell r="B473" t="str">
            <v/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A474" t="str">
            <v/>
          </cell>
          <cell r="B474" t="str">
            <v/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</row>
        <row r="475">
          <cell r="A475" t="str">
            <v/>
          </cell>
          <cell r="B475" t="str">
            <v/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6">
          <cell r="A476" t="str">
            <v/>
          </cell>
          <cell r="B476" t="str">
            <v/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</row>
        <row r="477">
          <cell r="A477" t="str">
            <v/>
          </cell>
          <cell r="B477" t="str">
            <v/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</row>
        <row r="478">
          <cell r="A478" t="str">
            <v/>
          </cell>
          <cell r="B478" t="str">
            <v/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</row>
        <row r="479">
          <cell r="A479" t="str">
            <v/>
          </cell>
          <cell r="B479" t="str">
            <v/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</row>
        <row r="480">
          <cell r="A480" t="str">
            <v/>
          </cell>
          <cell r="B480" t="str">
            <v/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</row>
        <row r="481">
          <cell r="A481" t="str">
            <v/>
          </cell>
          <cell r="B481" t="str">
            <v/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</row>
        <row r="482">
          <cell r="A482" t="str">
            <v/>
          </cell>
          <cell r="B482" t="str">
            <v/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A483" t="str">
            <v/>
          </cell>
          <cell r="B483" t="str">
            <v/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</row>
        <row r="484">
          <cell r="A484" t="str">
            <v/>
          </cell>
          <cell r="B484" t="str">
            <v/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A485" t="str">
            <v/>
          </cell>
          <cell r="B485" t="str">
            <v/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A486" t="str">
            <v/>
          </cell>
          <cell r="B486" t="str">
            <v/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A487" t="str">
            <v/>
          </cell>
          <cell r="B487" t="str">
            <v/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A488" t="str">
            <v/>
          </cell>
          <cell r="B488" t="str">
            <v/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</row>
        <row r="489">
          <cell r="A489" t="str">
            <v/>
          </cell>
          <cell r="B489" t="str">
            <v/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A490" t="str">
            <v/>
          </cell>
          <cell r="B490" t="str">
            <v/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A491" t="str">
            <v/>
          </cell>
          <cell r="B491" t="str">
            <v/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A492" t="str">
            <v/>
          </cell>
          <cell r="B492" t="str">
            <v/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A493" t="str">
            <v/>
          </cell>
          <cell r="B493" t="str">
            <v/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A494" t="str">
            <v/>
          </cell>
          <cell r="B494" t="str">
            <v/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A495" t="str">
            <v/>
          </cell>
          <cell r="B495" t="str">
            <v/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A496" t="str">
            <v/>
          </cell>
          <cell r="B496" t="str">
            <v/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A497" t="str">
            <v/>
          </cell>
          <cell r="B497" t="str">
            <v/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</row>
        <row r="498">
          <cell r="A498" t="str">
            <v/>
          </cell>
          <cell r="B498" t="str">
            <v/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A499" t="str">
            <v/>
          </cell>
          <cell r="B499" t="str">
            <v/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</row>
        <row r="500">
          <cell r="A500" t="str">
            <v/>
          </cell>
          <cell r="B500" t="str">
            <v/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A501" t="str">
            <v/>
          </cell>
          <cell r="B501" t="str">
            <v/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A502" t="str">
            <v/>
          </cell>
          <cell r="B502" t="str">
            <v/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</row>
        <row r="503">
          <cell r="A503" t="str">
            <v/>
          </cell>
          <cell r="B503" t="str">
            <v/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A504" t="str">
            <v/>
          </cell>
          <cell r="B504" t="str">
            <v/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A505" t="str">
            <v/>
          </cell>
          <cell r="B505" t="str">
            <v/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A506" t="str">
            <v/>
          </cell>
          <cell r="B506" t="str">
            <v/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A507" t="str">
            <v/>
          </cell>
          <cell r="B507" t="str">
            <v/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A508" t="str">
            <v/>
          </cell>
          <cell r="B508" t="str">
            <v/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A509" t="str">
            <v/>
          </cell>
          <cell r="B509" t="str">
            <v/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A510" t="str">
            <v/>
          </cell>
          <cell r="B510" t="str">
            <v/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A511" t="str">
            <v/>
          </cell>
          <cell r="B511" t="str">
            <v/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</row>
        <row r="512">
          <cell r="A512" t="str">
            <v/>
          </cell>
          <cell r="B512" t="str">
            <v/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A513" t="str">
            <v/>
          </cell>
          <cell r="B513" t="str">
            <v/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</row>
        <row r="514">
          <cell r="A514" t="str">
            <v/>
          </cell>
          <cell r="B514" t="str">
            <v/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A515" t="str">
            <v/>
          </cell>
          <cell r="B515" t="str">
            <v/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</row>
        <row r="516">
          <cell r="A516" t="str">
            <v/>
          </cell>
          <cell r="B516" t="str">
            <v/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</row>
        <row r="517">
          <cell r="A517" t="str">
            <v/>
          </cell>
          <cell r="B517" t="str">
            <v/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</row>
        <row r="518">
          <cell r="A518" t="str">
            <v/>
          </cell>
          <cell r="B518" t="str">
            <v/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</row>
        <row r="519">
          <cell r="A519" t="str">
            <v/>
          </cell>
          <cell r="B519" t="str">
            <v/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</row>
        <row r="520">
          <cell r="A520" t="str">
            <v/>
          </cell>
          <cell r="B520" t="str">
            <v/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</row>
        <row r="521">
          <cell r="A521" t="str">
            <v/>
          </cell>
          <cell r="B521" t="str">
            <v/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A522" t="str">
            <v/>
          </cell>
          <cell r="B522" t="str">
            <v/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A523" t="str">
            <v/>
          </cell>
          <cell r="B523" t="str">
            <v/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A524" t="str">
            <v/>
          </cell>
          <cell r="B524" t="str">
            <v/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A525" t="str">
            <v/>
          </cell>
          <cell r="B525" t="str">
            <v/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A526" t="str">
            <v/>
          </cell>
          <cell r="B526" t="str">
            <v/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A527" t="str">
            <v/>
          </cell>
          <cell r="B527" t="str">
            <v/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A528" t="str">
            <v/>
          </cell>
          <cell r="B528" t="str">
            <v/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</row>
        <row r="529">
          <cell r="A529" t="str">
            <v/>
          </cell>
          <cell r="B529" t="str">
            <v/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A530" t="str">
            <v/>
          </cell>
          <cell r="B530" t="str">
            <v/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</row>
        <row r="531">
          <cell r="A531" t="str">
            <v/>
          </cell>
          <cell r="B531" t="str">
            <v/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</row>
        <row r="532">
          <cell r="A532" t="str">
            <v/>
          </cell>
          <cell r="B532" t="str">
            <v/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</row>
        <row r="533">
          <cell r="A533" t="str">
            <v/>
          </cell>
          <cell r="B533" t="str">
            <v/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A534" t="str">
            <v/>
          </cell>
          <cell r="B534" t="str">
            <v/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A535" t="str">
            <v/>
          </cell>
          <cell r="B535" t="str">
            <v/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A536" t="str">
            <v/>
          </cell>
          <cell r="B536" t="str">
            <v/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A537" t="str">
            <v/>
          </cell>
          <cell r="B537" t="str">
            <v/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A538" t="str">
            <v/>
          </cell>
          <cell r="B538" t="str">
            <v/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A539" t="str">
            <v/>
          </cell>
          <cell r="B539" t="str">
            <v/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A540" t="str">
            <v/>
          </cell>
          <cell r="B540" t="str">
            <v/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A541" t="str">
            <v/>
          </cell>
          <cell r="B541" t="str">
            <v/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A542" t="str">
            <v/>
          </cell>
          <cell r="B542" t="str">
            <v/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A543" t="str">
            <v/>
          </cell>
          <cell r="B543" t="str">
            <v/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A544" t="str">
            <v/>
          </cell>
          <cell r="B544" t="str">
            <v/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A545" t="str">
            <v/>
          </cell>
          <cell r="B545" t="str">
            <v/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A546" t="str">
            <v/>
          </cell>
          <cell r="B546" t="str">
            <v/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A547" t="str">
            <v/>
          </cell>
          <cell r="B547" t="str">
            <v/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</row>
        <row r="548">
          <cell r="A548" t="str">
            <v/>
          </cell>
          <cell r="B548" t="str">
            <v/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A549" t="str">
            <v/>
          </cell>
          <cell r="B549" t="str">
            <v/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</row>
        <row r="550">
          <cell r="A550" t="str">
            <v/>
          </cell>
          <cell r="B550" t="str">
            <v/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A551" t="str">
            <v/>
          </cell>
          <cell r="B551" t="str">
            <v/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</row>
        <row r="552">
          <cell r="A552" t="str">
            <v/>
          </cell>
          <cell r="B552" t="str">
            <v/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</row>
        <row r="553">
          <cell r="A553" t="str">
            <v/>
          </cell>
          <cell r="B553" t="str">
            <v/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</row>
        <row r="554">
          <cell r="A554" t="str">
            <v/>
          </cell>
          <cell r="B554" t="str">
            <v/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</row>
        <row r="555">
          <cell r="A555" t="str">
            <v/>
          </cell>
          <cell r="B555" t="str">
            <v/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</row>
        <row r="556">
          <cell r="A556" t="str">
            <v/>
          </cell>
          <cell r="B556" t="str">
            <v/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A557" t="str">
            <v/>
          </cell>
          <cell r="B557" t="str">
            <v/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</row>
        <row r="558">
          <cell r="A558" t="str">
            <v/>
          </cell>
          <cell r="B558" t="str">
            <v/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A559" t="str">
            <v/>
          </cell>
          <cell r="B559" t="str">
            <v/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</row>
        <row r="560">
          <cell r="A560" t="str">
            <v/>
          </cell>
          <cell r="B560" t="str">
            <v/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</row>
        <row r="561">
          <cell r="A561" t="str">
            <v/>
          </cell>
          <cell r="B561" t="str">
            <v/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A562" t="str">
            <v/>
          </cell>
          <cell r="B562" t="str">
            <v/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</row>
        <row r="563">
          <cell r="A563" t="str">
            <v/>
          </cell>
          <cell r="B563" t="str">
            <v/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A564" t="str">
            <v/>
          </cell>
          <cell r="B564" t="str">
            <v/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A565" t="str">
            <v/>
          </cell>
          <cell r="B565" t="str">
            <v/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A566" t="str">
            <v/>
          </cell>
          <cell r="B566" t="str">
            <v/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A567" t="str">
            <v/>
          </cell>
          <cell r="B567" t="str">
            <v/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A568" t="str">
            <v/>
          </cell>
          <cell r="B568" t="str">
            <v/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A569" t="str">
            <v/>
          </cell>
          <cell r="B569" t="str">
            <v/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</row>
        <row r="570">
          <cell r="A570" t="str">
            <v/>
          </cell>
          <cell r="B570" t="str">
            <v/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A571" t="str">
            <v/>
          </cell>
          <cell r="B571" t="str">
            <v/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</row>
        <row r="572">
          <cell r="A572" t="str">
            <v/>
          </cell>
          <cell r="B572" t="str">
            <v/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A573" t="str">
            <v/>
          </cell>
          <cell r="B573" t="str">
            <v/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</row>
        <row r="574">
          <cell r="A574" t="str">
            <v/>
          </cell>
          <cell r="B574" t="str">
            <v/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A575" t="str">
            <v/>
          </cell>
          <cell r="B575" t="str">
            <v/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</row>
        <row r="576">
          <cell r="A576" t="str">
            <v/>
          </cell>
          <cell r="B576" t="str">
            <v/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A577" t="str">
            <v/>
          </cell>
          <cell r="B577" t="str">
            <v/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A578" t="str">
            <v/>
          </cell>
          <cell r="B578" t="str">
            <v/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A579" t="str">
            <v/>
          </cell>
          <cell r="B579" t="str">
            <v/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A580" t="str">
            <v/>
          </cell>
          <cell r="B580" t="str">
            <v/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</row>
        <row r="581">
          <cell r="A581" t="str">
            <v/>
          </cell>
          <cell r="B581" t="str">
            <v/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</row>
        <row r="582">
          <cell r="A582" t="str">
            <v/>
          </cell>
          <cell r="B582" t="str">
            <v/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A583" t="str">
            <v/>
          </cell>
          <cell r="B583" t="str">
            <v/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</row>
        <row r="584">
          <cell r="A584" t="str">
            <v/>
          </cell>
          <cell r="B584" t="str">
            <v/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A585" t="str">
            <v/>
          </cell>
          <cell r="B585" t="str">
            <v/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</row>
        <row r="586">
          <cell r="A586" t="str">
            <v/>
          </cell>
          <cell r="B586" t="str">
            <v/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A587" t="str">
            <v/>
          </cell>
          <cell r="B587" t="str">
            <v/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</row>
        <row r="588">
          <cell r="A588" t="str">
            <v/>
          </cell>
          <cell r="B588" t="str">
            <v/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A589" t="str">
            <v/>
          </cell>
          <cell r="B589" t="str">
            <v/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</row>
        <row r="590">
          <cell r="A590" t="str">
            <v/>
          </cell>
          <cell r="B590" t="str">
            <v/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</row>
        <row r="591">
          <cell r="A591" t="str">
            <v/>
          </cell>
          <cell r="B591" t="str">
            <v/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</row>
        <row r="592">
          <cell r="A592" t="str">
            <v/>
          </cell>
          <cell r="B592" t="str">
            <v/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</row>
        <row r="593">
          <cell r="A593" t="str">
            <v/>
          </cell>
          <cell r="B593" t="str">
            <v/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A594" t="str">
            <v/>
          </cell>
          <cell r="B594" t="str">
            <v/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</row>
        <row r="595">
          <cell r="A595" t="str">
            <v/>
          </cell>
          <cell r="B595" t="str">
            <v/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A596" t="str">
            <v/>
          </cell>
          <cell r="B596" t="str">
            <v/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</row>
        <row r="597">
          <cell r="A597" t="str">
            <v/>
          </cell>
          <cell r="B597" t="str">
            <v/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A598" t="str">
            <v/>
          </cell>
          <cell r="B598" t="str">
            <v/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A599" t="str">
            <v/>
          </cell>
          <cell r="B599" t="str">
            <v/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</row>
        <row r="600">
          <cell r="A600" t="str">
            <v/>
          </cell>
          <cell r="B600" t="str">
            <v/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A601" t="str">
            <v/>
          </cell>
          <cell r="B601" t="str">
            <v/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</row>
        <row r="602">
          <cell r="A602" t="str">
            <v/>
          </cell>
          <cell r="B602" t="str">
            <v/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A603" t="str">
            <v/>
          </cell>
          <cell r="B603" t="str">
            <v/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A604" t="str">
            <v/>
          </cell>
          <cell r="B604" t="str">
            <v/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A605" t="str">
            <v/>
          </cell>
          <cell r="B605" t="str">
            <v/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A606" t="str">
            <v/>
          </cell>
          <cell r="B606" t="str">
            <v/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A607" t="str">
            <v/>
          </cell>
          <cell r="B607" t="str">
            <v/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A608" t="str">
            <v/>
          </cell>
          <cell r="B608" t="str">
            <v/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A609" t="str">
            <v/>
          </cell>
          <cell r="B609" t="str">
            <v/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A610" t="str">
            <v/>
          </cell>
          <cell r="B610" t="str">
            <v/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A611" t="str">
            <v/>
          </cell>
          <cell r="B611" t="str">
            <v/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A612" t="str">
            <v/>
          </cell>
          <cell r="B612" t="str">
            <v/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</row>
        <row r="613">
          <cell r="A613" t="str">
            <v/>
          </cell>
          <cell r="B613" t="str">
            <v/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</row>
        <row r="614">
          <cell r="A614" t="str">
            <v/>
          </cell>
          <cell r="B614" t="str">
            <v/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T"/>
      <sheetName val="KalenderKerja"/>
      <sheetName val="LeadNeedAndPpNaT"/>
      <sheetName val="MasterPPnat"/>
      <sheetName val="MasterMRP-PlateProcess"/>
      <sheetName val="MasterMRP-PlateProcessByBOM"/>
      <sheetName val="OnHandActual"/>
      <sheetName val="LoadAwalByPesimis"/>
      <sheetName val="MasterParameter"/>
      <sheetName val="Master-BeF0"/>
      <sheetName val="Master-Bef0.1"/>
      <sheetName val="TBT-2P"/>
      <sheetName val="TBT-2L"/>
      <sheetName val="MatrikSimpleMPS"/>
      <sheetName val="SmallOrBigResume"/>
      <sheetName val="Load_Per_Line"/>
      <sheetName val="MatrikLineKIM2018"/>
      <sheetName val="PivotOfMaster"/>
      <sheetName val="Master4PivoT"/>
      <sheetName val="Master"/>
      <sheetName val="MasterSimpel.N-1"/>
      <sheetName val="MasterResumeForDailyMonitor"/>
      <sheetName val="MasterOrder"/>
      <sheetName val="MasterOrderResume"/>
      <sheetName val="MasterResume"/>
      <sheetName val="Master-PlanLoadBySegment"/>
      <sheetName val="DayPerDayMPS"/>
      <sheetName val="DayPerDayMPSResumeByShift"/>
      <sheetName val="DayPerDayResumeByShiftGantiPart"/>
      <sheetName val="PlanningAssyCKGKIM-FORMAT"/>
      <sheetName val="PlanningAssyCKGKIM-TEMP"/>
      <sheetName val="PlanningAssyCKGKIM"/>
      <sheetName val="SS-UPDATE &amp; PROGRES BY CUSTOMER"/>
      <sheetName val="Line MPS N-1"/>
      <sheetName val="Line MPS N-2"/>
      <sheetName val="Default Line"/>
      <sheetName val="5.0 Non Export"/>
      <sheetName val="Prod by Line"/>
      <sheetName val="List Burner 2013"/>
    </sheetNames>
    <sheetDataSet>
      <sheetData sheetId="0">
        <row r="6">
          <cell r="B6" t="str">
            <v>JIS/NS40</v>
          </cell>
        </row>
        <row r="7">
          <cell r="B7" t="str">
            <v>JIS/NS40Z</v>
          </cell>
        </row>
        <row r="8">
          <cell r="B8" t="str">
            <v>JIS/N40</v>
          </cell>
        </row>
        <row r="9">
          <cell r="B9" t="str">
            <v>JIS/NS60</v>
          </cell>
        </row>
        <row r="10">
          <cell r="B10" t="str">
            <v>JIS/55D23</v>
          </cell>
        </row>
        <row r="11">
          <cell r="B11" t="str">
            <v>JIS/N50</v>
          </cell>
        </row>
        <row r="12">
          <cell r="B12" t="str">
            <v>JIS/N50Z</v>
          </cell>
        </row>
        <row r="13">
          <cell r="B13" t="str">
            <v>JIS/NS70</v>
          </cell>
        </row>
        <row r="14">
          <cell r="B14" t="str">
            <v>JIS/80D26( 13 PALET )</v>
          </cell>
        </row>
        <row r="15">
          <cell r="B15" t="str">
            <v>JIS/80D26( 14 PALET )</v>
          </cell>
        </row>
        <row r="16">
          <cell r="B16" t="str">
            <v>JIS/N70</v>
          </cell>
        </row>
        <row r="17">
          <cell r="B17" t="str">
            <v>JIS/N70Z</v>
          </cell>
        </row>
        <row r="18">
          <cell r="B18" t="str">
            <v>JIS/NX120-7 (15 PALET )</v>
          </cell>
        </row>
        <row r="19">
          <cell r="B19" t="str">
            <v>JIS/NX120-7 (17 PALET )</v>
          </cell>
        </row>
        <row r="20">
          <cell r="B20" t="str">
            <v>JIS/N100</v>
          </cell>
        </row>
        <row r="21">
          <cell r="B21" t="str">
            <v>JIS/N120</v>
          </cell>
        </row>
        <row r="22">
          <cell r="B22" t="str">
            <v>JIS/N150</v>
          </cell>
        </row>
        <row r="23">
          <cell r="B23" t="str">
            <v>JIS/N200</v>
          </cell>
        </row>
        <row r="26">
          <cell r="B26" t="str">
            <v>Unique Id</v>
          </cell>
        </row>
        <row r="27">
          <cell r="B27" t="str">
            <v>MF/NS40</v>
          </cell>
        </row>
        <row r="28">
          <cell r="B28" t="str">
            <v>MF/NS40Z</v>
          </cell>
        </row>
        <row r="29">
          <cell r="B29" t="str">
            <v>MF/N40</v>
          </cell>
        </row>
        <row r="30">
          <cell r="B30" t="str">
            <v>MF/NS60</v>
          </cell>
        </row>
        <row r="31">
          <cell r="B31" t="str">
            <v>MF/55D23/NS50</v>
          </cell>
        </row>
        <row r="32">
          <cell r="B32" t="str">
            <v>MF/N50</v>
          </cell>
        </row>
        <row r="33">
          <cell r="B33" t="str">
            <v>MF/N50Z</v>
          </cell>
        </row>
        <row r="34">
          <cell r="B34" t="str">
            <v>MF/NS70</v>
          </cell>
        </row>
        <row r="35">
          <cell r="B35" t="str">
            <v>MF/N70 (13)</v>
          </cell>
        </row>
        <row r="36">
          <cell r="B36" t="str">
            <v>MF/N70Z/NX120-7(15)</v>
          </cell>
        </row>
        <row r="37">
          <cell r="B37" t="str">
            <v>MF/NX120-7(17 PLATE)</v>
          </cell>
        </row>
        <row r="38">
          <cell r="B38" t="str">
            <v>MF/N70ZZ (18 PLATE)</v>
          </cell>
        </row>
        <row r="39">
          <cell r="B39" t="str">
            <v>MF/544</v>
          </cell>
        </row>
        <row r="40">
          <cell r="B40" t="str">
            <v>MF/545</v>
          </cell>
        </row>
        <row r="41">
          <cell r="B41" t="str">
            <v>MF/555</v>
          </cell>
        </row>
        <row r="42">
          <cell r="B42" t="str">
            <v>MF/566-38/580-24</v>
          </cell>
        </row>
        <row r="43">
          <cell r="B43" t="str">
            <v>MF/588-27/600-38</v>
          </cell>
        </row>
        <row r="44">
          <cell r="B44" t="str">
            <v>MF/N100</v>
          </cell>
        </row>
        <row r="45">
          <cell r="B45" t="str">
            <v>MF/N120</v>
          </cell>
        </row>
        <row r="46">
          <cell r="B46" t="str">
            <v>MF/N150</v>
          </cell>
        </row>
        <row r="47">
          <cell r="B47" t="str">
            <v>MF/N200</v>
          </cell>
        </row>
        <row r="49">
          <cell r="B49" t="str">
            <v>Unique Id</v>
          </cell>
        </row>
        <row r="50">
          <cell r="B50" t="str">
            <v>DIN/12N24</v>
          </cell>
        </row>
        <row r="51">
          <cell r="B51" t="str">
            <v>DIN/544-59/64</v>
          </cell>
        </row>
        <row r="52">
          <cell r="B52" t="str">
            <v>DIN/545-19</v>
          </cell>
        </row>
        <row r="53">
          <cell r="B53" t="str">
            <v>DIN/555-59/65/30</v>
          </cell>
        </row>
        <row r="54">
          <cell r="B54" t="str">
            <v>DIN/566-38</v>
          </cell>
        </row>
        <row r="55">
          <cell r="B55" t="str">
            <v>DIN/574-12/580-24</v>
          </cell>
        </row>
        <row r="56">
          <cell r="B56" t="str">
            <v>DIN/584-24</v>
          </cell>
        </row>
        <row r="57">
          <cell r="B57" t="str">
            <v>DIN/588-27</v>
          </cell>
        </row>
        <row r="58">
          <cell r="B58" t="str">
            <v>DIN/600-38</v>
          </cell>
        </row>
        <row r="59">
          <cell r="B59" t="str">
            <v>6D135SH</v>
          </cell>
        </row>
        <row r="60">
          <cell r="B60" t="str">
            <v>8D90</v>
          </cell>
        </row>
        <row r="61">
          <cell r="B61" t="str">
            <v>DIN/562</v>
          </cell>
        </row>
        <row r="64">
          <cell r="B64" t="str">
            <v>Unique Id</v>
          </cell>
        </row>
        <row r="65">
          <cell r="B65" t="str">
            <v>DEEP/N70T</v>
          </cell>
        </row>
        <row r="66">
          <cell r="B66" t="str">
            <v>DEEP/N100T</v>
          </cell>
        </row>
        <row r="67">
          <cell r="B67" t="str">
            <v>DEEP/N120T</v>
          </cell>
        </row>
        <row r="68">
          <cell r="B68" t="str">
            <v>DEEP/N150T</v>
          </cell>
        </row>
        <row r="69">
          <cell r="B69" t="str">
            <v>DEEP/N200T</v>
          </cell>
        </row>
        <row r="73">
          <cell r="B73" t="str">
            <v>Unique Id</v>
          </cell>
        </row>
        <row r="74">
          <cell r="B74" t="str">
            <v>AUS/N03</v>
          </cell>
        </row>
        <row r="75">
          <cell r="B75" t="str">
            <v>AUS/N12D</v>
          </cell>
        </row>
        <row r="76">
          <cell r="B76" t="str">
            <v>AUS/N86/87</v>
          </cell>
        </row>
        <row r="77">
          <cell r="B77" t="str">
            <v>AUS/N89/90</v>
          </cell>
        </row>
        <row r="78">
          <cell r="B78" t="str">
            <v>AUS/N46/47</v>
          </cell>
        </row>
        <row r="79">
          <cell r="B79" t="str">
            <v>AUS/N48/49</v>
          </cell>
        </row>
        <row r="80">
          <cell r="B80" t="str">
            <v>AUS/N51/52/66</v>
          </cell>
        </row>
        <row r="81">
          <cell r="B81" t="str">
            <v>AUS/N53/50MZ</v>
          </cell>
        </row>
        <row r="82">
          <cell r="B82" t="str">
            <v>AUS/N94</v>
          </cell>
        </row>
        <row r="85">
          <cell r="B85" t="str">
            <v>*</v>
          </cell>
        </row>
      </sheetData>
      <sheetData sheetId="1">
        <row r="2">
          <cell r="A2" t="str">
            <v>Kalender kerja CBI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V5">
            <v>2088.5864578091464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enums"/>
    </sheetNames>
    <sheetDataSet>
      <sheetData sheetId="0" refreshError="1"/>
      <sheetData sheetId="1">
        <row r="3">
          <cell r="B3" t="str">
            <v>Purchased</v>
          </cell>
          <cell r="D3" t="str">
            <v>Not Applicable</v>
          </cell>
          <cell r="F3" t="str">
            <v>Yes</v>
          </cell>
        </row>
        <row r="4">
          <cell r="B4" t="str">
            <v>Manufactured</v>
          </cell>
          <cell r="D4" t="str">
            <v>Job Shop</v>
          </cell>
          <cell r="F4" t="str">
            <v>No</v>
          </cell>
        </row>
        <row r="5">
          <cell r="B5" t="str">
            <v>Generic</v>
          </cell>
          <cell r="D5" t="str">
            <v>Repetitive</v>
          </cell>
        </row>
        <row r="6">
          <cell r="B6" t="str">
            <v>Cost</v>
          </cell>
          <cell r="D6" t="str">
            <v>Assembly</v>
          </cell>
        </row>
        <row r="7">
          <cell r="B7" t="str">
            <v>Service</v>
          </cell>
          <cell r="D7" t="str">
            <v>Purchase</v>
          </cell>
        </row>
        <row r="8">
          <cell r="B8" t="str">
            <v>Subcontracted Service</v>
          </cell>
          <cell r="D8" t="str">
            <v>Subcontract</v>
          </cell>
        </row>
        <row r="9">
          <cell r="B9" t="str">
            <v>List</v>
          </cell>
        </row>
        <row r="10">
          <cell r="B10" t="str">
            <v>Tool</v>
          </cell>
        </row>
        <row r="11">
          <cell r="B11" t="str">
            <v>Equipment</v>
          </cell>
        </row>
        <row r="12">
          <cell r="B12" t="str">
            <v>Engineering Module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B15E-1C75-47D8-B3BB-89597078A9E1}">
  <dimension ref="A2:V45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40" sqref="P40"/>
    </sheetView>
  </sheetViews>
  <sheetFormatPr defaultColWidth="8.90625" defaultRowHeight="14.5" x14ac:dyDescent="0.35"/>
  <cols>
    <col min="1" max="1" width="16.6328125" style="2" bestFit="1" customWidth="1"/>
    <col min="2" max="2" width="7.08984375" style="2" bestFit="1" customWidth="1"/>
    <col min="3" max="3" width="5.6328125" style="2" bestFit="1" customWidth="1"/>
    <col min="4" max="6" width="11.1796875" style="2" bestFit="1" customWidth="1"/>
    <col min="7" max="10" width="12.1796875" style="2" bestFit="1" customWidth="1"/>
    <col min="11" max="11" width="11.1796875" style="2" bestFit="1" customWidth="1"/>
    <col min="12" max="12" width="12.7265625" style="2" bestFit="1" customWidth="1"/>
    <col min="13" max="16" width="11.1796875" style="2" bestFit="1" customWidth="1"/>
    <col min="17" max="19" width="8.90625" style="2"/>
    <col min="20" max="20" width="9" style="2" bestFit="1" customWidth="1"/>
    <col min="21" max="21" width="10.08984375" style="2" bestFit="1" customWidth="1"/>
    <col min="22" max="16384" width="8.90625" style="2"/>
  </cols>
  <sheetData>
    <row r="2" spans="1:16" x14ac:dyDescent="0.35">
      <c r="A2" s="1"/>
      <c r="B2" s="1"/>
      <c r="C2" s="1"/>
      <c r="D2" s="1">
        <v>2013</v>
      </c>
      <c r="E2" s="1">
        <v>2014</v>
      </c>
      <c r="F2" s="1">
        <v>2015</v>
      </c>
      <c r="G2" s="1">
        <v>2016</v>
      </c>
      <c r="H2" s="1">
        <v>2017</v>
      </c>
      <c r="I2" s="1">
        <v>2018</v>
      </c>
      <c r="J2" s="1">
        <v>2019</v>
      </c>
      <c r="K2" s="1">
        <v>2020</v>
      </c>
      <c r="L2" s="1">
        <v>2021</v>
      </c>
      <c r="M2" s="1">
        <v>2022</v>
      </c>
      <c r="N2" s="1">
        <v>2023</v>
      </c>
      <c r="O2" s="1">
        <v>2024</v>
      </c>
      <c r="P2" s="1">
        <v>2025</v>
      </c>
    </row>
    <row r="3" spans="1:16" x14ac:dyDescent="0.35">
      <c r="A3" s="1" t="s">
        <v>0</v>
      </c>
      <c r="B3" s="1"/>
      <c r="C3" s="1" t="s">
        <v>1</v>
      </c>
      <c r="D3" s="3">
        <f>(D9+D13)/D6</f>
        <v>38.231427502645374</v>
      </c>
      <c r="E3" s="3">
        <f t="shared" ref="E3:P3" si="0">(E9+E13)/E6</f>
        <v>39.149619623642678</v>
      </c>
      <c r="F3" s="3">
        <f t="shared" si="0"/>
        <v>38.888540290620874</v>
      </c>
      <c r="G3" s="3">
        <f t="shared" si="0"/>
        <v>38.661137803315775</v>
      </c>
      <c r="H3" s="3">
        <f t="shared" si="0"/>
        <v>39.820043716568073</v>
      </c>
      <c r="I3" s="3">
        <f t="shared" si="0"/>
        <v>39.251917028670434</v>
      </c>
      <c r="J3" s="3">
        <f t="shared" si="0"/>
        <v>39.696660609675781</v>
      </c>
      <c r="K3" s="3">
        <f t="shared" si="0"/>
        <v>39.151805165625156</v>
      </c>
      <c r="L3" s="3">
        <f t="shared" si="0"/>
        <v>40.147910061718399</v>
      </c>
      <c r="M3" s="3">
        <f t="shared" si="0"/>
        <v>38.998021595839006</v>
      </c>
      <c r="N3" s="3">
        <f t="shared" si="0"/>
        <v>39.250073019936721</v>
      </c>
      <c r="O3" s="3">
        <f t="shared" si="0"/>
        <v>38.808312325332999</v>
      </c>
      <c r="P3" s="3">
        <f t="shared" si="0"/>
        <v>39.305410936389954</v>
      </c>
    </row>
    <row r="4" spans="1:16" x14ac:dyDescent="0.35">
      <c r="A4" s="1" t="s">
        <v>2</v>
      </c>
      <c r="B4" s="1"/>
      <c r="C4" s="1" t="s">
        <v>3</v>
      </c>
      <c r="D4" s="4">
        <f>D17/D6</f>
        <v>4.8026187077105709</v>
      </c>
      <c r="E4" s="4">
        <f t="shared" ref="E4:P4" si="1">E17/E6</f>
        <v>4.9118285299275737</v>
      </c>
      <c r="F4" s="4">
        <f t="shared" si="1"/>
        <v>4.9316640456459764</v>
      </c>
      <c r="G4" s="4">
        <f t="shared" si="1"/>
        <v>4.8386374575094919</v>
      </c>
      <c r="H4" s="4">
        <f t="shared" si="1"/>
        <v>5.0534000832520567</v>
      </c>
      <c r="I4" s="4">
        <f t="shared" si="1"/>
        <v>4.9093359960931648</v>
      </c>
      <c r="J4" s="4">
        <f t="shared" si="1"/>
        <v>5.0040918843679005</v>
      </c>
      <c r="K4" s="4">
        <f t="shared" si="1"/>
        <v>4.9392264205627097</v>
      </c>
      <c r="L4" s="4">
        <f t="shared" si="1"/>
        <v>5.1342255298964936</v>
      </c>
      <c r="M4" s="4">
        <f t="shared" si="1"/>
        <v>4.9063605169804418</v>
      </c>
      <c r="N4" s="4">
        <f t="shared" si="1"/>
        <v>4.8925680058049128</v>
      </c>
      <c r="O4" s="4">
        <f t="shared" si="1"/>
        <v>4.6867191445234351</v>
      </c>
      <c r="P4" s="4">
        <f t="shared" si="1"/>
        <v>4.7832260542476899</v>
      </c>
    </row>
    <row r="5" spans="1:16" x14ac:dyDescent="0.35">
      <c r="A5" s="1" t="s">
        <v>4</v>
      </c>
      <c r="B5" s="1"/>
      <c r="C5" s="1" t="s">
        <v>3</v>
      </c>
      <c r="D5" s="5">
        <f>D17/(D9+D13)</f>
        <v>0.12561965433747563</v>
      </c>
      <c r="E5" s="5">
        <f t="shared" ref="E5:P5" si="2">E17/(E9+E13)</f>
        <v>0.12546299497023192</v>
      </c>
      <c r="F5" s="5">
        <f t="shared" si="2"/>
        <v>0.12681535508380587</v>
      </c>
      <c r="G5" s="5">
        <f t="shared" si="2"/>
        <v>0.12515507127921377</v>
      </c>
      <c r="H5" s="5">
        <f t="shared" si="2"/>
        <v>0.12690594011451248</v>
      </c>
      <c r="I5" s="5">
        <f t="shared" si="2"/>
        <v>0.1250725153756766</v>
      </c>
      <c r="J5" s="5">
        <f t="shared" si="2"/>
        <v>0.12605825798727735</v>
      </c>
      <c r="K5" s="5">
        <f t="shared" si="2"/>
        <v>0.12615577748377474</v>
      </c>
      <c r="L5" s="5">
        <f t="shared" si="2"/>
        <v>0.12788275957587267</v>
      </c>
      <c r="M5" s="5">
        <f t="shared" si="2"/>
        <v>0.12581049797418284</v>
      </c>
      <c r="N5" s="5">
        <f t="shared" si="2"/>
        <v>0.1246511822619993</v>
      </c>
      <c r="O5" s="5">
        <f t="shared" si="2"/>
        <v>0.12076585823249195</v>
      </c>
      <c r="P5" s="5">
        <f t="shared" si="2"/>
        <v>0.12169383146734276</v>
      </c>
    </row>
    <row r="6" spans="1:16" x14ac:dyDescent="0.35">
      <c r="A6" s="1" t="s">
        <v>5</v>
      </c>
      <c r="B6" s="1"/>
      <c r="C6" s="1" t="s">
        <v>6</v>
      </c>
      <c r="D6" s="6">
        <v>2122574</v>
      </c>
      <c r="E6" s="6">
        <v>2234366</v>
      </c>
      <c r="F6" s="6">
        <v>2525352</v>
      </c>
      <c r="G6" s="6">
        <v>2856223</v>
      </c>
      <c r="H6" s="6">
        <v>2697833</v>
      </c>
      <c r="I6" s="6">
        <v>3005954</v>
      </c>
      <c r="J6" s="6">
        <v>2900230</v>
      </c>
      <c r="K6" s="6">
        <v>2547107</v>
      </c>
      <c r="L6" s="6">
        <v>2877262</v>
      </c>
      <c r="M6" s="6">
        <v>2442878</v>
      </c>
      <c r="N6" s="6">
        <v>2085047</v>
      </c>
      <c r="O6" s="6">
        <v>2206699</v>
      </c>
      <c r="P6" s="6">
        <v>2263416</v>
      </c>
    </row>
    <row r="7" spans="1:16" x14ac:dyDescent="0.35">
      <c r="A7" s="7" t="s">
        <v>7</v>
      </c>
      <c r="B7" s="1" t="s">
        <v>8</v>
      </c>
      <c r="C7" s="1" t="s">
        <v>1</v>
      </c>
      <c r="D7" s="8">
        <v>37919327</v>
      </c>
      <c r="E7" s="8">
        <v>41371152</v>
      </c>
      <c r="F7" s="8">
        <v>46628084</v>
      </c>
      <c r="G7" s="8">
        <v>52292604</v>
      </c>
      <c r="H7" s="8">
        <v>50783023</v>
      </c>
      <c r="I7" s="8">
        <v>55640192</v>
      </c>
      <c r="J7" s="8">
        <v>54191520</v>
      </c>
      <c r="K7" s="8">
        <v>46027215</v>
      </c>
      <c r="L7" s="8">
        <v>53565999</v>
      </c>
      <c r="M7" s="8">
        <v>43771041</v>
      </c>
      <c r="N7" s="8">
        <v>38678812</v>
      </c>
      <c r="O7" s="8">
        <v>40290297</v>
      </c>
      <c r="P7" s="8">
        <v>41555412</v>
      </c>
    </row>
    <row r="8" spans="1:16" x14ac:dyDescent="0.35">
      <c r="A8" s="9"/>
      <c r="B8" s="1" t="s">
        <v>9</v>
      </c>
      <c r="C8" s="1" t="s">
        <v>1</v>
      </c>
      <c r="D8" s="8">
        <v>43229707</v>
      </c>
      <c r="E8" s="8">
        <v>46103427</v>
      </c>
      <c r="F8" s="8">
        <v>51579169</v>
      </c>
      <c r="G8" s="8">
        <v>58132227</v>
      </c>
      <c r="H8" s="8">
        <v>56644805</v>
      </c>
      <c r="I8" s="8">
        <v>62349265</v>
      </c>
      <c r="J8" s="8">
        <v>60654783</v>
      </c>
      <c r="K8" s="8">
        <v>51104976</v>
      </c>
      <c r="L8" s="8">
        <v>58145460</v>
      </c>
      <c r="M8" s="8">
        <v>46583472</v>
      </c>
      <c r="N8" s="8">
        <v>37942132</v>
      </c>
      <c r="O8" s="8">
        <v>28262724</v>
      </c>
      <c r="P8" s="8">
        <v>29933640</v>
      </c>
    </row>
    <row r="9" spans="1:16" x14ac:dyDescent="0.35">
      <c r="A9" s="9"/>
      <c r="B9" s="1" t="s">
        <v>10</v>
      </c>
      <c r="C9" s="1" t="s">
        <v>1</v>
      </c>
      <c r="D9" s="8">
        <f>SUM(D7:D8)</f>
        <v>81149034</v>
      </c>
      <c r="E9" s="8">
        <f t="shared" ref="E9:P9" si="3">SUM(E7:E8)</f>
        <v>87474579</v>
      </c>
      <c r="F9" s="8">
        <f t="shared" si="3"/>
        <v>98207253</v>
      </c>
      <c r="G9" s="8">
        <f t="shared" si="3"/>
        <v>110424831</v>
      </c>
      <c r="H9" s="8">
        <f t="shared" si="3"/>
        <v>107427828</v>
      </c>
      <c r="I9" s="8">
        <f t="shared" si="3"/>
        <v>117989457</v>
      </c>
      <c r="J9" s="8">
        <f t="shared" si="3"/>
        <v>114846303</v>
      </c>
      <c r="K9" s="8">
        <f t="shared" si="3"/>
        <v>97132191</v>
      </c>
      <c r="L9" s="8">
        <f t="shared" si="3"/>
        <v>111711459</v>
      </c>
      <c r="M9" s="8">
        <f t="shared" si="3"/>
        <v>90354513</v>
      </c>
      <c r="N9" s="8">
        <f t="shared" si="3"/>
        <v>76620944</v>
      </c>
      <c r="O9" s="8">
        <f t="shared" si="3"/>
        <v>68553021</v>
      </c>
      <c r="P9" s="8">
        <f t="shared" si="3"/>
        <v>71489052</v>
      </c>
    </row>
    <row r="10" spans="1:16" x14ac:dyDescent="0.35">
      <c r="A10" s="10"/>
      <c r="B10" s="1" t="s">
        <v>11</v>
      </c>
      <c r="C10" s="1" t="s">
        <v>6</v>
      </c>
      <c r="D10" s="8">
        <f t="shared" ref="D10:P10" si="4">D9/D3</f>
        <v>2122574</v>
      </c>
      <c r="E10" s="8">
        <f t="shared" si="4"/>
        <v>2234366</v>
      </c>
      <c r="F10" s="8">
        <f t="shared" si="4"/>
        <v>2525352</v>
      </c>
      <c r="G10" s="8">
        <f t="shared" si="4"/>
        <v>2856223</v>
      </c>
      <c r="H10" s="8">
        <f t="shared" si="4"/>
        <v>2697833</v>
      </c>
      <c r="I10" s="8">
        <f t="shared" si="4"/>
        <v>3005954</v>
      </c>
      <c r="J10" s="8">
        <f t="shared" si="4"/>
        <v>2893097.3345402014</v>
      </c>
      <c r="K10" s="8">
        <f t="shared" si="4"/>
        <v>2480912.1977670896</v>
      </c>
      <c r="L10" s="8">
        <f t="shared" si="4"/>
        <v>2782497.4906108114</v>
      </c>
      <c r="M10" s="8">
        <f t="shared" si="4"/>
        <v>2316899.9170368328</v>
      </c>
      <c r="N10" s="8">
        <f t="shared" si="4"/>
        <v>1952122.3300930187</v>
      </c>
      <c r="O10" s="8">
        <f t="shared" si="4"/>
        <v>1766452.0019658385</v>
      </c>
      <c r="P10" s="8">
        <f t="shared" si="4"/>
        <v>1818809.4284447134</v>
      </c>
    </row>
    <row r="11" spans="1:16" x14ac:dyDescent="0.35">
      <c r="A11" s="7" t="s">
        <v>12</v>
      </c>
      <c r="B11" s="1" t="s">
        <v>8</v>
      </c>
      <c r="C11" s="1" t="s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150465</v>
      </c>
      <c r="K11" s="8">
        <v>1248411</v>
      </c>
      <c r="L11" s="8">
        <v>1868055</v>
      </c>
      <c r="M11" s="8">
        <v>2430405</v>
      </c>
      <c r="N11" s="8">
        <v>1405866</v>
      </c>
      <c r="O11" s="8">
        <v>1886799</v>
      </c>
      <c r="P11" s="8">
        <v>2118243</v>
      </c>
    </row>
    <row r="12" spans="1:16" x14ac:dyDescent="0.35">
      <c r="A12" s="9"/>
      <c r="B12" s="1" t="s">
        <v>9</v>
      </c>
      <c r="C12" s="1" t="s">
        <v>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132678</v>
      </c>
      <c r="K12" s="8">
        <v>1343235</v>
      </c>
      <c r="L12" s="8">
        <v>1936542</v>
      </c>
      <c r="M12" s="8">
        <v>2482491</v>
      </c>
      <c r="N12" s="8">
        <v>3811437</v>
      </c>
      <c r="O12" s="8">
        <v>15198444</v>
      </c>
      <c r="P12" s="8">
        <v>15357201</v>
      </c>
    </row>
    <row r="13" spans="1:16" x14ac:dyDescent="0.35">
      <c r="A13" s="9"/>
      <c r="B13" s="1" t="s">
        <v>10</v>
      </c>
      <c r="C13" s="1" t="s">
        <v>1</v>
      </c>
      <c r="D13" s="8">
        <f>SUM(D11:D12)</f>
        <v>0</v>
      </c>
      <c r="E13" s="8">
        <f t="shared" ref="E13:P13" si="5">SUM(E11:E12)</f>
        <v>0</v>
      </c>
      <c r="F13" s="8">
        <f t="shared" si="5"/>
        <v>0</v>
      </c>
      <c r="G13" s="8">
        <f t="shared" si="5"/>
        <v>0</v>
      </c>
      <c r="H13" s="8">
        <f t="shared" si="5"/>
        <v>0</v>
      </c>
      <c r="I13" s="8">
        <f t="shared" si="5"/>
        <v>0</v>
      </c>
      <c r="J13" s="8">
        <f t="shared" si="5"/>
        <v>283143</v>
      </c>
      <c r="K13" s="8">
        <f t="shared" si="5"/>
        <v>2591646</v>
      </c>
      <c r="L13" s="8">
        <f t="shared" si="5"/>
        <v>3804597</v>
      </c>
      <c r="M13" s="8">
        <f t="shared" si="5"/>
        <v>4912896</v>
      </c>
      <c r="N13" s="8">
        <f t="shared" si="5"/>
        <v>5217303</v>
      </c>
      <c r="O13" s="8">
        <f t="shared" si="5"/>
        <v>17085243</v>
      </c>
      <c r="P13" s="8">
        <f t="shared" si="5"/>
        <v>17475444</v>
      </c>
    </row>
    <row r="14" spans="1:16" x14ac:dyDescent="0.35">
      <c r="A14" s="10"/>
      <c r="B14" s="1" t="s">
        <v>11</v>
      </c>
      <c r="C14" s="1" t="s">
        <v>6</v>
      </c>
      <c r="D14" s="8">
        <f t="shared" ref="D14:P14" si="6">D13/D3</f>
        <v>0</v>
      </c>
      <c r="E14" s="8">
        <f t="shared" si="6"/>
        <v>0</v>
      </c>
      <c r="F14" s="8">
        <f t="shared" si="6"/>
        <v>0</v>
      </c>
      <c r="G14" s="8">
        <f t="shared" si="6"/>
        <v>0</v>
      </c>
      <c r="H14" s="8">
        <f t="shared" si="6"/>
        <v>0</v>
      </c>
      <c r="I14" s="8">
        <f t="shared" si="6"/>
        <v>0</v>
      </c>
      <c r="J14" s="8">
        <f t="shared" si="6"/>
        <v>7132.665459799051</v>
      </c>
      <c r="K14" s="8">
        <f t="shared" si="6"/>
        <v>66194.802232910472</v>
      </c>
      <c r="L14" s="8">
        <f t="shared" si="6"/>
        <v>94764.509389188286</v>
      </c>
      <c r="M14" s="8">
        <f t="shared" si="6"/>
        <v>125978.0829631674</v>
      </c>
      <c r="N14" s="8">
        <f t="shared" si="6"/>
        <v>132924.66990698126</v>
      </c>
      <c r="O14" s="8">
        <f t="shared" si="6"/>
        <v>440246.99803416146</v>
      </c>
      <c r="P14" s="8">
        <f t="shared" si="6"/>
        <v>444606.57155528647</v>
      </c>
    </row>
    <row r="15" spans="1:16" x14ac:dyDescent="0.35">
      <c r="A15" s="7" t="s">
        <v>13</v>
      </c>
      <c r="B15" s="1" t="s">
        <v>8</v>
      </c>
      <c r="C15" s="1" t="s">
        <v>3</v>
      </c>
      <c r="D15" s="8">
        <v>4760297.6942999763</v>
      </c>
      <c r="E15" s="8">
        <v>5182289.3031000774</v>
      </c>
      <c r="F15" s="8">
        <v>5903809.0998000205</v>
      </c>
      <c r="G15" s="8">
        <v>6535059.6519000074</v>
      </c>
      <c r="H15" s="8">
        <v>6443677.0935000544</v>
      </c>
      <c r="I15" s="8">
        <v>6959828.4912001882</v>
      </c>
      <c r="J15" s="8">
        <v>6851104.0613002768</v>
      </c>
      <c r="K15" s="8">
        <v>5963864.7375001376</v>
      </c>
      <c r="L15" s="8">
        <v>7085024.1504004942</v>
      </c>
      <c r="M15" s="8">
        <v>5799571.3413002482</v>
      </c>
      <c r="N15" s="8">
        <v>5032814.6721998043</v>
      </c>
      <c r="O15" s="8">
        <v>5264226.3842999395</v>
      </c>
      <c r="P15" s="8">
        <v>5520012.2166000251</v>
      </c>
    </row>
    <row r="16" spans="1:16" x14ac:dyDescent="0.35">
      <c r="A16" s="9"/>
      <c r="B16" s="1" t="s">
        <v>9</v>
      </c>
      <c r="C16" s="1" t="s">
        <v>3</v>
      </c>
      <c r="D16" s="8">
        <v>5433615.9066000823</v>
      </c>
      <c r="E16" s="8">
        <v>5792533.3620000752</v>
      </c>
      <c r="F16" s="8">
        <v>6550378.5612001373</v>
      </c>
      <c r="G16" s="8">
        <v>7285167.9429001259</v>
      </c>
      <c r="H16" s="8">
        <v>7189552.4133000923</v>
      </c>
      <c r="I16" s="8">
        <v>7797409.6836000439</v>
      </c>
      <c r="J16" s="8">
        <v>7661913.3445000397</v>
      </c>
      <c r="K16" s="8">
        <v>6616873.4529000847</v>
      </c>
      <c r="L16" s="8">
        <v>7687487.8662005505</v>
      </c>
      <c r="M16" s="8">
        <v>6186068.8256999003</v>
      </c>
      <c r="N16" s="8">
        <v>5168419.5705997124</v>
      </c>
      <c r="O16" s="8">
        <v>5077952.0652007796</v>
      </c>
      <c r="P16" s="8">
        <v>5306418.1662010644</v>
      </c>
    </row>
    <row r="17" spans="1:17" x14ac:dyDescent="0.35">
      <c r="A17" s="9"/>
      <c r="B17" s="1" t="s">
        <v>10</v>
      </c>
      <c r="C17" s="1" t="s">
        <v>3</v>
      </c>
      <c r="D17" s="8">
        <f>SUM(D15:D16)</f>
        <v>10193913.600900058</v>
      </c>
      <c r="E17" s="8">
        <f t="shared" ref="E17:P17" si="7">SUM(E15:E16)</f>
        <v>10974822.665100154</v>
      </c>
      <c r="F17" s="8">
        <f t="shared" si="7"/>
        <v>12454187.661000159</v>
      </c>
      <c r="G17" s="8">
        <f t="shared" si="7"/>
        <v>13820227.594800133</v>
      </c>
      <c r="H17" s="8">
        <f t="shared" si="7"/>
        <v>13633229.506800147</v>
      </c>
      <c r="I17" s="8">
        <f t="shared" si="7"/>
        <v>14757238.174800232</v>
      </c>
      <c r="J17" s="8">
        <f t="shared" si="7"/>
        <v>14513017.405800316</v>
      </c>
      <c r="K17" s="8">
        <f t="shared" si="7"/>
        <v>12580738.190400222</v>
      </c>
      <c r="L17" s="8">
        <f t="shared" si="7"/>
        <v>14772512.016601045</v>
      </c>
      <c r="M17" s="8">
        <f t="shared" si="7"/>
        <v>11985640.167000148</v>
      </c>
      <c r="N17" s="8">
        <f t="shared" si="7"/>
        <v>10201234.242799517</v>
      </c>
      <c r="O17" s="8">
        <f t="shared" si="7"/>
        <v>10342178.449500719</v>
      </c>
      <c r="P17" s="8">
        <f t="shared" si="7"/>
        <v>10826430.382801089</v>
      </c>
    </row>
    <row r="18" spans="1:17" x14ac:dyDescent="0.35">
      <c r="A18" s="10"/>
      <c r="B18" s="1" t="s">
        <v>11</v>
      </c>
      <c r="C18" s="1" t="s">
        <v>6</v>
      </c>
      <c r="D18" s="8">
        <f t="shared" ref="D18:P18" si="8">D17/D4</f>
        <v>2122574</v>
      </c>
      <c r="E18" s="8">
        <f t="shared" si="8"/>
        <v>2234366</v>
      </c>
      <c r="F18" s="8">
        <f t="shared" si="8"/>
        <v>2525352</v>
      </c>
      <c r="G18" s="8">
        <f t="shared" si="8"/>
        <v>2856223</v>
      </c>
      <c r="H18" s="8">
        <f t="shared" si="8"/>
        <v>2697833</v>
      </c>
      <c r="I18" s="8">
        <f t="shared" si="8"/>
        <v>3005953.9999999995</v>
      </c>
      <c r="J18" s="8">
        <f t="shared" si="8"/>
        <v>2900230</v>
      </c>
      <c r="K18" s="8">
        <f t="shared" si="8"/>
        <v>2547107</v>
      </c>
      <c r="L18" s="8">
        <f t="shared" si="8"/>
        <v>2877262</v>
      </c>
      <c r="M18" s="8">
        <f t="shared" si="8"/>
        <v>2442878</v>
      </c>
      <c r="N18" s="8">
        <f t="shared" si="8"/>
        <v>2085047.0000000002</v>
      </c>
      <c r="O18" s="8">
        <f t="shared" si="8"/>
        <v>2206699</v>
      </c>
      <c r="P18" s="8">
        <f t="shared" si="8"/>
        <v>2263416</v>
      </c>
    </row>
    <row r="19" spans="1:17" x14ac:dyDescent="0.35">
      <c r="A19" s="7" t="s">
        <v>14</v>
      </c>
      <c r="B19" s="1" t="s">
        <v>8</v>
      </c>
      <c r="C19" s="1" t="s">
        <v>1</v>
      </c>
      <c r="D19" s="11">
        <f>D7</f>
        <v>37919327</v>
      </c>
      <c r="E19" s="11">
        <f t="shared" ref="E19:P20" si="9">E7</f>
        <v>41371152</v>
      </c>
      <c r="F19" s="11">
        <f t="shared" si="9"/>
        <v>46628084</v>
      </c>
      <c r="G19" s="11">
        <f t="shared" si="9"/>
        <v>52292604</v>
      </c>
      <c r="H19" s="11">
        <f t="shared" si="9"/>
        <v>50783023</v>
      </c>
      <c r="I19" s="11">
        <f t="shared" si="9"/>
        <v>55640192</v>
      </c>
      <c r="J19" s="11">
        <f t="shared" si="9"/>
        <v>54191520</v>
      </c>
      <c r="K19" s="11">
        <f t="shared" si="9"/>
        <v>46027215</v>
      </c>
      <c r="L19" s="11">
        <f t="shared" si="9"/>
        <v>53565999</v>
      </c>
      <c r="M19" s="11">
        <f t="shared" si="9"/>
        <v>43771041</v>
      </c>
      <c r="N19" s="11">
        <f t="shared" si="9"/>
        <v>38678812</v>
      </c>
      <c r="O19" s="11">
        <f t="shared" si="9"/>
        <v>40290297</v>
      </c>
      <c r="P19" s="11">
        <f t="shared" si="9"/>
        <v>41555412</v>
      </c>
    </row>
    <row r="20" spans="1:17" x14ac:dyDescent="0.35">
      <c r="A20" s="9"/>
      <c r="B20" s="1" t="s">
        <v>9</v>
      </c>
      <c r="C20" s="1" t="s">
        <v>1</v>
      </c>
      <c r="D20" s="11">
        <f>D8</f>
        <v>43229707</v>
      </c>
      <c r="E20" s="11">
        <f t="shared" si="9"/>
        <v>46103427</v>
      </c>
      <c r="F20" s="11">
        <f t="shared" si="9"/>
        <v>51579169</v>
      </c>
      <c r="G20" s="11">
        <f t="shared" si="9"/>
        <v>58132227</v>
      </c>
      <c r="H20" s="11">
        <f t="shared" si="9"/>
        <v>56644805</v>
      </c>
      <c r="I20" s="11">
        <f t="shared" si="9"/>
        <v>62349265</v>
      </c>
      <c r="J20" s="11">
        <f t="shared" si="9"/>
        <v>60654783</v>
      </c>
      <c r="K20" s="11">
        <f t="shared" si="9"/>
        <v>51104976</v>
      </c>
      <c r="L20" s="11">
        <f t="shared" si="9"/>
        <v>58145460</v>
      </c>
      <c r="M20" s="11">
        <f t="shared" si="9"/>
        <v>46583472</v>
      </c>
      <c r="N20" s="11">
        <f t="shared" si="9"/>
        <v>37942132</v>
      </c>
      <c r="O20" s="11">
        <f t="shared" si="9"/>
        <v>28262724</v>
      </c>
      <c r="P20" s="11">
        <f t="shared" si="9"/>
        <v>29933640</v>
      </c>
    </row>
    <row r="21" spans="1:17" x14ac:dyDescent="0.35">
      <c r="A21" s="9"/>
      <c r="B21" s="1" t="s">
        <v>10</v>
      </c>
      <c r="C21" s="1" t="s">
        <v>1</v>
      </c>
      <c r="D21" s="8">
        <f>SUM(D19:D20)</f>
        <v>81149034</v>
      </c>
      <c r="E21" s="8">
        <f t="shared" ref="E21:P21" si="10">SUM(E19:E20)</f>
        <v>87474579</v>
      </c>
      <c r="F21" s="8">
        <f t="shared" si="10"/>
        <v>98207253</v>
      </c>
      <c r="G21" s="8">
        <f t="shared" si="10"/>
        <v>110424831</v>
      </c>
      <c r="H21" s="8">
        <f t="shared" si="10"/>
        <v>107427828</v>
      </c>
      <c r="I21" s="8">
        <f t="shared" si="10"/>
        <v>117989457</v>
      </c>
      <c r="J21" s="8">
        <f t="shared" si="10"/>
        <v>114846303</v>
      </c>
      <c r="K21" s="8">
        <f t="shared" si="10"/>
        <v>97132191</v>
      </c>
      <c r="L21" s="8">
        <f t="shared" si="10"/>
        <v>111711459</v>
      </c>
      <c r="M21" s="8">
        <f t="shared" si="10"/>
        <v>90354513</v>
      </c>
      <c r="N21" s="8">
        <f t="shared" si="10"/>
        <v>76620944</v>
      </c>
      <c r="O21" s="8">
        <f t="shared" si="10"/>
        <v>68553021</v>
      </c>
      <c r="P21" s="8">
        <f t="shared" si="10"/>
        <v>71489052</v>
      </c>
    </row>
    <row r="22" spans="1:17" x14ac:dyDescent="0.35">
      <c r="A22" s="10"/>
      <c r="B22" s="1" t="s">
        <v>11</v>
      </c>
      <c r="C22" s="1" t="s">
        <v>6</v>
      </c>
      <c r="D22" s="11">
        <f t="shared" ref="D22:P22" si="11">D21/D3</f>
        <v>2122574</v>
      </c>
      <c r="E22" s="11">
        <f t="shared" si="11"/>
        <v>2234366</v>
      </c>
      <c r="F22" s="11">
        <f t="shared" si="11"/>
        <v>2525352</v>
      </c>
      <c r="G22" s="11">
        <f t="shared" si="11"/>
        <v>2856223</v>
      </c>
      <c r="H22" s="11">
        <f t="shared" si="11"/>
        <v>2697833</v>
      </c>
      <c r="I22" s="11">
        <f t="shared" si="11"/>
        <v>3005954</v>
      </c>
      <c r="J22" s="11">
        <f t="shared" si="11"/>
        <v>2893097.3345402014</v>
      </c>
      <c r="K22" s="11">
        <f t="shared" si="11"/>
        <v>2480912.1977670896</v>
      </c>
      <c r="L22" s="11">
        <f t="shared" si="11"/>
        <v>2782497.4906108114</v>
      </c>
      <c r="M22" s="11">
        <f t="shared" si="11"/>
        <v>2316899.9170368328</v>
      </c>
      <c r="N22" s="11">
        <f t="shared" si="11"/>
        <v>1952122.3300930187</v>
      </c>
      <c r="O22" s="11">
        <f t="shared" si="11"/>
        <v>1766452.0019658385</v>
      </c>
      <c r="P22" s="11">
        <f t="shared" si="11"/>
        <v>1818809.4284447134</v>
      </c>
    </row>
    <row r="23" spans="1:17" x14ac:dyDescent="0.35">
      <c r="A23" s="7" t="s">
        <v>15</v>
      </c>
      <c r="B23" s="1" t="s">
        <v>8</v>
      </c>
      <c r="C23" s="1" t="s">
        <v>1</v>
      </c>
      <c r="D23" s="11">
        <f>D11</f>
        <v>0</v>
      </c>
      <c r="E23" s="11">
        <f t="shared" ref="E23:P24" si="12">E11</f>
        <v>0</v>
      </c>
      <c r="F23" s="11">
        <f t="shared" si="12"/>
        <v>0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150465</v>
      </c>
      <c r="K23" s="11">
        <f t="shared" si="12"/>
        <v>1248411</v>
      </c>
      <c r="L23" s="11">
        <f t="shared" si="12"/>
        <v>1868055</v>
      </c>
      <c r="M23" s="11">
        <f t="shared" si="12"/>
        <v>2430405</v>
      </c>
      <c r="N23" s="11">
        <f t="shared" si="12"/>
        <v>1405866</v>
      </c>
      <c r="O23" s="11">
        <f t="shared" si="12"/>
        <v>1886799</v>
      </c>
      <c r="P23" s="11">
        <f t="shared" si="12"/>
        <v>2118243</v>
      </c>
    </row>
    <row r="24" spans="1:17" x14ac:dyDescent="0.35">
      <c r="A24" s="9"/>
      <c r="B24" s="1" t="s">
        <v>9</v>
      </c>
      <c r="C24" s="1" t="s">
        <v>1</v>
      </c>
      <c r="D24" s="11">
        <f>D12</f>
        <v>0</v>
      </c>
      <c r="E24" s="11">
        <f t="shared" si="12"/>
        <v>0</v>
      </c>
      <c r="F24" s="11">
        <f t="shared" si="12"/>
        <v>0</v>
      </c>
      <c r="G24" s="11">
        <f t="shared" si="12"/>
        <v>0</v>
      </c>
      <c r="H24" s="11">
        <f t="shared" si="12"/>
        <v>0</v>
      </c>
      <c r="I24" s="11">
        <f t="shared" si="12"/>
        <v>0</v>
      </c>
      <c r="J24" s="11">
        <f t="shared" si="12"/>
        <v>132678</v>
      </c>
      <c r="K24" s="11">
        <f t="shared" si="12"/>
        <v>1343235</v>
      </c>
      <c r="L24" s="11">
        <f t="shared" si="12"/>
        <v>1936542</v>
      </c>
      <c r="M24" s="11">
        <f t="shared" si="12"/>
        <v>2482491</v>
      </c>
      <c r="N24" s="11">
        <f t="shared" si="12"/>
        <v>3811437</v>
      </c>
      <c r="O24" s="11">
        <f t="shared" si="12"/>
        <v>15198444</v>
      </c>
      <c r="P24" s="11">
        <f t="shared" si="12"/>
        <v>15357201</v>
      </c>
    </row>
    <row r="25" spans="1:17" x14ac:dyDescent="0.35">
      <c r="A25" s="9"/>
      <c r="B25" s="1" t="s">
        <v>10</v>
      </c>
      <c r="C25" s="1" t="s">
        <v>1</v>
      </c>
      <c r="D25" s="8">
        <f>SUM(D23:D24)</f>
        <v>0</v>
      </c>
      <c r="E25" s="8">
        <f t="shared" ref="E25:P25" si="13">SUM(E23:E24)</f>
        <v>0</v>
      </c>
      <c r="F25" s="8">
        <f t="shared" si="13"/>
        <v>0</v>
      </c>
      <c r="G25" s="8">
        <f t="shared" si="13"/>
        <v>0</v>
      </c>
      <c r="H25" s="8">
        <f t="shared" si="13"/>
        <v>0</v>
      </c>
      <c r="I25" s="8">
        <f t="shared" si="13"/>
        <v>0</v>
      </c>
      <c r="J25" s="8">
        <f t="shared" si="13"/>
        <v>283143</v>
      </c>
      <c r="K25" s="8">
        <f t="shared" si="13"/>
        <v>2591646</v>
      </c>
      <c r="L25" s="8">
        <f t="shared" si="13"/>
        <v>3804597</v>
      </c>
      <c r="M25" s="8">
        <f t="shared" si="13"/>
        <v>4912896</v>
      </c>
      <c r="N25" s="8">
        <f t="shared" si="13"/>
        <v>5217303</v>
      </c>
      <c r="O25" s="8">
        <f t="shared" si="13"/>
        <v>17085243</v>
      </c>
      <c r="P25" s="8">
        <f t="shared" si="13"/>
        <v>17475444</v>
      </c>
      <c r="Q25" s="12"/>
    </row>
    <row r="26" spans="1:17" x14ac:dyDescent="0.35">
      <c r="A26" s="10"/>
      <c r="B26" s="1" t="s">
        <v>11</v>
      </c>
      <c r="C26" s="1" t="s">
        <v>6</v>
      </c>
      <c r="D26" s="11">
        <f t="shared" ref="D26:P26" si="14">D25/D3</f>
        <v>0</v>
      </c>
      <c r="E26" s="11">
        <f t="shared" si="14"/>
        <v>0</v>
      </c>
      <c r="F26" s="11">
        <f t="shared" si="14"/>
        <v>0</v>
      </c>
      <c r="G26" s="11">
        <f t="shared" si="14"/>
        <v>0</v>
      </c>
      <c r="H26" s="11">
        <f t="shared" si="14"/>
        <v>0</v>
      </c>
      <c r="I26" s="11">
        <f t="shared" si="14"/>
        <v>0</v>
      </c>
      <c r="J26" s="11">
        <f t="shared" si="14"/>
        <v>7132.665459799051</v>
      </c>
      <c r="K26" s="11">
        <f t="shared" si="14"/>
        <v>66194.802232910472</v>
      </c>
      <c r="L26" s="11">
        <f t="shared" si="14"/>
        <v>94764.509389188286</v>
      </c>
      <c r="M26" s="11">
        <f t="shared" si="14"/>
        <v>125978.0829631674</v>
      </c>
      <c r="N26" s="11">
        <f t="shared" si="14"/>
        <v>132924.66990698126</v>
      </c>
      <c r="O26" s="11">
        <f t="shared" si="14"/>
        <v>440246.99803416146</v>
      </c>
      <c r="P26" s="11">
        <f t="shared" si="14"/>
        <v>444606.57155528647</v>
      </c>
      <c r="Q26" s="12"/>
    </row>
    <row r="27" spans="1:17" x14ac:dyDescent="0.35">
      <c r="A27" s="7" t="s">
        <v>16</v>
      </c>
      <c r="B27" s="1" t="s">
        <v>8</v>
      </c>
      <c r="C27" s="1" t="s">
        <v>1</v>
      </c>
      <c r="D27" s="8">
        <v>26894732</v>
      </c>
      <c r="E27" s="8">
        <v>24910770</v>
      </c>
      <c r="F27" s="8">
        <v>26872961</v>
      </c>
      <c r="G27" s="8">
        <v>29034057</v>
      </c>
      <c r="H27" s="8">
        <v>29331205</v>
      </c>
      <c r="I27" s="8">
        <v>31672097</v>
      </c>
      <c r="J27" s="8">
        <v>31808715</v>
      </c>
      <c r="K27" s="8">
        <v>25803803</v>
      </c>
      <c r="L27" s="8">
        <v>29766534</v>
      </c>
      <c r="M27" s="8">
        <v>22747740</v>
      </c>
      <c r="N27" s="8">
        <v>19865668</v>
      </c>
      <c r="O27" s="8">
        <v>17718927</v>
      </c>
      <c r="P27" s="8">
        <v>18969507</v>
      </c>
    </row>
    <row r="28" spans="1:17" x14ac:dyDescent="0.35">
      <c r="A28" s="9"/>
      <c r="B28" s="1" t="s">
        <v>9</v>
      </c>
      <c r="C28" s="1" t="s">
        <v>1</v>
      </c>
      <c r="D28" s="8">
        <v>31073533</v>
      </c>
      <c r="E28" s="8">
        <v>28432599</v>
      </c>
      <c r="F28" s="8">
        <v>30523654</v>
      </c>
      <c r="G28" s="8">
        <v>33305946</v>
      </c>
      <c r="H28" s="8">
        <v>33335552</v>
      </c>
      <c r="I28" s="8">
        <v>36105079</v>
      </c>
      <c r="J28" s="8">
        <v>36246867</v>
      </c>
      <c r="K28" s="8">
        <v>29425642</v>
      </c>
      <c r="L28" s="8">
        <v>33458562</v>
      </c>
      <c r="M28" s="8">
        <v>25306038</v>
      </c>
      <c r="N28" s="8">
        <v>21307114</v>
      </c>
      <c r="O28" s="8">
        <v>18985809</v>
      </c>
      <c r="P28" s="8">
        <v>20413506</v>
      </c>
    </row>
    <row r="29" spans="1:17" x14ac:dyDescent="0.35">
      <c r="A29" s="9"/>
      <c r="B29" s="1" t="s">
        <v>10</v>
      </c>
      <c r="C29" s="1" t="s">
        <v>1</v>
      </c>
      <c r="D29" s="8">
        <f>SUM(D27:D28)</f>
        <v>57968265</v>
      </c>
      <c r="E29" s="8">
        <f t="shared" ref="E29:P29" si="15">SUM(E27:E28)</f>
        <v>53343369</v>
      </c>
      <c r="F29" s="8">
        <f t="shared" si="15"/>
        <v>57396615</v>
      </c>
      <c r="G29" s="8">
        <f t="shared" si="15"/>
        <v>62340003</v>
      </c>
      <c r="H29" s="8">
        <f t="shared" si="15"/>
        <v>62666757</v>
      </c>
      <c r="I29" s="8">
        <f t="shared" si="15"/>
        <v>67777176</v>
      </c>
      <c r="J29" s="8">
        <f t="shared" si="15"/>
        <v>68055582</v>
      </c>
      <c r="K29" s="8">
        <f t="shared" si="15"/>
        <v>55229445</v>
      </c>
      <c r="L29" s="8">
        <f t="shared" si="15"/>
        <v>63225096</v>
      </c>
      <c r="M29" s="8">
        <f t="shared" si="15"/>
        <v>48053778</v>
      </c>
      <c r="N29" s="8">
        <f t="shared" si="15"/>
        <v>41172782</v>
      </c>
      <c r="O29" s="8">
        <f t="shared" si="15"/>
        <v>36704736</v>
      </c>
      <c r="P29" s="8">
        <f t="shared" si="15"/>
        <v>39383013</v>
      </c>
    </row>
    <row r="30" spans="1:17" x14ac:dyDescent="0.35">
      <c r="A30" s="10"/>
      <c r="B30" s="1" t="s">
        <v>11</v>
      </c>
      <c r="C30" s="1" t="s">
        <v>6</v>
      </c>
      <c r="D30" s="8">
        <f t="shared" ref="D30:P30" si="16">D29/D3</f>
        <v>1516246.4178453437</v>
      </c>
      <c r="E30" s="8">
        <f t="shared" si="16"/>
        <v>1362551.3992934336</v>
      </c>
      <c r="F30" s="8">
        <f t="shared" si="16"/>
        <v>1475926.187279467</v>
      </c>
      <c r="G30" s="8">
        <f t="shared" si="16"/>
        <v>1612472.0207963823</v>
      </c>
      <c r="H30" s="8">
        <f t="shared" si="16"/>
        <v>1573749.0758686941</v>
      </c>
      <c r="I30" s="8">
        <f t="shared" si="16"/>
        <v>1726722.6961295702</v>
      </c>
      <c r="J30" s="8">
        <f t="shared" si="16"/>
        <v>1714390.6050226283</v>
      </c>
      <c r="K30" s="8">
        <f t="shared" si="16"/>
        <v>1410648.7495624041</v>
      </c>
      <c r="L30" s="8">
        <f t="shared" si="16"/>
        <v>1574804.1654672835</v>
      </c>
      <c r="M30" s="8">
        <f t="shared" si="16"/>
        <v>1232210.6618128347</v>
      </c>
      <c r="N30" s="8">
        <f t="shared" si="16"/>
        <v>1048986.1249197335</v>
      </c>
      <c r="O30" s="8">
        <f t="shared" si="16"/>
        <v>945795.72778897057</v>
      </c>
      <c r="P30" s="8">
        <f t="shared" si="16"/>
        <v>1001974.3353843987</v>
      </c>
    </row>
    <row r="31" spans="1:17" x14ac:dyDescent="0.35">
      <c r="A31" s="2" t="s">
        <v>17</v>
      </c>
    </row>
    <row r="34" spans="8:22" x14ac:dyDescent="0.35">
      <c r="H34" s="13"/>
      <c r="I34" s="13"/>
      <c r="J34" s="13"/>
      <c r="M34" s="13"/>
      <c r="P34" s="13"/>
    </row>
    <row r="35" spans="8:22" x14ac:dyDescent="0.35">
      <c r="H35" s="13"/>
      <c r="I35" s="13"/>
      <c r="J35" s="13"/>
    </row>
    <row r="36" spans="8:22" x14ac:dyDescent="0.35">
      <c r="H36" s="13"/>
      <c r="I36" s="13"/>
      <c r="J36" s="13"/>
    </row>
    <row r="37" spans="8:22" x14ac:dyDescent="0.35">
      <c r="I37" s="13"/>
      <c r="J37" s="13"/>
    </row>
    <row r="38" spans="8:22" x14ac:dyDescent="0.35">
      <c r="I38" s="13"/>
      <c r="M38" s="14"/>
      <c r="N38" s="14"/>
      <c r="O38" s="14"/>
      <c r="P38" s="14"/>
    </row>
    <row r="39" spans="8:22" x14ac:dyDescent="0.35">
      <c r="M39" s="13"/>
      <c r="N39" s="13"/>
      <c r="O39" s="13"/>
      <c r="P39" s="13"/>
      <c r="Q39" s="15">
        <f t="shared" ref="Q39:Q40" si="17">O39/243</f>
        <v>0</v>
      </c>
      <c r="R39" s="12">
        <f>Q39/4</f>
        <v>0</v>
      </c>
    </row>
    <row r="40" spans="8:22" x14ac:dyDescent="0.35">
      <c r="M40" s="13"/>
      <c r="N40" s="13"/>
      <c r="O40" s="13"/>
      <c r="P40" s="13"/>
      <c r="Q40" s="15">
        <f t="shared" si="17"/>
        <v>0</v>
      </c>
    </row>
    <row r="41" spans="8:22" x14ac:dyDescent="0.35">
      <c r="M41" s="13"/>
      <c r="N41" s="13"/>
      <c r="O41" s="13"/>
      <c r="P41" s="13"/>
      <c r="Q41" s="15">
        <f>O41/243</f>
        <v>0</v>
      </c>
    </row>
    <row r="42" spans="8:22" x14ac:dyDescent="0.35">
      <c r="M42" s="13"/>
      <c r="N42" s="13"/>
      <c r="O42" s="13"/>
      <c r="P42" s="13"/>
      <c r="T42" s="2" t="s">
        <v>18</v>
      </c>
      <c r="U42" s="2" t="s">
        <v>19</v>
      </c>
    </row>
    <row r="43" spans="8:22" x14ac:dyDescent="0.35">
      <c r="M43" s="13"/>
      <c r="N43" s="13"/>
      <c r="O43" s="13"/>
      <c r="P43" s="13"/>
      <c r="R43" s="2" t="s">
        <v>20</v>
      </c>
      <c r="S43" s="2" t="s">
        <v>21</v>
      </c>
      <c r="T43" s="13">
        <v>850816</v>
      </c>
      <c r="U43" s="13">
        <v>26961768</v>
      </c>
      <c r="V43" s="2">
        <f>U43/T43</f>
        <v>31.689305325710848</v>
      </c>
    </row>
    <row r="44" spans="8:22" x14ac:dyDescent="0.35">
      <c r="M44" s="13"/>
      <c r="N44" s="13"/>
      <c r="O44" s="13"/>
      <c r="P44" s="13"/>
      <c r="R44" s="2" t="s">
        <v>21</v>
      </c>
      <c r="S44" s="2" t="s">
        <v>21</v>
      </c>
      <c r="T44" s="13">
        <v>121029</v>
      </c>
      <c r="U44" s="13">
        <v>4238643</v>
      </c>
      <c r="V44" s="2">
        <f>U44/T44</f>
        <v>35.02171380412959</v>
      </c>
    </row>
    <row r="45" spans="8:22" x14ac:dyDescent="0.35">
      <c r="T45" s="13">
        <f>SUM(T43:T44)</f>
        <v>971845</v>
      </c>
      <c r="U45" s="13">
        <f>SUM(U43:U44)</f>
        <v>31200411</v>
      </c>
      <c r="V45" s="2">
        <f>U45/T45</f>
        <v>32.104307785706567</v>
      </c>
    </row>
  </sheetData>
  <mergeCells count="6">
    <mergeCell ref="A7:A10"/>
    <mergeCell ref="A11:A14"/>
    <mergeCell ref="A15:A18"/>
    <mergeCell ref="A19:A22"/>
    <mergeCell ref="A23:A26"/>
    <mergeCell ref="A27:A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Gofar Julio Saputra</dc:creator>
  <cp:lastModifiedBy>Gofar Julio Saputra</cp:lastModifiedBy>
  <dcterms:created xsi:type="dcterms:W3CDTF">2026-06-29T03:45:33Z</dcterms:created>
  <dcterms:modified xsi:type="dcterms:W3CDTF">2026-06-29T03:46:13Z</dcterms:modified>
</cp:coreProperties>
</file>